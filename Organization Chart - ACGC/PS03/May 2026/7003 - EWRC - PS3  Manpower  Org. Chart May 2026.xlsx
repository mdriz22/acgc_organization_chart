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yaz\Desktop\Organisational Chart - ACGC\PS03\May 2026\"/>
    </mc:Choice>
  </mc:AlternateContent>
  <xr:revisionPtr revIDLastSave="0" documentId="13_ncr:1_{F00C7197-EDD0-450F-ADC6-F36057BDF7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npower Update" sheetId="2" r:id="rId1"/>
    <sheet name="Org. Cha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6" i="2" l="1"/>
  <c r="J62" i="2"/>
  <c r="B62" i="2"/>
  <c r="J20" i="2"/>
  <c r="B20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3" i="2" s="1"/>
  <c r="A64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J4" i="2"/>
  <c r="B4" i="2"/>
  <c r="FF248" i="1"/>
  <c r="HF222" i="1"/>
  <c r="FF222" i="1"/>
  <c r="II129" i="1"/>
  <c r="GM129" i="1"/>
  <c r="EQ129" i="1"/>
  <c r="CU129" i="1"/>
  <c r="AY129" i="1"/>
  <c r="GW83" i="1"/>
  <c r="IT82" i="1"/>
  <c r="NA81" i="1"/>
  <c r="KY81" i="1"/>
  <c r="AX37" i="1"/>
  <c r="PH36" i="1"/>
  <c r="KS46" i="1" l="1"/>
  <c r="J165" i="2"/>
  <c r="EU111" i="1"/>
  <c r="A137" i="2"/>
  <c r="A119" i="2"/>
  <c r="A120" i="2" s="1"/>
  <c r="A121" i="2" s="1"/>
  <c r="A122" i="2" s="1"/>
  <c r="A123" i="2" s="1"/>
  <c r="A124" i="2" s="1"/>
  <c r="A125" i="2" s="1"/>
  <c r="A126" i="2" s="1"/>
  <c r="A136" i="2" s="1"/>
  <c r="A128" i="2" s="1"/>
  <c r="A129" i="2" s="1"/>
  <c r="A130" i="2" s="1"/>
  <c r="A131" i="2" s="1"/>
  <c r="A132" i="2" s="1"/>
  <c r="A133" i="2" s="1"/>
  <c r="B165" i="2"/>
  <c r="A166" i="2" s="1"/>
  <c r="QB254" i="1"/>
  <c r="H166" i="2" l="1"/>
  <c r="A127" i="2"/>
  <c r="A134" i="2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l="1"/>
  <c r="A155" i="2" s="1"/>
  <c r="A156" i="2" s="1"/>
  <c r="A157" i="2" s="1"/>
  <c r="A158" i="2" s="1"/>
  <c r="A159" i="2" s="1"/>
  <c r="A160" i="2" s="1"/>
  <c r="A161" i="2" s="1"/>
  <c r="A162" i="2" s="1"/>
  <c r="A163" i="2" s="1"/>
  <c r="A135" i="2"/>
</calcChain>
</file>

<file path=xl/sharedStrings.xml><?xml version="1.0" encoding="utf-8"?>
<sst xmlns="http://schemas.openxmlformats.org/spreadsheetml/2006/main" count="1107" uniqueCount="464">
  <si>
    <r>
      <t xml:space="preserve">EAST WEST PIPELINE RESIDENTIAL COMPOUND - </t>
    </r>
    <r>
      <rPr>
        <b/>
        <sz val="22"/>
        <color rgb="FFFF0000"/>
        <rFont val="Arial"/>
        <family val="2"/>
      </rPr>
      <t>EWRC3 &amp; PS3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</si>
  <si>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</si>
  <si>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</si>
  <si>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Jamal Lafi Al Enazi</t>
    </r>
  </si>
  <si>
    <t>HSE DEPT.</t>
  </si>
  <si>
    <t>General Adminstration</t>
  </si>
  <si>
    <t>Warehouse Administrator</t>
  </si>
  <si>
    <r>
      <t xml:space="preserve">Facility Engineer
</t>
    </r>
    <r>
      <rPr>
        <sz val="14"/>
        <color rgb="FFFF0000"/>
        <rFont val="Arial"/>
        <family val="2"/>
      </rPr>
      <t>Vijaya Kumar</t>
    </r>
  </si>
  <si>
    <t>House Keeping &amp; Recreational Services</t>
  </si>
  <si>
    <r>
      <t xml:space="preserve">Site Administrator
</t>
    </r>
    <r>
      <rPr>
        <sz val="14"/>
        <color rgb="FFFF0000"/>
        <rFont val="Arial"/>
        <family val="2"/>
      </rPr>
      <t>Arun Prasath / Renjith</t>
    </r>
  </si>
  <si>
    <r>
      <t xml:space="preserve">Safety Officer
</t>
    </r>
    <r>
      <rPr>
        <sz val="14"/>
        <color rgb="FFFF0000"/>
        <rFont val="Arial"/>
        <family val="2"/>
      </rPr>
      <t>Rayyan Abdullah</t>
    </r>
  </si>
  <si>
    <r>
      <rPr>
        <sz val="14"/>
        <rFont val="Arial"/>
        <family val="2"/>
      </rPr>
      <t>Nusre</t>
    </r>
    <r>
      <rPr>
        <sz val="14"/>
        <color rgb="FFFF0000"/>
        <rFont val="Arial"/>
        <family val="2"/>
      </rPr>
      <t xml:space="preserve">
Selva Kumar  (Subcon)</t>
    </r>
  </si>
  <si>
    <r>
      <t xml:space="preserve">Supervisor
</t>
    </r>
    <r>
      <rPr>
        <sz val="12"/>
        <color rgb="FFFF0000"/>
        <rFont val="Arial"/>
        <family val="2"/>
      </rPr>
      <t>MAKESH / Ismail</t>
    </r>
  </si>
  <si>
    <r>
      <t xml:space="preserve">Purchaser
</t>
    </r>
    <r>
      <rPr>
        <sz val="14"/>
        <color rgb="FFFF0000"/>
        <rFont val="Arial"/>
        <family val="2"/>
      </rPr>
      <t>Sojan / Talal Bandar</t>
    </r>
  </si>
  <si>
    <r>
      <t xml:space="preserve">Mainenance Coordinator
</t>
    </r>
    <r>
      <rPr>
        <sz val="14"/>
        <color rgb="FFFF0000"/>
        <rFont val="Arial"/>
        <family val="2"/>
      </rPr>
      <t>Rocky Roshan</t>
    </r>
  </si>
  <si>
    <r>
      <rPr>
        <sz val="14"/>
        <rFont val="Arial"/>
        <family val="2"/>
      </rPr>
      <t>WPR</t>
    </r>
    <r>
      <rPr>
        <sz val="14"/>
        <color rgb="FFFF0000"/>
        <rFont val="Arial"/>
        <family val="2"/>
      </rPr>
      <t xml:space="preserve">
Tahir Iqbal (Subcon)</t>
    </r>
  </si>
  <si>
    <t>Imam / Muezzin</t>
  </si>
  <si>
    <r>
      <t xml:space="preserve">CMMS/Help Desk
</t>
    </r>
    <r>
      <rPr>
        <sz val="12"/>
        <color rgb="FFFF0000"/>
        <rFont val="Arial"/>
        <family val="2"/>
      </rPr>
      <t>Mani Bharathi /</t>
    </r>
    <r>
      <rPr>
        <sz val="14"/>
        <color rgb="FFFF0000"/>
        <rFont val="Arial"/>
        <family val="2"/>
      </rPr>
      <t>Pankaj Limbu</t>
    </r>
  </si>
  <si>
    <t>Driver</t>
  </si>
  <si>
    <t>General Services</t>
  </si>
  <si>
    <t>Recrational Services</t>
  </si>
  <si>
    <r>
      <t xml:space="preserve">Warehouse Administrator
</t>
    </r>
    <r>
      <rPr>
        <sz val="14"/>
        <color rgb="FFFF0000"/>
        <rFont val="Arial"/>
        <family val="2"/>
      </rPr>
      <t>Robin / Sudagar Panneer</t>
    </r>
  </si>
  <si>
    <t>Room Services</t>
  </si>
  <si>
    <t xml:space="preserve">Front Office &amp; Reception </t>
  </si>
  <si>
    <t>Gardener</t>
  </si>
  <si>
    <t>Fitness Instructor</t>
  </si>
  <si>
    <r>
      <rPr>
        <sz val="14"/>
        <color rgb="FFFF0000"/>
        <rFont val="Arial"/>
        <family val="2"/>
      </rPr>
      <t>Housi. Front Office Admin.</t>
    </r>
    <r>
      <rPr>
        <sz val="14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Abdulaziz awad /Manikandan</t>
    </r>
  </si>
  <si>
    <t>Team leader</t>
  </si>
  <si>
    <r>
      <t xml:space="preserve">Warehouse Helper 
</t>
    </r>
    <r>
      <rPr>
        <sz val="14"/>
        <color rgb="FFFF0000"/>
        <rFont val="Arial"/>
        <family val="2"/>
      </rPr>
      <t>Prabin BK</t>
    </r>
  </si>
  <si>
    <t>Janirors - General</t>
  </si>
  <si>
    <t>Life guards Supervisor
Ali Abdul Moshen</t>
  </si>
  <si>
    <t>Room Attendant</t>
  </si>
  <si>
    <t>MEP Services</t>
  </si>
  <si>
    <t xml:space="preserve">Waste Manag. Janitors </t>
  </si>
  <si>
    <t>Life guards</t>
  </si>
  <si>
    <t>Janitor Pump Station</t>
  </si>
  <si>
    <t>Commissary Clerk</t>
  </si>
  <si>
    <t>MECHNAICAL</t>
  </si>
  <si>
    <t>HVAC</t>
  </si>
  <si>
    <t>ELECTRICAL</t>
  </si>
  <si>
    <t>C3</t>
  </si>
  <si>
    <t>CIVIL</t>
  </si>
  <si>
    <r>
      <t xml:space="preserve">Pest Control
</t>
    </r>
    <r>
      <rPr>
        <sz val="14"/>
        <color rgb="FFFF0000"/>
        <rFont val="Arial"/>
        <family val="2"/>
      </rPr>
      <t>Rentokil</t>
    </r>
    <r>
      <rPr>
        <sz val="14"/>
        <color theme="1"/>
        <rFont val="Arial"/>
        <family val="2"/>
      </rPr>
      <t xml:space="preserve"> </t>
    </r>
  </si>
  <si>
    <t>Barbers</t>
  </si>
  <si>
    <t>Vcancy</t>
  </si>
  <si>
    <r>
      <t>Mechanical Supervisor</t>
    </r>
    <r>
      <rPr>
        <b/>
        <sz val="14"/>
        <color rgb="FF00B050"/>
        <rFont val="Arial"/>
        <family val="2"/>
      </rPr>
      <t xml:space="preserve"> 
</t>
    </r>
    <r>
      <rPr>
        <b/>
        <sz val="14"/>
        <color rgb="FFFF0000"/>
        <rFont val="Arial"/>
        <family val="2"/>
      </rPr>
      <t>Luisito Jr. M. Abga</t>
    </r>
  </si>
  <si>
    <r>
      <t xml:space="preserve">HVAC Supervisor
</t>
    </r>
    <r>
      <rPr>
        <sz val="14"/>
        <color rgb="FFFF0000"/>
        <rFont val="Arial"/>
        <family val="2"/>
      </rPr>
      <t>SADIQ PASHA</t>
    </r>
  </si>
  <si>
    <r>
      <t xml:space="preserve">Electrical Supervisor
</t>
    </r>
    <r>
      <rPr>
        <sz val="14"/>
        <color rgb="FFFF0000"/>
        <rFont val="Arial"/>
        <family val="2"/>
      </rPr>
      <t>Marlo Padua Denum</t>
    </r>
  </si>
  <si>
    <r>
      <t xml:space="preserve">C3 Supervisor
</t>
    </r>
    <r>
      <rPr>
        <sz val="14"/>
        <color rgb="FFFF0000"/>
        <rFont val="Arial"/>
        <family val="2"/>
      </rPr>
      <t xml:space="preserve">SIBI SAMUEL </t>
    </r>
  </si>
  <si>
    <r>
      <t xml:space="preserve">CIVIL Supervisor
</t>
    </r>
    <r>
      <rPr>
        <sz val="14"/>
        <color rgb="FFFF0000"/>
        <rFont val="Arial"/>
        <family val="2"/>
      </rPr>
      <t>Ashok</t>
    </r>
  </si>
  <si>
    <r>
      <t xml:space="preserve">Garbage / Sewage mgmt
</t>
    </r>
    <r>
      <rPr>
        <sz val="14"/>
        <color rgb="FFFF0000"/>
        <rFont val="Arial"/>
        <family val="2"/>
      </rPr>
      <t>Assnafi Al-Awi Contracting</t>
    </r>
  </si>
  <si>
    <t>Security 
Management</t>
  </si>
  <si>
    <t>Mechanical Technicians</t>
  </si>
  <si>
    <t>HVAC Technicians</t>
  </si>
  <si>
    <t>Electrical Technician</t>
  </si>
  <si>
    <t>Fire Alarm / CCTV Tech.</t>
  </si>
  <si>
    <t>Handyman</t>
  </si>
  <si>
    <t>Nesma</t>
  </si>
  <si>
    <t>Plumber</t>
  </si>
  <si>
    <t>Gas Attendant</t>
  </si>
  <si>
    <t>STP Operator</t>
  </si>
  <si>
    <t>Catering
Laundry / Telecom</t>
  </si>
  <si>
    <t>RO Plant Operator</t>
  </si>
  <si>
    <t>Qudrat</t>
  </si>
  <si>
    <t>Vacancies</t>
  </si>
  <si>
    <t>Surplus</t>
  </si>
  <si>
    <t>Fire Alarm Technician</t>
  </si>
  <si>
    <t>Team Leader</t>
  </si>
  <si>
    <t>Room attendant</t>
  </si>
  <si>
    <t>Sub Con. Repl. by ACGC</t>
  </si>
  <si>
    <t xml:space="preserve">Nurse </t>
  </si>
  <si>
    <t>AS PER CONTRACT</t>
  </si>
  <si>
    <t>Prepared by:</t>
  </si>
  <si>
    <t>Reviewed by:</t>
  </si>
  <si>
    <t>Approved by:</t>
  </si>
  <si>
    <t>Teaboy</t>
  </si>
  <si>
    <t>WPR</t>
  </si>
  <si>
    <t>CODE</t>
  </si>
  <si>
    <t>REVISION - 12</t>
  </si>
  <si>
    <t>Date: 11/02/2026</t>
  </si>
  <si>
    <r>
      <t xml:space="preserve">EWRC Manpower - Overall Consolidated Sheet - </t>
    </r>
    <r>
      <rPr>
        <b/>
        <sz val="14"/>
        <color rgb="FFFF0000"/>
        <rFont val="Arial"/>
        <family val="2"/>
      </rPr>
      <t>PS3</t>
    </r>
  </si>
  <si>
    <t>L/N</t>
  </si>
  <si>
    <t>As Per Contract</t>
  </si>
  <si>
    <t>Function</t>
  </si>
  <si>
    <t>Employee Number</t>
  </si>
  <si>
    <t>Iqama/National ID</t>
  </si>
  <si>
    <t>Aramco ID Number</t>
  </si>
  <si>
    <t>Name</t>
  </si>
  <si>
    <t>Nationality</t>
  </si>
  <si>
    <t>Company</t>
  </si>
  <si>
    <t>Actual Count</t>
  </si>
  <si>
    <t>Current Status</t>
  </si>
  <si>
    <t>Work Location</t>
  </si>
  <si>
    <t>Remarks</t>
  </si>
  <si>
    <t>A</t>
  </si>
  <si>
    <t>Site Mangement</t>
  </si>
  <si>
    <t>Facility Manager -1</t>
  </si>
  <si>
    <t>Jamal Lafi Al Enazi</t>
  </si>
  <si>
    <t>Saudi</t>
  </si>
  <si>
    <t>ACGC</t>
  </si>
  <si>
    <t>On Site</t>
  </si>
  <si>
    <t>RC</t>
  </si>
  <si>
    <t>Facility Engineer-1</t>
  </si>
  <si>
    <t>Vijaya Kumar Dasaradhan</t>
  </si>
  <si>
    <t>Indian</t>
  </si>
  <si>
    <t>Safety Officer-1</t>
  </si>
  <si>
    <t xml:space="preserve">Rayyan Abdullah Al Sahli </t>
  </si>
  <si>
    <t>Nurse - 1</t>
  </si>
  <si>
    <t>Selva Kumar Sekar</t>
  </si>
  <si>
    <t>RPM</t>
  </si>
  <si>
    <t>General Administrator-1</t>
  </si>
  <si>
    <t>Arun Prasath Somasundaram</t>
  </si>
  <si>
    <t>General Administrator-2</t>
  </si>
  <si>
    <t>Renjith Bovas</t>
  </si>
  <si>
    <t>PS</t>
  </si>
  <si>
    <t>Housing Front Office Administrator-1</t>
  </si>
  <si>
    <t>Abdulaziz Al awad Al Onazi</t>
  </si>
  <si>
    <t>Housing Front Office Administrator-2</t>
  </si>
  <si>
    <t>Manikandan S</t>
  </si>
  <si>
    <t>Help Desk Operator -1</t>
  </si>
  <si>
    <t>Pankaj Limbu</t>
  </si>
  <si>
    <t>CMMS Administrator -1</t>
  </si>
  <si>
    <t>Mani Bharathi Chellapandian</t>
  </si>
  <si>
    <t>Warehouse Adminstrator-1</t>
  </si>
  <si>
    <t>Robin Prasannadas</t>
  </si>
  <si>
    <t>Warehouse Administrator-2</t>
  </si>
  <si>
    <t>Sudagar Panneer Selvam</t>
  </si>
  <si>
    <t>Warehouse helper - 1</t>
  </si>
  <si>
    <t>Prabin BK</t>
  </si>
  <si>
    <t>Nepali</t>
  </si>
  <si>
    <t>Local Purchaser-1</t>
  </si>
  <si>
    <t>Talal Bandar Al shatri</t>
  </si>
  <si>
    <t>Local Purchaser-2</t>
  </si>
  <si>
    <t>Sojan Varghese</t>
  </si>
  <si>
    <t>B</t>
  </si>
  <si>
    <t>Maintenance Coordinator - 1</t>
  </si>
  <si>
    <t>Rockey Roshan</t>
  </si>
  <si>
    <t>INDIAN</t>
  </si>
  <si>
    <t xml:space="preserve">Machanical Supervisor - 1 </t>
  </si>
  <si>
    <t>Waiting for Appointment</t>
  </si>
  <si>
    <t>LUISITO JR. M. ABGAO</t>
  </si>
  <si>
    <t>FILIPINO</t>
  </si>
  <si>
    <t>HVAC Supervisor - 1</t>
  </si>
  <si>
    <t>SADIQ PASHA</t>
  </si>
  <si>
    <t xml:space="preserve">Electrical Supervisor - 1  </t>
  </si>
  <si>
    <t>Marlo Padua Denum</t>
  </si>
  <si>
    <t xml:space="preserve">C3 Superviosr - 1 </t>
  </si>
  <si>
    <t xml:space="preserve">SIBI SAMUEL </t>
  </si>
  <si>
    <t>Civil Supervisor</t>
  </si>
  <si>
    <t>Ashok Panner Selvam</t>
  </si>
  <si>
    <t>Mechanical Technician -1</t>
  </si>
  <si>
    <t>WOWIE C. WONG DELINA</t>
  </si>
  <si>
    <t>Mechanical Technician -2</t>
  </si>
  <si>
    <t>Abdullah Aldossary</t>
  </si>
  <si>
    <t>Mechanical Technician -3</t>
  </si>
  <si>
    <t>Simhanchal Gouda</t>
  </si>
  <si>
    <t>Generator Technician / Mechanical Technician - 4</t>
  </si>
  <si>
    <t>PRAKASH KANNAN</t>
  </si>
  <si>
    <t>HVAC Technician-1</t>
  </si>
  <si>
    <t>Mohammad Afcer Alam</t>
  </si>
  <si>
    <t>HVAC Technician-2</t>
  </si>
  <si>
    <t xml:space="preserve">Ali Ibrahim Bin ahmed </t>
  </si>
  <si>
    <t>HVAC Technician-3</t>
  </si>
  <si>
    <r>
      <t xml:space="preserve">Jestin </t>
    </r>
    <r>
      <rPr>
        <sz val="12"/>
        <color theme="1"/>
        <rFont val="Calibri"/>
        <family val="2"/>
      </rPr>
      <t>Pazhukalayil George</t>
    </r>
  </si>
  <si>
    <t>HVAC Technician-4</t>
  </si>
  <si>
    <t>MOHAMED MUBARAK GAUSUL AMEER</t>
  </si>
  <si>
    <t>SRILANKAN</t>
  </si>
  <si>
    <t>HVAC Technician-5</t>
  </si>
  <si>
    <t>Harendra Prasad</t>
  </si>
  <si>
    <t>HVAC Technician-6</t>
  </si>
  <si>
    <t>RemeshKumar V S</t>
  </si>
  <si>
    <t>Electrical Technician-1</t>
  </si>
  <si>
    <t>MARK LOUIS S. ZAPANTA</t>
  </si>
  <si>
    <t>Electrical Technician-2</t>
  </si>
  <si>
    <t>Moovendan Radhakrishnan</t>
  </si>
  <si>
    <t>Electrical Technician-3</t>
  </si>
  <si>
    <t>SURESH SEKAR SENGUNTHAMUDALIAR</t>
  </si>
  <si>
    <t>Electrical Technician-4</t>
  </si>
  <si>
    <t>Iqbal Thengila Valappil</t>
  </si>
  <si>
    <t>Electrical Technician-5</t>
  </si>
  <si>
    <t>SUBASH BALAN</t>
  </si>
  <si>
    <t>Fire Alarm / CCTV  Technicians-1</t>
  </si>
  <si>
    <t>Lineesh Kandethodi</t>
  </si>
  <si>
    <t>Fire Alarm / CCTV  Technicians-2</t>
  </si>
  <si>
    <t>Rahul Peechamkode Radhakrishnan</t>
  </si>
  <si>
    <t>Fire Alarm / CCTV  Technicians-3</t>
  </si>
  <si>
    <t>Riyaz Ahmad Wani</t>
  </si>
  <si>
    <t>Fire Alarm / CCTV  Technicians-4</t>
  </si>
  <si>
    <t>Vacancy - 1</t>
  </si>
  <si>
    <t>Plumber-1</t>
  </si>
  <si>
    <t>Senthil N</t>
  </si>
  <si>
    <t>Plumber-2</t>
  </si>
  <si>
    <t>VIJAYAN SHINE</t>
  </si>
  <si>
    <t>Plumber-3</t>
  </si>
  <si>
    <t xml:space="preserve">Bhagabata Sethi </t>
  </si>
  <si>
    <t>STP Operator-1</t>
  </si>
  <si>
    <t>Gopinath Murugesan</t>
  </si>
  <si>
    <t>STP Operator-2</t>
  </si>
  <si>
    <t>THARIKAJEES SEENI KASPULLA</t>
  </si>
  <si>
    <t>RO Plant Operator-1</t>
  </si>
  <si>
    <t>RAJARATHINAM SILUVAI SANTIAGU PRAVIN</t>
  </si>
  <si>
    <t>RO Plant Operator-2</t>
  </si>
  <si>
    <t>RAMESH GANAPATHY</t>
  </si>
  <si>
    <t>RO Plant Operator-3</t>
  </si>
  <si>
    <t>Abdulmajeeth Emamsha</t>
  </si>
  <si>
    <t>Gas Attendant-1</t>
  </si>
  <si>
    <t>Mohamed Farook Mohamed Fawmy</t>
  </si>
  <si>
    <t>Sri Lankan</t>
  </si>
  <si>
    <t>Gas Attendant-2</t>
  </si>
  <si>
    <t>Phursang Lama</t>
  </si>
  <si>
    <t>Nepal</t>
  </si>
  <si>
    <t>Handyman-1</t>
  </si>
  <si>
    <t>Uddumalabbe Jamaldeen Husaindeen</t>
  </si>
  <si>
    <t>Handyman-2</t>
  </si>
  <si>
    <t>Nilo Sanipa Sales</t>
  </si>
  <si>
    <t>Filipino</t>
  </si>
  <si>
    <t>Handyman-3</t>
  </si>
  <si>
    <t xml:space="preserve">MOHAMMED MANASEER MOHAMMED FAROOK </t>
  </si>
  <si>
    <t>Handyman-4</t>
  </si>
  <si>
    <t xml:space="preserve">Selvaraj Ramesh </t>
  </si>
  <si>
    <t>Handyman-5</t>
  </si>
  <si>
    <t>CANTILLO, JORLAN R.</t>
  </si>
  <si>
    <t xml:space="preserve">Work Permit Receiver </t>
  </si>
  <si>
    <t>Tahir Iqbal</t>
  </si>
  <si>
    <t>PAKISTANI</t>
  </si>
  <si>
    <t>HML</t>
  </si>
  <si>
    <t>C</t>
  </si>
  <si>
    <t>Housekeeping &amp; Recreational Services</t>
  </si>
  <si>
    <t>Housekeeping Supervisor-1</t>
  </si>
  <si>
    <t>MAKESH CHELLIAH</t>
  </si>
  <si>
    <t>Housekeeping Supervisor-2</t>
  </si>
  <si>
    <t>Mohammad Ismail</t>
  </si>
  <si>
    <t>BANGLADESHI</t>
  </si>
  <si>
    <t>Housekeeping Supervisor-3</t>
  </si>
  <si>
    <t>AAMIR PERWEZ</t>
  </si>
  <si>
    <t>Life guards Supervisor-1</t>
  </si>
  <si>
    <t>ALI ABDULMOHSEN ALMANSAF</t>
  </si>
  <si>
    <t>Life Guard-1</t>
  </si>
  <si>
    <t>Nitin Chepo Gaude</t>
  </si>
  <si>
    <t>Fitness Instructor-1</t>
  </si>
  <si>
    <t>Sanil K B</t>
  </si>
  <si>
    <t>Fitness Instructor-2</t>
  </si>
  <si>
    <t>Jinson Varkey</t>
  </si>
  <si>
    <t>Fitness Instructor-3</t>
  </si>
  <si>
    <t>Mohammed Almushrif</t>
  </si>
  <si>
    <t>Muezzin-1</t>
  </si>
  <si>
    <t xml:space="preserve">Salem Al Balawi </t>
  </si>
  <si>
    <t>Imam-1</t>
  </si>
  <si>
    <t>No Passport</t>
  </si>
  <si>
    <t>Othman Shabbir Ahmed Jamil </t>
  </si>
  <si>
    <t>Myanmar</t>
  </si>
  <si>
    <t>Imam-2</t>
  </si>
  <si>
    <t>Omar Alenazi</t>
  </si>
  <si>
    <t>Team Leader-1</t>
  </si>
  <si>
    <t>Aatif Khudbuddin Kagaji</t>
  </si>
  <si>
    <t>Team Leader-2</t>
  </si>
  <si>
    <t>Jayasurya Murugan</t>
  </si>
  <si>
    <t>Team Leader-3</t>
  </si>
  <si>
    <t>GHANSHYAM MISHRA</t>
  </si>
  <si>
    <t>Team Leader-4</t>
  </si>
  <si>
    <t>RAJAT KUMAR KARADA</t>
  </si>
  <si>
    <t>Team Leader-5</t>
  </si>
  <si>
    <t>VENGATASUBRAMANIYAN MANOHARAN</t>
  </si>
  <si>
    <t>Team Leader-6</t>
  </si>
  <si>
    <t>Room Attendant-1</t>
  </si>
  <si>
    <t>Sourav Roy</t>
  </si>
  <si>
    <t>Room Attendant-2</t>
  </si>
  <si>
    <t>Kalidoss Jayaraman</t>
  </si>
  <si>
    <t>Non Renwal - 18 April 26</t>
  </si>
  <si>
    <t>Room Attendant-3</t>
  </si>
  <si>
    <t>Mohammad Farid</t>
  </si>
  <si>
    <t>Room Attendant-4</t>
  </si>
  <si>
    <t>Karan Sunar</t>
  </si>
  <si>
    <t>Room Attendant-5</t>
  </si>
  <si>
    <t>Jeyaraj D</t>
  </si>
  <si>
    <t>Non Renwal - 5 May 26</t>
  </si>
  <si>
    <t>Room Attendant-6</t>
  </si>
  <si>
    <t>Anil Laxman Pammar</t>
  </si>
  <si>
    <t>Room Attendant-7</t>
  </si>
  <si>
    <t>Name issue with Passport and Iqama.</t>
  </si>
  <si>
    <t>Abu Jihath</t>
  </si>
  <si>
    <t>Room Attendant-8</t>
  </si>
  <si>
    <t>Gopalakrishnan</t>
  </si>
  <si>
    <t>Room Attendant-9</t>
  </si>
  <si>
    <t>Darshan Gurung</t>
  </si>
  <si>
    <t>Room Attendant-10</t>
  </si>
  <si>
    <t>Vijayakumar Deventhiran</t>
  </si>
  <si>
    <t>Room Attendant-11</t>
  </si>
  <si>
    <t>DON MOHAN LAL</t>
  </si>
  <si>
    <t>Room Attendant-12</t>
  </si>
  <si>
    <t>Sherin Xavier Ilango</t>
  </si>
  <si>
    <t>Room Attendant-13</t>
  </si>
  <si>
    <t>Sajan Poudel</t>
  </si>
  <si>
    <t>Room Attendant-14</t>
  </si>
  <si>
    <t>Pawan Acharya</t>
  </si>
  <si>
    <t>Room Attendant-15</t>
  </si>
  <si>
    <t>KAVIN MURUGESAN</t>
  </si>
  <si>
    <t>Room Attendant-16</t>
  </si>
  <si>
    <t>SARAVANAKUMAR VEERAN</t>
  </si>
  <si>
    <t>Room Attendant-17</t>
  </si>
  <si>
    <t>MOHAMED MUJAHITH SULAIMAN</t>
  </si>
  <si>
    <t>Room Attendant-18</t>
  </si>
  <si>
    <t xml:space="preserve">MOHAMED ASTHAF MOHAMED RAFEEK </t>
  </si>
  <si>
    <t>Room Attendant-19</t>
  </si>
  <si>
    <t xml:space="preserve">MOHAMED MIRZAN AHAMAD </t>
  </si>
  <si>
    <t>Room Attendant-20</t>
  </si>
  <si>
    <t>BHAKTA PRAHALAD TELI</t>
  </si>
  <si>
    <t>Room Attendant-21</t>
  </si>
  <si>
    <t>Alaqippody Thambbyappa Yunilkanthan </t>
  </si>
  <si>
    <t>Room Attendant-22</t>
  </si>
  <si>
    <t>SYEDKASIM KAJAMOHIDEEN</t>
  </si>
  <si>
    <t>Room Attendant-23</t>
  </si>
  <si>
    <t>PUJAN DAHAL</t>
  </si>
  <si>
    <t>Neplali</t>
  </si>
  <si>
    <t>Room Attendant-24</t>
  </si>
  <si>
    <t>Manojkumar P</t>
  </si>
  <si>
    <t>Room Attendant-25</t>
  </si>
  <si>
    <t>Yam Bahadur Karki</t>
  </si>
  <si>
    <t>Room Attendant-26</t>
  </si>
  <si>
    <t xml:space="preserve">Johnson Mervin </t>
  </si>
  <si>
    <t>Resigned LWD 29 April 2026</t>
  </si>
  <si>
    <t>Room Attendant-27</t>
  </si>
  <si>
    <t>Gardener-1</t>
  </si>
  <si>
    <t xml:space="preserve">SEYDALI BADUSHA NAGOOR </t>
  </si>
  <si>
    <t>Gardener-2</t>
  </si>
  <si>
    <t xml:space="preserve">Assees Muhamadhu Afnas </t>
  </si>
  <si>
    <t>Resigned 29 April 2026</t>
  </si>
  <si>
    <t>Gardener-3</t>
  </si>
  <si>
    <t xml:space="preserve">SYEDALI BATHUSHA MOHAMED ALI </t>
  </si>
  <si>
    <t>Gardener-4</t>
  </si>
  <si>
    <t>Lasantha Dinesh H P D W Arachchige</t>
  </si>
  <si>
    <t>Gardener-5</t>
  </si>
  <si>
    <t>Old Aramco ID need to be cancelled</t>
  </si>
  <si>
    <t>MOHAMED MUHUTHAR MOHAMED IFAM</t>
  </si>
  <si>
    <t>Gardener-6</t>
  </si>
  <si>
    <t>QAISAR IJAZ MUHAMMAD RAMZAN</t>
  </si>
  <si>
    <t xml:space="preserve">EAST EAGLE </t>
  </si>
  <si>
    <t>Gardener-7</t>
  </si>
  <si>
    <t xml:space="preserve">MUHAMMAD USMAN ANWAR </t>
  </si>
  <si>
    <t>Gardener-8</t>
  </si>
  <si>
    <t>Tea Boy - 1 Admin Building Internal</t>
  </si>
  <si>
    <t>Ashok Darjee</t>
  </si>
  <si>
    <t>Tea Boy - 2 / Janitor Transportation divison</t>
  </si>
  <si>
    <t xml:space="preserve">ARUL PRAKASH AMMAVASI </t>
  </si>
  <si>
    <t>Tea Boy - 3 / Camp Service Division</t>
  </si>
  <si>
    <t xml:space="preserve">Narad Prasad Neupane </t>
  </si>
  <si>
    <t>Tea Boy - 4 / EWRC New Admin office</t>
  </si>
  <si>
    <t>NEJAMUDDIN MANIHAR</t>
  </si>
  <si>
    <t>NEPAL</t>
  </si>
  <si>
    <t>Tea Boy - 5 / Janitor  Engineering Division</t>
  </si>
  <si>
    <t>Netra Prasad Kafle</t>
  </si>
  <si>
    <t>Tea Boy - 6 / Janitor Maintenance Plant</t>
  </si>
  <si>
    <t>Bhesh Raj Acharya</t>
  </si>
  <si>
    <t>Tea Boy - 7 / Janitor stablizer Control room</t>
  </si>
  <si>
    <t>Mohammed Asif Assaithulla</t>
  </si>
  <si>
    <t>Tea Boy - 8 / Janitor Stabilizer Maintenance Building</t>
  </si>
  <si>
    <t>SAGAR KAFLE</t>
  </si>
  <si>
    <t>Tea Boy - 9 / Janitor MUJAHIDEEN Camp</t>
  </si>
  <si>
    <t>SANTOSH CHAUDHARY</t>
  </si>
  <si>
    <t>Tea Boy - 10 / Janitor Stablizer - Booster Control Room</t>
  </si>
  <si>
    <t>MURSID SAFI </t>
  </si>
  <si>
    <t>Tea Boy - 11 / Janitor GSF Air Defence</t>
  </si>
  <si>
    <t>AVINAYA KHANAL</t>
  </si>
  <si>
    <t>Tea Boy - 12 / Janitor FSF</t>
  </si>
  <si>
    <t>KALIM THAKUR</t>
  </si>
  <si>
    <t>Tea Boy - 13 /Janitor FSF</t>
  </si>
  <si>
    <t>MD Sufiyan</t>
  </si>
  <si>
    <t>Tea Boy - 14 / Janitor Stablizer Dispatcher unit</t>
  </si>
  <si>
    <t>BIJAY BAHADUR DHIMAL</t>
  </si>
  <si>
    <t xml:space="preserve">Tea Boy - 15 / Janitor Training Division </t>
  </si>
  <si>
    <t>TIKA BAHADUR BASNET</t>
  </si>
  <si>
    <t>Tea Boy - 16 / Musallah,common areas &amp; Security Admin Building</t>
  </si>
  <si>
    <t>AMAR SINGH DANGA</t>
  </si>
  <si>
    <t>Tea Boy - 17 /pipe line management division</t>
  </si>
  <si>
    <t>BASANT GIRI</t>
  </si>
  <si>
    <t>Tea Boy - 18 / Janitor Security Kitchen &amp; Main Gate</t>
  </si>
  <si>
    <t>MANOJ KHADKA</t>
  </si>
  <si>
    <t>Tea Boy - 19 / EWRC Admin Bulding - 2</t>
  </si>
  <si>
    <t>Application to be submitted</t>
  </si>
  <si>
    <t>MAHFUZ ALAM</t>
  </si>
  <si>
    <t>JALAL S. AL JALAL CONT EST</t>
  </si>
  <si>
    <t>Tea Boy - 20 /Janitors-2 / Communication Building</t>
  </si>
  <si>
    <t>PRABIN GHISING</t>
  </si>
  <si>
    <t>Tea Boy - 21 / Plant Area</t>
  </si>
  <si>
    <t>Anish Sharma</t>
  </si>
  <si>
    <t>Janitor - 1 / Shisha Boy</t>
  </si>
  <si>
    <t>Dil Bahadur Balayar</t>
  </si>
  <si>
    <t>Janitor - 2 (Pump Station - Tr. TL)</t>
  </si>
  <si>
    <t>Tirtha Raj Kaphle</t>
  </si>
  <si>
    <t>Janitor - 3 / PS - External</t>
  </si>
  <si>
    <t>RESHAM BAHADUR BALAYAR </t>
  </si>
  <si>
    <t>Janitor - 4 / PS - External</t>
  </si>
  <si>
    <t>RISHI KUMAR YADAV</t>
  </si>
  <si>
    <t>Janitor - 5 /  PS External</t>
  </si>
  <si>
    <t>SANDIP GURUNG</t>
  </si>
  <si>
    <t>Janitor - 6 / Road sweeper PS</t>
  </si>
  <si>
    <t>MAN KUMAR B K</t>
  </si>
  <si>
    <t>Janitor - 7 / Luggage Boy</t>
  </si>
  <si>
    <t>RILWAN SHARIFDEEN MOHAMED</t>
  </si>
  <si>
    <t>Janitor - 8/ Luggage Boy</t>
  </si>
  <si>
    <t>CHAMINDA  DON WIJESINGHE</t>
  </si>
  <si>
    <t>Janitor - 9/ External</t>
  </si>
  <si>
    <t>DIPENDRA KARKI</t>
  </si>
  <si>
    <t>Janitor - 10 / EWRC External</t>
  </si>
  <si>
    <t>RUPESH LAMA</t>
  </si>
  <si>
    <t>Janitor - 11 /EWRC Type4 &amp; 3106 Building</t>
  </si>
  <si>
    <t>SURESH GURUNG</t>
  </si>
  <si>
    <t>Janitor - 12 / EWRC Masjid &amp; Community Center</t>
  </si>
  <si>
    <t>SURYA BAHADUR DAMAI</t>
  </si>
  <si>
    <t>Janitor - 13 / Grocery EWRC</t>
  </si>
  <si>
    <t>ANIL KUMAR MAHATO</t>
  </si>
  <si>
    <t xml:space="preserve">Janitor - 14 / Inernal </t>
  </si>
  <si>
    <t>SUDIP TAMANG</t>
  </si>
  <si>
    <t>Janitor - 15 / External</t>
  </si>
  <si>
    <t>AJAY CHAUDHARY</t>
  </si>
  <si>
    <t>Janitor - 16 / External &amp; Internal night shift</t>
  </si>
  <si>
    <t>Tilak Bahadur Pandey Magar</t>
  </si>
  <si>
    <t xml:space="preserve">Janitor - 17 / Room attendant </t>
  </si>
  <si>
    <t>RESHAM BAHADUR RANA</t>
  </si>
  <si>
    <t>Janitor - 18 / External &amp; Internal night shift</t>
  </si>
  <si>
    <t>ANIL BAHADUR SUNAR</t>
  </si>
  <si>
    <t>Janitor - 19/ Road Sweeper Operator</t>
  </si>
  <si>
    <t>JHABINDRA BAHADUR PANDEY MAGAR</t>
  </si>
  <si>
    <t xml:space="preserve">Janitor - 20 / Internal </t>
  </si>
  <si>
    <t>MD TABREJ KHAN</t>
  </si>
  <si>
    <t>Driver - 1</t>
  </si>
  <si>
    <t>Mehboob Hussain Raja Muhammad Ishaq</t>
  </si>
  <si>
    <t>Pakistani</t>
  </si>
  <si>
    <t>Driver - 2</t>
  </si>
  <si>
    <t xml:space="preserve">Abdul Hassan Mohamed Pichchai </t>
  </si>
  <si>
    <t>Driver - 3</t>
  </si>
  <si>
    <t>Kartheeswaran S</t>
  </si>
  <si>
    <t>Driver - 4</t>
  </si>
  <si>
    <t>ROSHAN TAMANG</t>
  </si>
  <si>
    <t>Driver - 5</t>
  </si>
  <si>
    <t>MUHAMMAD YAMIN</t>
  </si>
  <si>
    <t>Barber -1</t>
  </si>
  <si>
    <t>Adnan Shah</t>
  </si>
  <si>
    <t>Barber -2</t>
  </si>
  <si>
    <t>Shahid Mahmoud</t>
  </si>
  <si>
    <t>Commisary Clerk -1</t>
  </si>
  <si>
    <t>EWRC Total Saudi Employees:</t>
  </si>
  <si>
    <t>Saudization  :</t>
  </si>
  <si>
    <t>ACGC Camp Support PS3</t>
  </si>
  <si>
    <t>Camp Boss</t>
  </si>
  <si>
    <t>Iqama not received</t>
  </si>
  <si>
    <t>ANTONY RUBAN BASKAR</t>
  </si>
  <si>
    <t>Accommodation</t>
  </si>
  <si>
    <t>Camp Security - 1</t>
  </si>
  <si>
    <t>CHIRANJIBI GAUTAM</t>
  </si>
  <si>
    <t>Security Gate - Sinohydro Camp</t>
  </si>
  <si>
    <t>SHER BAHADUR CHAUDHARY</t>
  </si>
  <si>
    <t>JANITOR</t>
  </si>
  <si>
    <t>NIRAJ KUMAR RAY</t>
  </si>
  <si>
    <t>Camp External</t>
  </si>
  <si>
    <t>SUNIL SARDAR</t>
  </si>
  <si>
    <t>SANDESH DAMAI</t>
  </si>
  <si>
    <t>Mess Hall</t>
  </si>
  <si>
    <t>ISWOR B K</t>
  </si>
  <si>
    <t>Laundry</t>
  </si>
  <si>
    <t>Abdul Razzq Abdul Ghafoor</t>
  </si>
  <si>
    <t>Pakistan</t>
  </si>
  <si>
    <t>HME</t>
  </si>
  <si>
    <t>Joined 24th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</si>
</sst>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4"/>
      <color rgb="FF00B05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2"/>
      <color rgb="FF00B05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indexed="8"/>
      <name val="Calibri"/>
      <family val="2"/>
    </font>
    <font>
      <sz val="12"/>
      <name val="Calibri"/>
      <family val="2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</font>
    <font>
      <b/>
      <sz val="12"/>
      <color rgb="FFC00000"/>
      <name val="Calibri"/>
      <family val="2"/>
    </font>
    <font>
      <sz val="12"/>
      <color theme="0"/>
      <name val="Calibri"/>
      <family val="2"/>
    </font>
    <font>
      <sz val="12"/>
      <color theme="0"/>
      <name val="Arial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rgb="FFC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8"/>
      <color theme="1"/>
      <name val="Calibri"/>
      <family val="2"/>
      <scheme val="minor"/>
    </font>
    <font>
      <sz val="11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8B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6" tint="0.39997558519241921"/>
      </left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6" fillId="0" borderId="25" xfId="0" applyFont="1" applyBorder="1" applyAlignment="1">
      <alignment horizontal="center" vertical="top" wrapText="1"/>
    </xf>
    <xf numFmtId="0" fontId="2" fillId="0" borderId="25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6" fillId="0" borderId="29" xfId="0" applyFont="1" applyBorder="1" applyAlignment="1">
      <alignment horizontal="center" vertical="top" wrapText="1"/>
    </xf>
    <xf numFmtId="0" fontId="2" fillId="0" borderId="30" xfId="0" applyFont="1" applyBorder="1" applyAlignment="1">
      <alignment vertical="center" wrapText="1"/>
    </xf>
    <xf numFmtId="0" fontId="6" fillId="0" borderId="31" xfId="0" applyFont="1" applyBorder="1" applyAlignment="1">
      <alignment horizontal="center" vertical="top" wrapText="1"/>
    </xf>
    <xf numFmtId="0" fontId="2" fillId="0" borderId="34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48" xfId="0" applyFont="1" applyBorder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2" fillId="0" borderId="49" xfId="0" applyFont="1" applyBorder="1" applyAlignment="1">
      <alignment vertical="center" wrapText="1"/>
    </xf>
    <xf numFmtId="0" fontId="2" fillId="0" borderId="50" xfId="0" applyFont="1" applyBorder="1" applyAlignment="1">
      <alignment vertical="center" wrapText="1"/>
    </xf>
    <xf numFmtId="0" fontId="2" fillId="0" borderId="5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2" fillId="0" borderId="55" xfId="0" applyFont="1" applyBorder="1" applyAlignment="1">
      <alignment vertical="center" wrapText="1"/>
    </xf>
    <xf numFmtId="0" fontId="2" fillId="0" borderId="56" xfId="0" applyFont="1" applyBorder="1" applyAlignment="1">
      <alignment vertical="center" wrapText="1"/>
    </xf>
    <xf numFmtId="0" fontId="2" fillId="0" borderId="57" xfId="0" applyFont="1" applyBorder="1" applyAlignment="1">
      <alignment vertical="center" wrapText="1"/>
    </xf>
    <xf numFmtId="0" fontId="2" fillId="0" borderId="58" xfId="0" applyFont="1" applyBorder="1" applyAlignment="1">
      <alignment vertical="center" wrapText="1"/>
    </xf>
    <xf numFmtId="0" fontId="2" fillId="0" borderId="59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0" borderId="69" xfId="0" applyFont="1" applyBorder="1" applyAlignment="1">
      <alignment vertical="center" wrapText="1"/>
    </xf>
    <xf numFmtId="0" fontId="2" fillId="0" borderId="70" xfId="0" applyFont="1" applyBorder="1" applyAlignment="1">
      <alignment vertical="center" wrapText="1"/>
    </xf>
    <xf numFmtId="0" fontId="2" fillId="0" borderId="71" xfId="0" applyFont="1" applyBorder="1" applyAlignment="1">
      <alignment vertical="center" wrapText="1"/>
    </xf>
    <xf numFmtId="164" fontId="17" fillId="0" borderId="0" xfId="0" applyNumberFormat="1" applyFont="1" applyAlignment="1">
      <alignment vertical="center"/>
    </xf>
    <xf numFmtId="164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7" borderId="75" xfId="0" applyFont="1" applyFill="1" applyBorder="1" applyAlignment="1">
      <alignment horizontal="center" vertical="center" wrapText="1"/>
    </xf>
    <xf numFmtId="0" fontId="19" fillId="7" borderId="76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7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38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1" fillId="0" borderId="38" xfId="1" applyFont="1" applyBorder="1" applyAlignment="1">
      <alignment horizontal="left" vertical="center"/>
    </xf>
    <xf numFmtId="0" fontId="21" fillId="0" borderId="38" xfId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 wrapText="1"/>
    </xf>
    <xf numFmtId="0" fontId="20" fillId="0" borderId="38" xfId="0" applyFont="1" applyBorder="1" applyAlignment="1">
      <alignment vertical="center"/>
    </xf>
    <xf numFmtId="0" fontId="22" fillId="0" borderId="38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17" fillId="0" borderId="0" xfId="0" applyFont="1"/>
    <xf numFmtId="0" fontId="20" fillId="0" borderId="38" xfId="0" applyFont="1" applyBorder="1" applyAlignment="1">
      <alignment horizontal="left" vertical="center"/>
    </xf>
    <xf numFmtId="0" fontId="20" fillId="3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14" fontId="24" fillId="0" borderId="38" xfId="0" applyNumberFormat="1" applyFont="1" applyBorder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4" fillId="0" borderId="38" xfId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left" vertical="center"/>
    </xf>
    <xf numFmtId="0" fontId="26" fillId="0" borderId="38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8" xfId="0" applyFont="1" applyBorder="1" applyAlignment="1">
      <alignment vertical="center"/>
    </xf>
    <xf numFmtId="0" fontId="21" fillId="0" borderId="38" xfId="0" applyFont="1" applyBorder="1" applyAlignment="1">
      <alignment horizontal="center" vertical="center"/>
    </xf>
    <xf numFmtId="0" fontId="18" fillId="0" borderId="0" xfId="0" applyFont="1"/>
    <xf numFmtId="0" fontId="23" fillId="0" borderId="38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28" fillId="0" borderId="38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/>
    </xf>
    <xf numFmtId="0" fontId="28" fillId="0" borderId="38" xfId="1" applyFont="1" applyBorder="1" applyAlignment="1">
      <alignment horizontal="left" vertical="center"/>
    </xf>
    <xf numFmtId="0" fontId="28" fillId="0" borderId="38" xfId="1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24" fillId="3" borderId="38" xfId="1" applyFont="1" applyFill="1" applyBorder="1" applyAlignment="1">
      <alignment horizontal="center" vertical="center"/>
    </xf>
    <xf numFmtId="0" fontId="17" fillId="0" borderId="38" xfId="0" applyFont="1" applyBorder="1"/>
    <xf numFmtId="15" fontId="26" fillId="0" borderId="38" xfId="0" applyNumberFormat="1" applyFont="1" applyBorder="1" applyAlignment="1">
      <alignment horizontal="center" vertical="center"/>
    </xf>
    <xf numFmtId="0" fontId="20" fillId="10" borderId="38" xfId="0" applyFont="1" applyFill="1" applyBorder="1" applyAlignment="1">
      <alignment horizontal="center" vertical="center"/>
    </xf>
    <xf numFmtId="0" fontId="21" fillId="10" borderId="38" xfId="1" applyFont="1" applyFill="1" applyBorder="1" applyAlignment="1">
      <alignment horizontal="left" vertical="center"/>
    </xf>
    <xf numFmtId="0" fontId="21" fillId="10" borderId="38" xfId="1" applyFont="1" applyFill="1" applyBorder="1" applyAlignment="1">
      <alignment horizontal="center" vertical="center"/>
    </xf>
    <xf numFmtId="0" fontId="28" fillId="10" borderId="38" xfId="0" applyFont="1" applyFill="1" applyBorder="1" applyAlignment="1">
      <alignment horizontal="left" vertical="center"/>
    </xf>
    <xf numFmtId="0" fontId="23" fillId="10" borderId="38" xfId="0" applyFont="1" applyFill="1" applyBorder="1" applyAlignment="1">
      <alignment horizontal="center" vertical="center"/>
    </xf>
    <xf numFmtId="0" fontId="17" fillId="10" borderId="38" xfId="0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21" fillId="0" borderId="38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33" fillId="0" borderId="38" xfId="0" applyFont="1" applyBorder="1" applyAlignment="1">
      <alignment horizontal="center" vertical="center"/>
    </xf>
    <xf numFmtId="0" fontId="18" fillId="0" borderId="38" xfId="0" applyFont="1" applyBorder="1" applyAlignment="1">
      <alignment vertical="center" wrapText="1"/>
    </xf>
    <xf numFmtId="0" fontId="24" fillId="0" borderId="38" xfId="1" applyFont="1" applyBorder="1" applyAlignment="1">
      <alignment horizontal="left" vertical="center"/>
    </xf>
    <xf numFmtId="0" fontId="23" fillId="0" borderId="38" xfId="1" applyFont="1" applyBorder="1" applyAlignment="1">
      <alignment horizontal="center" vertical="center"/>
    </xf>
    <xf numFmtId="0" fontId="23" fillId="0" borderId="38" xfId="1" applyFont="1" applyBorder="1" applyAlignment="1">
      <alignment horizontal="left" vertical="center"/>
    </xf>
    <xf numFmtId="0" fontId="34" fillId="11" borderId="38" xfId="0" applyFont="1" applyFill="1" applyBorder="1" applyAlignment="1">
      <alignment horizontal="center" vertical="center"/>
    </xf>
    <xf numFmtId="0" fontId="34" fillId="11" borderId="38" xfId="1" applyFont="1" applyFill="1" applyBorder="1" applyAlignment="1">
      <alignment horizontal="left" vertical="center"/>
    </xf>
    <xf numFmtId="0" fontId="34" fillId="11" borderId="38" xfId="1" applyFont="1" applyFill="1" applyBorder="1" applyAlignment="1">
      <alignment horizontal="center" vertical="center"/>
    </xf>
    <xf numFmtId="0" fontId="35" fillId="11" borderId="38" xfId="0" applyFont="1" applyFill="1" applyBorder="1" applyAlignment="1">
      <alignment horizontal="center" vertical="center" wrapText="1"/>
    </xf>
    <xf numFmtId="0" fontId="34" fillId="11" borderId="38" xfId="0" applyFont="1" applyFill="1" applyBorder="1" applyAlignment="1">
      <alignment horizontal="left" vertical="center"/>
    </xf>
    <xf numFmtId="0" fontId="36" fillId="11" borderId="38" xfId="0" applyFont="1" applyFill="1" applyBorder="1" applyAlignment="1">
      <alignment horizontal="center" vertical="center"/>
    </xf>
    <xf numFmtId="0" fontId="32" fillId="0" borderId="38" xfId="0" applyFont="1" applyBorder="1" applyAlignment="1">
      <alignment horizontal="left" vertical="center"/>
    </xf>
    <xf numFmtId="0" fontId="31" fillId="0" borderId="38" xfId="0" applyFont="1" applyBorder="1" applyAlignment="1">
      <alignment horizontal="center"/>
    </xf>
    <xf numFmtId="0" fontId="31" fillId="10" borderId="38" xfId="0" applyFont="1" applyFill="1" applyBorder="1" applyAlignment="1">
      <alignment horizontal="center"/>
    </xf>
    <xf numFmtId="0" fontId="28" fillId="10" borderId="38" xfId="1" applyFont="1" applyFill="1" applyBorder="1" applyAlignment="1">
      <alignment horizontal="left" vertical="center"/>
    </xf>
    <xf numFmtId="0" fontId="32" fillId="10" borderId="38" xfId="0" applyFont="1" applyFill="1" applyBorder="1" applyAlignment="1">
      <alignment horizontal="left" vertical="center"/>
    </xf>
    <xf numFmtId="0" fontId="27" fillId="0" borderId="38" xfId="0" applyFont="1" applyBorder="1" applyAlignment="1">
      <alignment horizontal="left" vertical="center"/>
    </xf>
    <xf numFmtId="0" fontId="17" fillId="0" borderId="38" xfId="0" applyFont="1" applyBorder="1" applyAlignment="1">
      <alignment horizontal="center" vertical="center"/>
    </xf>
    <xf numFmtId="15" fontId="37" fillId="3" borderId="38" xfId="0" applyNumberFormat="1" applyFont="1" applyFill="1" applyBorder="1" applyAlignment="1">
      <alignment horizontal="center" vertical="center"/>
    </xf>
    <xf numFmtId="0" fontId="28" fillId="3" borderId="38" xfId="1" applyFont="1" applyFill="1" applyBorder="1" applyAlignment="1">
      <alignment horizontal="center" vertical="center"/>
    </xf>
    <xf numFmtId="0" fontId="28" fillId="3" borderId="38" xfId="0" applyFont="1" applyFill="1" applyBorder="1" applyAlignment="1">
      <alignment horizontal="left" vertical="center"/>
    </xf>
    <xf numFmtId="0" fontId="28" fillId="3" borderId="38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1" fillId="3" borderId="38" xfId="0" applyFont="1" applyFill="1" applyBorder="1" applyAlignment="1">
      <alignment horizontal="center" vertical="center"/>
    </xf>
    <xf numFmtId="0" fontId="28" fillId="12" borderId="38" xfId="0" applyFont="1" applyFill="1" applyBorder="1" applyAlignment="1">
      <alignment horizontal="center" vertical="center"/>
    </xf>
    <xf numFmtId="0" fontId="28" fillId="12" borderId="38" xfId="1" applyFont="1" applyFill="1" applyBorder="1" applyAlignment="1">
      <alignment horizontal="left" vertical="center"/>
    </xf>
    <xf numFmtId="0" fontId="28" fillId="12" borderId="38" xfId="1" applyFont="1" applyFill="1" applyBorder="1" applyAlignment="1">
      <alignment horizontal="center" vertical="center"/>
    </xf>
    <xf numFmtId="0" fontId="28" fillId="12" borderId="38" xfId="0" applyFont="1" applyFill="1" applyBorder="1" applyAlignment="1">
      <alignment horizontal="left" vertical="center"/>
    </xf>
    <xf numFmtId="0" fontId="20" fillId="12" borderId="38" xfId="0" applyFont="1" applyFill="1" applyBorder="1" applyAlignment="1">
      <alignment horizontal="center" vertical="center"/>
    </xf>
    <xf numFmtId="0" fontId="21" fillId="12" borderId="38" xfId="0" applyFont="1" applyFill="1" applyBorder="1" applyAlignment="1">
      <alignment horizontal="center" vertical="center"/>
    </xf>
    <xf numFmtId="0" fontId="26" fillId="12" borderId="38" xfId="0" applyFont="1" applyFill="1" applyBorder="1" applyAlignment="1">
      <alignment horizontal="center" vertical="center"/>
    </xf>
    <xf numFmtId="0" fontId="31" fillId="0" borderId="38" xfId="0" applyFont="1" applyBorder="1" applyAlignment="1">
      <alignment vertical="center" wrapText="1"/>
    </xf>
    <xf numFmtId="0" fontId="31" fillId="0" borderId="0" xfId="0" applyFont="1"/>
    <xf numFmtId="0" fontId="18" fillId="12" borderId="38" xfId="0" applyFont="1" applyFill="1" applyBorder="1" applyAlignment="1">
      <alignment horizontal="center" vertical="center"/>
    </xf>
    <xf numFmtId="0" fontId="21" fillId="12" borderId="38" xfId="1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 wrapText="1"/>
    </xf>
    <xf numFmtId="0" fontId="18" fillId="12" borderId="38" xfId="0" applyFont="1" applyFill="1" applyBorder="1" applyAlignment="1">
      <alignment vertical="center"/>
    </xf>
    <xf numFmtId="0" fontId="23" fillId="12" borderId="38" xfId="0" applyFont="1" applyFill="1" applyBorder="1" applyAlignment="1">
      <alignment horizontal="center" vertical="center"/>
    </xf>
    <xf numFmtId="0" fontId="29" fillId="0" borderId="0" xfId="0" applyFont="1"/>
    <xf numFmtId="0" fontId="25" fillId="0" borderId="38" xfId="0" applyFont="1" applyBorder="1" applyAlignment="1">
      <alignment vertical="center" wrapText="1"/>
    </xf>
    <xf numFmtId="0" fontId="38" fillId="10" borderId="38" xfId="1" applyFont="1" applyFill="1" applyBorder="1" applyAlignment="1">
      <alignment horizontal="center" vertical="center"/>
    </xf>
    <xf numFmtId="0" fontId="29" fillId="10" borderId="38" xfId="0" applyFont="1" applyFill="1" applyBorder="1" applyAlignment="1">
      <alignment vertical="center" wrapText="1"/>
    </xf>
    <xf numFmtId="0" fontId="38" fillId="10" borderId="38" xfId="0" applyFont="1" applyFill="1" applyBorder="1" applyAlignment="1">
      <alignment horizontal="center" vertical="center"/>
    </xf>
    <xf numFmtId="0" fontId="33" fillId="10" borderId="38" xfId="0" applyFont="1" applyFill="1" applyBorder="1" applyAlignment="1">
      <alignment horizontal="center" vertical="center"/>
    </xf>
    <xf numFmtId="0" fontId="32" fillId="0" borderId="38" xfId="1" applyFont="1" applyBorder="1" applyAlignment="1">
      <alignment horizontal="left" vertical="center"/>
    </xf>
    <xf numFmtId="0" fontId="39" fillId="0" borderId="38" xfId="1" applyFont="1" applyBorder="1" applyAlignment="1">
      <alignment horizontal="left" vertical="center"/>
    </xf>
    <xf numFmtId="0" fontId="23" fillId="3" borderId="38" xfId="0" applyFont="1" applyFill="1" applyBorder="1" applyAlignment="1">
      <alignment horizontal="center" vertical="center"/>
    </xf>
    <xf numFmtId="0" fontId="40" fillId="0" borderId="38" xfId="0" applyFont="1" applyBorder="1" applyAlignment="1">
      <alignment horizontal="left" vertical="center"/>
    </xf>
    <xf numFmtId="0" fontId="29" fillId="0" borderId="38" xfId="0" applyFont="1" applyBorder="1" applyAlignment="1">
      <alignment horizontal="center" vertical="center" wrapText="1"/>
    </xf>
    <xf numFmtId="0" fontId="28" fillId="0" borderId="38" xfId="0" applyFont="1" applyBorder="1" applyAlignment="1">
      <alignment vertical="center"/>
    </xf>
    <xf numFmtId="0" fontId="26" fillId="0" borderId="38" xfId="1" applyFont="1" applyBorder="1" applyAlignment="1">
      <alignment horizontal="left" vertical="center"/>
    </xf>
    <xf numFmtId="0" fontId="41" fillId="0" borderId="38" xfId="0" applyFont="1" applyBorder="1" applyAlignment="1">
      <alignment horizontal="center" vertical="center" wrapText="1"/>
    </xf>
    <xf numFmtId="15" fontId="23" fillId="3" borderId="38" xfId="0" applyNumberFormat="1" applyFont="1" applyFill="1" applyBorder="1" applyAlignment="1">
      <alignment horizontal="center" vertical="center"/>
    </xf>
    <xf numFmtId="0" fontId="31" fillId="0" borderId="38" xfId="0" applyFont="1" applyBorder="1" applyAlignment="1">
      <alignment horizontal="left"/>
    </xf>
    <xf numFmtId="15" fontId="28" fillId="0" borderId="38" xfId="0" applyNumberFormat="1" applyFont="1" applyBorder="1" applyAlignment="1">
      <alignment horizontal="center" vertical="center"/>
    </xf>
    <xf numFmtId="0" fontId="42" fillId="0" borderId="38" xfId="0" applyFont="1" applyBorder="1" applyAlignment="1">
      <alignment horizontal="center"/>
    </xf>
    <xf numFmtId="0" fontId="43" fillId="0" borderId="38" xfId="0" applyFont="1" applyBorder="1" applyAlignment="1">
      <alignment horizontal="center"/>
    </xf>
    <xf numFmtId="0" fontId="17" fillId="0" borderId="38" xfId="0" applyFont="1" applyBorder="1" applyAlignment="1">
      <alignment horizontal="center" vertical="center" wrapText="1"/>
    </xf>
    <xf numFmtId="0" fontId="20" fillId="10" borderId="38" xfId="0" applyFont="1" applyFill="1" applyBorder="1" applyAlignment="1">
      <alignment horizontal="left" vertical="center"/>
    </xf>
    <xf numFmtId="0" fontId="27" fillId="10" borderId="38" xfId="0" applyFont="1" applyFill="1" applyBorder="1" applyAlignment="1">
      <alignment horizontal="left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vertical="center"/>
    </xf>
    <xf numFmtId="0" fontId="44" fillId="0" borderId="38" xfId="0" applyFont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/>
    </xf>
    <xf numFmtId="0" fontId="13" fillId="13" borderId="54" xfId="0" applyFont="1" applyFill="1" applyBorder="1" applyAlignment="1">
      <alignment vertical="center"/>
    </xf>
    <xf numFmtId="0" fontId="46" fillId="13" borderId="26" xfId="0" applyFont="1" applyFill="1" applyBorder="1" applyAlignment="1">
      <alignment horizontal="right" vertical="center"/>
    </xf>
    <xf numFmtId="0" fontId="47" fillId="13" borderId="26" xfId="0" applyFont="1" applyFill="1" applyBorder="1" applyAlignment="1">
      <alignment horizontal="center"/>
    </xf>
    <xf numFmtId="0" fontId="13" fillId="13" borderId="26" xfId="0" applyFont="1" applyFill="1" applyBorder="1" applyAlignment="1">
      <alignment vertical="center"/>
    </xf>
    <xf numFmtId="0" fontId="12" fillId="13" borderId="26" xfId="0" applyFont="1" applyFill="1" applyBorder="1" applyAlignment="1">
      <alignment horizontal="right" vertical="center"/>
    </xf>
    <xf numFmtId="0" fontId="13" fillId="13" borderId="26" xfId="0" applyFont="1" applyFill="1" applyBorder="1" applyAlignment="1">
      <alignment horizontal="center" vertical="center"/>
    </xf>
    <xf numFmtId="0" fontId="18" fillId="13" borderId="26" xfId="0" applyFont="1" applyFill="1" applyBorder="1" applyAlignment="1">
      <alignment vertical="center"/>
    </xf>
    <xf numFmtId="0" fontId="13" fillId="13" borderId="65" xfId="0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25" fillId="0" borderId="38" xfId="0" applyFont="1" applyBorder="1" applyAlignment="1">
      <alignment horizontal="left" vertical="center"/>
    </xf>
    <xf numFmtId="0" fontId="25" fillId="0" borderId="38" xfId="0" applyFont="1" applyBorder="1" applyAlignment="1">
      <alignment vertical="center"/>
    </xf>
    <xf numFmtId="0" fontId="25" fillId="0" borderId="38" xfId="0" applyFont="1" applyBorder="1" applyAlignment="1">
      <alignment horizontal="center"/>
    </xf>
    <xf numFmtId="0" fontId="49" fillId="0" borderId="81" xfId="0" applyFont="1" applyBorder="1" applyAlignment="1">
      <alignment horizontal="center" vertical="center" wrapText="1"/>
    </xf>
    <xf numFmtId="0" fontId="49" fillId="0" borderId="82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5" fillId="8" borderId="60" xfId="0" applyFont="1" applyFill="1" applyBorder="1" applyAlignment="1">
      <alignment horizontal="center" vertical="center" wrapText="1"/>
    </xf>
    <xf numFmtId="0" fontId="15" fillId="8" borderId="61" xfId="0" applyFont="1" applyFill="1" applyBorder="1" applyAlignment="1">
      <alignment horizontal="center" vertical="center" wrapText="1"/>
    </xf>
    <xf numFmtId="0" fontId="15" fillId="8" borderId="62" xfId="0" applyFont="1" applyFill="1" applyBorder="1" applyAlignment="1">
      <alignment horizontal="center" vertical="center" wrapText="1"/>
    </xf>
    <xf numFmtId="0" fontId="15" fillId="8" borderId="63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5" fillId="8" borderId="64" xfId="0" applyFont="1" applyFill="1" applyBorder="1" applyAlignment="1">
      <alignment horizontal="center" vertical="center" wrapText="1"/>
    </xf>
    <xf numFmtId="0" fontId="15" fillId="8" borderId="66" xfId="0" applyFont="1" applyFill="1" applyBorder="1" applyAlignment="1">
      <alignment horizontal="center" vertical="center" wrapText="1"/>
    </xf>
    <xf numFmtId="0" fontId="15" fillId="8" borderId="67" xfId="0" applyFont="1" applyFill="1" applyBorder="1" applyAlignment="1">
      <alignment horizontal="center" vertical="center" wrapText="1"/>
    </xf>
    <xf numFmtId="0" fontId="15" fillId="8" borderId="68" xfId="0" applyFont="1" applyFill="1" applyBorder="1" applyAlignment="1">
      <alignment horizontal="center" vertical="center" wrapText="1"/>
    </xf>
    <xf numFmtId="1" fontId="16" fillId="9" borderId="60" xfId="0" applyNumberFormat="1" applyFont="1" applyFill="1" applyBorder="1" applyAlignment="1">
      <alignment horizontal="center" vertical="center" wrapText="1"/>
    </xf>
    <xf numFmtId="1" fontId="16" fillId="9" borderId="61" xfId="0" applyNumberFormat="1" applyFont="1" applyFill="1" applyBorder="1" applyAlignment="1">
      <alignment horizontal="center" vertical="center" wrapText="1"/>
    </xf>
    <xf numFmtId="1" fontId="16" fillId="9" borderId="62" xfId="0" applyNumberFormat="1" applyFont="1" applyFill="1" applyBorder="1" applyAlignment="1">
      <alignment horizontal="center" vertical="center" wrapText="1"/>
    </xf>
    <xf numFmtId="1" fontId="16" fillId="9" borderId="63" xfId="0" applyNumberFormat="1" applyFont="1" applyFill="1" applyBorder="1" applyAlignment="1">
      <alignment horizontal="center" vertical="center" wrapText="1"/>
    </xf>
    <xf numFmtId="1" fontId="16" fillId="9" borderId="0" xfId="0" applyNumberFormat="1" applyFont="1" applyFill="1" applyAlignment="1">
      <alignment horizontal="center" vertical="center" wrapText="1"/>
    </xf>
    <xf numFmtId="1" fontId="16" fillId="9" borderId="64" xfId="0" applyNumberFormat="1" applyFont="1" applyFill="1" applyBorder="1" applyAlignment="1">
      <alignment horizontal="center" vertical="center" wrapText="1"/>
    </xf>
    <xf numFmtId="1" fontId="16" fillId="9" borderId="66" xfId="0" applyNumberFormat="1" applyFont="1" applyFill="1" applyBorder="1" applyAlignment="1">
      <alignment horizontal="center" vertical="center" wrapText="1"/>
    </xf>
    <xf numFmtId="1" fontId="16" fillId="9" borderId="67" xfId="0" applyNumberFormat="1" applyFont="1" applyFill="1" applyBorder="1" applyAlignment="1">
      <alignment horizontal="center" vertical="center" wrapText="1"/>
    </xf>
    <xf numFmtId="1" fontId="16" fillId="9" borderId="68" xfId="0" applyNumberFormat="1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6" fillId="6" borderId="3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1" fontId="6" fillId="4" borderId="5" xfId="0" applyNumberFormat="1" applyFont="1" applyFill="1" applyBorder="1" applyAlignment="1">
      <alignment horizontal="center" vertical="center" wrapText="1"/>
    </xf>
    <xf numFmtId="1" fontId="6" fillId="4" borderId="6" xfId="0" applyNumberFormat="1" applyFont="1" applyFill="1" applyBorder="1" applyAlignment="1">
      <alignment horizontal="center" vertical="center" wrapText="1"/>
    </xf>
    <xf numFmtId="1" fontId="6" fillId="4" borderId="7" xfId="0" applyNumberFormat="1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0" xfId="0" applyNumberFormat="1" applyFont="1" applyFill="1" applyAlignment="1">
      <alignment horizontal="center" vertical="center" wrapText="1"/>
    </xf>
    <xf numFmtId="1" fontId="6" fillId="4" borderId="13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vertical="center" wrapText="1"/>
    </xf>
    <xf numFmtId="1" fontId="6" fillId="4" borderId="23" xfId="0" applyNumberFormat="1" applyFont="1" applyFill="1" applyBorder="1" applyAlignment="1">
      <alignment horizontal="center" vertical="center" wrapText="1"/>
    </xf>
    <xf numFmtId="1" fontId="6" fillId="4" borderId="36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1" fontId="6" fillId="2" borderId="38" xfId="0" applyNumberFormat="1" applyFont="1" applyFill="1" applyBorder="1" applyAlignment="1">
      <alignment horizontal="center" vertical="center" wrapText="1"/>
    </xf>
    <xf numFmtId="0" fontId="6" fillId="7" borderId="72" xfId="0" applyFont="1" applyFill="1" applyBorder="1" applyAlignment="1">
      <alignment horizontal="center" vertical="center"/>
    </xf>
    <xf numFmtId="0" fontId="6" fillId="7" borderId="73" xfId="0" applyFont="1" applyFill="1" applyBorder="1" applyAlignment="1">
      <alignment horizontal="center" vertical="center"/>
    </xf>
    <xf numFmtId="0" fontId="6" fillId="7" borderId="74" xfId="0" applyFont="1" applyFill="1" applyBorder="1" applyAlignment="1">
      <alignment horizontal="center" vertical="center"/>
    </xf>
    <xf numFmtId="0" fontId="48" fillId="7" borderId="78" xfId="0" applyFont="1" applyFill="1" applyBorder="1" applyAlignment="1">
      <alignment horizontal="center" vertical="center"/>
    </xf>
    <xf numFmtId="0" fontId="48" fillId="7" borderId="79" xfId="0" applyFont="1" applyFill="1" applyBorder="1" applyAlignment="1">
      <alignment horizontal="center" vertical="center"/>
    </xf>
    <xf numFmtId="0" fontId="48" fillId="7" borderId="80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B0224E1B-D772-4048-9488-7DF913DC7FF9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40821</xdr:colOff>
      <xdr:row>4</xdr:row>
      <xdr:rowOff>54430</xdr:rowOff>
    </xdr:from>
    <xdr:to>
      <xdr:col>27</xdr:col>
      <xdr:colOff>38100</xdr:colOff>
      <xdr:row>14</xdr:row>
      <xdr:rowOff>4513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F904A-CCE0-4CF9-AA78-1DCF0BFED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421" y="283030"/>
          <a:ext cx="1311729" cy="1087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E8C7-338A-41C8-A787-197035A90468}">
  <dimension ref="A1:M192"/>
  <sheetViews>
    <sheetView workbookViewId="0">
      <selection activeCell="G21" sqref="G21"/>
    </sheetView>
  </sheetViews>
  <sheetFormatPr defaultColWidth="9" defaultRowHeight="15.6" x14ac:dyDescent="0.3"/>
  <cols>
    <col min="1" max="1" width="6.88671875" style="193" bestFit="1" customWidth="1"/>
    <col min="2" max="2" width="11.88671875" style="193" customWidth="1"/>
    <col min="3" max="3" width="68" style="194" bestFit="1" customWidth="1"/>
    <col min="4" max="4" width="22.44140625" style="193" bestFit="1" customWidth="1"/>
    <col min="5" max="5" width="20.33203125" style="193" hidden="1" customWidth="1"/>
    <col min="6" max="6" width="39.6640625" style="193" hidden="1" customWidth="1"/>
    <col min="7" max="7" width="47.6640625" style="61" bestFit="1" customWidth="1"/>
    <col min="8" max="8" width="17.6640625" style="193" customWidth="1"/>
    <col min="9" max="9" width="28.88671875" style="193" customWidth="1"/>
    <col min="10" max="10" width="10.109375" style="193" customWidth="1"/>
    <col min="11" max="11" width="19.5546875" style="193" bestFit="1" customWidth="1"/>
    <col min="12" max="12" width="19.5546875" style="193" customWidth="1"/>
    <col min="13" max="13" width="47.6640625" style="193" bestFit="1" customWidth="1"/>
    <col min="14" max="16384" width="9" style="61"/>
  </cols>
  <sheetData>
    <row r="1" spans="1:13" ht="16.2" thickBot="1" x14ac:dyDescent="0.35">
      <c r="A1" s="59"/>
      <c r="B1" s="59"/>
      <c r="C1" s="59"/>
      <c r="D1" s="60"/>
      <c r="E1" s="59"/>
      <c r="F1" s="59"/>
      <c r="G1" s="59"/>
      <c r="H1" s="60"/>
      <c r="I1" s="60"/>
      <c r="J1" s="59"/>
      <c r="K1" s="59"/>
      <c r="L1" s="59"/>
      <c r="M1" s="59"/>
    </row>
    <row r="2" spans="1:13" ht="17.399999999999999" x14ac:dyDescent="0.3">
      <c r="A2" s="354" t="s">
        <v>80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6"/>
    </row>
    <row r="3" spans="1:13" s="66" customFormat="1" ht="31.2" x14ac:dyDescent="0.3">
      <c r="A3" s="62" t="s">
        <v>81</v>
      </c>
      <c r="B3" s="63" t="s">
        <v>82</v>
      </c>
      <c r="C3" s="63" t="s">
        <v>83</v>
      </c>
      <c r="D3" s="63" t="s">
        <v>84</v>
      </c>
      <c r="E3" s="63" t="s">
        <v>85</v>
      </c>
      <c r="F3" s="63" t="s">
        <v>86</v>
      </c>
      <c r="G3" s="63" t="s">
        <v>87</v>
      </c>
      <c r="H3" s="63" t="s">
        <v>88</v>
      </c>
      <c r="I3" s="63" t="s">
        <v>89</v>
      </c>
      <c r="J3" s="63" t="s">
        <v>90</v>
      </c>
      <c r="K3" s="63" t="s">
        <v>91</v>
      </c>
      <c r="L3" s="64" t="s">
        <v>92</v>
      </c>
      <c r="M3" s="65" t="s">
        <v>93</v>
      </c>
    </row>
    <row r="4" spans="1:13" s="70" customFormat="1" x14ac:dyDescent="0.3">
      <c r="A4" s="67" t="s">
        <v>94</v>
      </c>
      <c r="B4" s="67">
        <f>SUM(B5:B19)</f>
        <v>15</v>
      </c>
      <c r="C4" s="68" t="s">
        <v>95</v>
      </c>
      <c r="D4" s="69"/>
      <c r="E4" s="69"/>
      <c r="F4" s="69"/>
      <c r="G4" s="69"/>
      <c r="H4" s="69"/>
      <c r="I4" s="69"/>
      <c r="J4" s="67">
        <f>SUM(J5:J19)</f>
        <v>15</v>
      </c>
      <c r="K4" s="67"/>
      <c r="L4" s="67"/>
      <c r="M4" s="69"/>
    </row>
    <row r="5" spans="1:13" s="79" customFormat="1" x14ac:dyDescent="0.3">
      <c r="A5" s="71">
        <v>1</v>
      </c>
      <c r="B5" s="72">
        <v>1</v>
      </c>
      <c r="C5" s="73" t="s">
        <v>96</v>
      </c>
      <c r="D5" s="74">
        <v>1755699</v>
      </c>
      <c r="E5" s="74">
        <v>1046413298</v>
      </c>
      <c r="F5" s="75">
        <v>8697168</v>
      </c>
      <c r="G5" s="76" t="s">
        <v>97</v>
      </c>
      <c r="H5" s="77" t="s">
        <v>98</v>
      </c>
      <c r="I5" s="78" t="s">
        <v>99</v>
      </c>
      <c r="J5" s="72">
        <v>1</v>
      </c>
      <c r="K5" s="72" t="s">
        <v>100</v>
      </c>
      <c r="L5" s="72" t="s">
        <v>101</v>
      </c>
      <c r="M5" s="74"/>
    </row>
    <row r="6" spans="1:13" x14ac:dyDescent="0.3">
      <c r="A6" s="72">
        <f>A5+1</f>
        <v>2</v>
      </c>
      <c r="B6" s="72">
        <v>1</v>
      </c>
      <c r="C6" s="80" t="s">
        <v>102</v>
      </c>
      <c r="D6" s="74">
        <v>1756126</v>
      </c>
      <c r="E6" s="74">
        <v>2598360739</v>
      </c>
      <c r="F6" s="75">
        <v>7278822</v>
      </c>
      <c r="G6" s="81" t="s">
        <v>103</v>
      </c>
      <c r="H6" s="72" t="s">
        <v>104</v>
      </c>
      <c r="I6" s="72" t="s">
        <v>99</v>
      </c>
      <c r="J6" s="72">
        <v>1</v>
      </c>
      <c r="K6" s="72" t="s">
        <v>100</v>
      </c>
      <c r="L6" s="72" t="s">
        <v>101</v>
      </c>
      <c r="M6" s="74"/>
    </row>
    <row r="7" spans="1:13" s="79" customFormat="1" x14ac:dyDescent="0.3">
      <c r="A7" s="72">
        <f>A6+1</f>
        <v>3</v>
      </c>
      <c r="B7" s="72">
        <v>1</v>
      </c>
      <c r="C7" s="73" t="s">
        <v>105</v>
      </c>
      <c r="D7" s="72">
        <v>1756243</v>
      </c>
      <c r="E7" s="74">
        <v>1111146245</v>
      </c>
      <c r="F7" s="75">
        <v>7279586</v>
      </c>
      <c r="G7" s="80" t="s">
        <v>106</v>
      </c>
      <c r="H7" s="77" t="s">
        <v>98</v>
      </c>
      <c r="I7" s="72" t="s">
        <v>99</v>
      </c>
      <c r="J7" s="72">
        <v>1</v>
      </c>
      <c r="K7" s="72" t="s">
        <v>100</v>
      </c>
      <c r="L7" s="72" t="s">
        <v>101</v>
      </c>
      <c r="M7" s="74"/>
    </row>
    <row r="8" spans="1:13" s="79" customFormat="1" x14ac:dyDescent="0.3">
      <c r="A8" s="82">
        <f t="shared" ref="A8:A19" si="0">A7+1</f>
        <v>4</v>
      </c>
      <c r="B8" s="82">
        <v>1</v>
      </c>
      <c r="C8" s="83" t="s">
        <v>107</v>
      </c>
      <c r="D8" s="84"/>
      <c r="E8" s="85">
        <v>2603661741</v>
      </c>
      <c r="F8" s="86"/>
      <c r="G8" s="87" t="s">
        <v>108</v>
      </c>
      <c r="H8" s="82" t="s">
        <v>104</v>
      </c>
      <c r="I8" s="82" t="s">
        <v>109</v>
      </c>
      <c r="J8" s="82">
        <v>1</v>
      </c>
      <c r="K8" s="82" t="s">
        <v>100</v>
      </c>
      <c r="L8" s="82" t="s">
        <v>101</v>
      </c>
      <c r="M8" s="88"/>
    </row>
    <row r="9" spans="1:13" s="79" customFormat="1" x14ac:dyDescent="0.3">
      <c r="A9" s="72">
        <f t="shared" si="0"/>
        <v>5</v>
      </c>
      <c r="B9" s="72">
        <v>1</v>
      </c>
      <c r="C9" s="73" t="s">
        <v>110</v>
      </c>
      <c r="D9" s="72">
        <v>1756274</v>
      </c>
      <c r="E9" s="74">
        <v>2605358106</v>
      </c>
      <c r="F9" s="75">
        <v>7291799</v>
      </c>
      <c r="G9" s="80" t="s">
        <v>111</v>
      </c>
      <c r="H9" s="72" t="s">
        <v>104</v>
      </c>
      <c r="I9" s="78" t="s">
        <v>99</v>
      </c>
      <c r="J9" s="72">
        <v>1</v>
      </c>
      <c r="K9" s="72" t="s">
        <v>100</v>
      </c>
      <c r="L9" s="72" t="s">
        <v>101</v>
      </c>
      <c r="M9" s="89"/>
    </row>
    <row r="10" spans="1:13" s="79" customFormat="1" x14ac:dyDescent="0.3">
      <c r="A10" s="72">
        <f t="shared" si="0"/>
        <v>6</v>
      </c>
      <c r="B10" s="72">
        <v>1</v>
      </c>
      <c r="C10" s="73" t="s">
        <v>112</v>
      </c>
      <c r="D10" s="74">
        <v>1756026</v>
      </c>
      <c r="E10" s="74">
        <v>2593672039</v>
      </c>
      <c r="F10" s="75">
        <v>8755423</v>
      </c>
      <c r="G10" s="90" t="s">
        <v>113</v>
      </c>
      <c r="H10" s="72" t="s">
        <v>104</v>
      </c>
      <c r="I10" s="78" t="s">
        <v>99</v>
      </c>
      <c r="J10" s="72">
        <v>1</v>
      </c>
      <c r="K10" s="72" t="s">
        <v>100</v>
      </c>
      <c r="L10" s="72" t="s">
        <v>114</v>
      </c>
      <c r="M10" s="89"/>
    </row>
    <row r="11" spans="1:13" s="79" customFormat="1" x14ac:dyDescent="0.3">
      <c r="A11" s="72">
        <f t="shared" si="0"/>
        <v>7</v>
      </c>
      <c r="B11" s="72">
        <v>1</v>
      </c>
      <c r="C11" s="73" t="s">
        <v>115</v>
      </c>
      <c r="D11" s="74">
        <v>1755841</v>
      </c>
      <c r="E11" s="74">
        <v>1084986205</v>
      </c>
      <c r="F11" s="75">
        <v>8701080</v>
      </c>
      <c r="G11" s="80" t="s">
        <v>116</v>
      </c>
      <c r="H11" s="77" t="s">
        <v>98</v>
      </c>
      <c r="I11" s="78" t="s">
        <v>99</v>
      </c>
      <c r="J11" s="72">
        <v>1</v>
      </c>
      <c r="K11" s="72" t="s">
        <v>100</v>
      </c>
      <c r="L11" s="72" t="s">
        <v>101</v>
      </c>
      <c r="M11" s="74"/>
    </row>
    <row r="12" spans="1:13" s="79" customFormat="1" x14ac:dyDescent="0.3">
      <c r="A12" s="72">
        <f t="shared" si="0"/>
        <v>8</v>
      </c>
      <c r="B12" s="72">
        <v>1</v>
      </c>
      <c r="C12" s="73" t="s">
        <v>117</v>
      </c>
      <c r="D12" s="74">
        <v>1755796</v>
      </c>
      <c r="E12" s="74">
        <v>2575630724</v>
      </c>
      <c r="F12" s="75">
        <v>8700272</v>
      </c>
      <c r="G12" s="80" t="s">
        <v>118</v>
      </c>
      <c r="H12" s="72" t="s">
        <v>104</v>
      </c>
      <c r="I12" s="72" t="s">
        <v>99</v>
      </c>
      <c r="J12" s="72">
        <v>1</v>
      </c>
      <c r="K12" s="72" t="s">
        <v>100</v>
      </c>
      <c r="L12" s="72" t="s">
        <v>101</v>
      </c>
      <c r="M12" s="74"/>
    </row>
    <row r="13" spans="1:13" s="94" customFormat="1" x14ac:dyDescent="0.3">
      <c r="A13" s="72">
        <f t="shared" si="0"/>
        <v>9</v>
      </c>
      <c r="B13" s="72">
        <v>1</v>
      </c>
      <c r="C13" s="91" t="s">
        <v>119</v>
      </c>
      <c r="D13" s="72">
        <v>1755611</v>
      </c>
      <c r="E13" s="74">
        <v>2566403339</v>
      </c>
      <c r="F13" s="75">
        <v>8697738</v>
      </c>
      <c r="G13" s="92" t="s">
        <v>120</v>
      </c>
      <c r="H13" s="72" t="s">
        <v>104</v>
      </c>
      <c r="I13" s="72" t="s">
        <v>99</v>
      </c>
      <c r="J13" s="93">
        <v>1</v>
      </c>
      <c r="K13" s="72" t="s">
        <v>100</v>
      </c>
      <c r="L13" s="72" t="s">
        <v>101</v>
      </c>
      <c r="M13" s="74"/>
    </row>
    <row r="14" spans="1:13" s="79" customFormat="1" x14ac:dyDescent="0.3">
      <c r="A14" s="72">
        <f t="shared" si="0"/>
        <v>10</v>
      </c>
      <c r="B14" s="72">
        <v>1</v>
      </c>
      <c r="C14" s="91" t="s">
        <v>121</v>
      </c>
      <c r="D14" s="74">
        <v>1755845</v>
      </c>
      <c r="E14" s="74">
        <v>2577685080</v>
      </c>
      <c r="F14" s="75">
        <v>8701662</v>
      </c>
      <c r="G14" s="92" t="s">
        <v>122</v>
      </c>
      <c r="H14" s="72" t="s">
        <v>104</v>
      </c>
      <c r="I14" s="78" t="s">
        <v>99</v>
      </c>
      <c r="J14" s="72">
        <v>1</v>
      </c>
      <c r="K14" s="72" t="s">
        <v>100</v>
      </c>
      <c r="L14" s="72" t="s">
        <v>101</v>
      </c>
      <c r="M14" s="74"/>
    </row>
    <row r="15" spans="1:13" s="79" customFormat="1" x14ac:dyDescent="0.3">
      <c r="A15" s="72">
        <f t="shared" si="0"/>
        <v>11</v>
      </c>
      <c r="B15" s="72">
        <v>1</v>
      </c>
      <c r="C15" s="73" t="s">
        <v>123</v>
      </c>
      <c r="D15" s="72">
        <v>1755800</v>
      </c>
      <c r="E15" s="74">
        <v>2575631136</v>
      </c>
      <c r="F15" s="75">
        <v>8714159</v>
      </c>
      <c r="G15" s="95" t="s">
        <v>124</v>
      </c>
      <c r="H15" s="72" t="s">
        <v>104</v>
      </c>
      <c r="I15" s="72" t="s">
        <v>99</v>
      </c>
      <c r="J15" s="72">
        <v>1</v>
      </c>
      <c r="K15" s="72" t="s">
        <v>100</v>
      </c>
      <c r="L15" s="72" t="s">
        <v>101</v>
      </c>
      <c r="M15" s="84"/>
    </row>
    <row r="16" spans="1:13" s="79" customFormat="1" x14ac:dyDescent="0.3">
      <c r="A16" s="72">
        <f t="shared" si="0"/>
        <v>12</v>
      </c>
      <c r="B16" s="72">
        <v>1</v>
      </c>
      <c r="C16" s="96" t="s">
        <v>125</v>
      </c>
      <c r="D16" s="97">
        <v>1756144</v>
      </c>
      <c r="E16" s="74">
        <v>2598988018</v>
      </c>
      <c r="F16" s="75">
        <v>7271463</v>
      </c>
      <c r="G16" s="96" t="s">
        <v>126</v>
      </c>
      <c r="H16" s="97" t="s">
        <v>104</v>
      </c>
      <c r="I16" s="97" t="s">
        <v>99</v>
      </c>
      <c r="J16" s="72">
        <v>1</v>
      </c>
      <c r="K16" s="72" t="s">
        <v>100</v>
      </c>
      <c r="L16" s="72" t="s">
        <v>101</v>
      </c>
      <c r="M16" s="98"/>
    </row>
    <row r="17" spans="1:13" s="79" customFormat="1" x14ac:dyDescent="0.3">
      <c r="A17" s="72">
        <f t="shared" si="0"/>
        <v>13</v>
      </c>
      <c r="B17" s="99">
        <v>1</v>
      </c>
      <c r="C17" s="100" t="s">
        <v>127</v>
      </c>
      <c r="D17" s="97">
        <v>1754209</v>
      </c>
      <c r="E17" s="101">
        <v>2476439936</v>
      </c>
      <c r="F17" s="102">
        <v>7306996</v>
      </c>
      <c r="G17" s="96" t="s">
        <v>128</v>
      </c>
      <c r="H17" s="97" t="s">
        <v>129</v>
      </c>
      <c r="I17" s="97" t="s">
        <v>99</v>
      </c>
      <c r="J17" s="97">
        <v>1</v>
      </c>
      <c r="K17" s="97" t="s">
        <v>100</v>
      </c>
      <c r="L17" s="97" t="s">
        <v>101</v>
      </c>
      <c r="M17" s="103"/>
    </row>
    <row r="18" spans="1:13" s="79" customFormat="1" x14ac:dyDescent="0.3">
      <c r="A18" s="72">
        <f t="shared" si="0"/>
        <v>14</v>
      </c>
      <c r="B18" s="72">
        <v>1</v>
      </c>
      <c r="C18" s="73" t="s">
        <v>130</v>
      </c>
      <c r="D18" s="71">
        <v>1756346</v>
      </c>
      <c r="E18" s="74">
        <v>1097766198</v>
      </c>
      <c r="F18" s="75">
        <v>7311692</v>
      </c>
      <c r="G18" s="80" t="s">
        <v>131</v>
      </c>
      <c r="H18" s="77" t="s">
        <v>98</v>
      </c>
      <c r="I18" s="78" t="s">
        <v>99</v>
      </c>
      <c r="J18" s="78">
        <v>1</v>
      </c>
      <c r="K18" s="78" t="s">
        <v>100</v>
      </c>
      <c r="L18" s="78" t="s">
        <v>101</v>
      </c>
      <c r="M18" s="74"/>
    </row>
    <row r="19" spans="1:13" s="79" customFormat="1" x14ac:dyDescent="0.3">
      <c r="A19" s="72">
        <f t="shared" si="0"/>
        <v>15</v>
      </c>
      <c r="B19" s="72">
        <v>1</v>
      </c>
      <c r="C19" s="73" t="s">
        <v>132</v>
      </c>
      <c r="D19" s="71">
        <v>1754134</v>
      </c>
      <c r="E19" s="74">
        <v>2174001798</v>
      </c>
      <c r="F19" s="75">
        <v>7292268</v>
      </c>
      <c r="G19" s="80" t="s">
        <v>133</v>
      </c>
      <c r="H19" s="93" t="s">
        <v>104</v>
      </c>
      <c r="I19" s="78" t="s">
        <v>99</v>
      </c>
      <c r="J19" s="78">
        <v>1</v>
      </c>
      <c r="K19" s="78" t="s">
        <v>100</v>
      </c>
      <c r="L19" s="78" t="s">
        <v>101</v>
      </c>
      <c r="M19" s="74"/>
    </row>
    <row r="20" spans="1:13" s="70" customFormat="1" x14ac:dyDescent="0.3">
      <c r="A20" s="67" t="s">
        <v>134</v>
      </c>
      <c r="B20" s="67">
        <f>SUM(B21:B61)</f>
        <v>41</v>
      </c>
      <c r="C20" s="68" t="s">
        <v>32</v>
      </c>
      <c r="D20" s="69"/>
      <c r="E20" s="74"/>
      <c r="F20" s="75"/>
      <c r="G20" s="69"/>
      <c r="H20" s="69"/>
      <c r="I20" s="69"/>
      <c r="J20" s="67">
        <f>SUM(J21:J61)</f>
        <v>40</v>
      </c>
      <c r="K20" s="67"/>
      <c r="L20" s="67"/>
      <c r="M20" s="89"/>
    </row>
    <row r="21" spans="1:13" s="70" customFormat="1" x14ac:dyDescent="0.3">
      <c r="A21" s="72">
        <f>A19+1</f>
        <v>16</v>
      </c>
      <c r="B21" s="72">
        <v>1</v>
      </c>
      <c r="C21" s="73" t="s">
        <v>135</v>
      </c>
      <c r="D21" s="103">
        <v>1756087</v>
      </c>
      <c r="E21" s="74">
        <v>2463260477</v>
      </c>
      <c r="F21" s="75">
        <v>8791830</v>
      </c>
      <c r="G21" s="96" t="s">
        <v>136</v>
      </c>
      <c r="H21" s="97" t="s">
        <v>137</v>
      </c>
      <c r="I21" s="97" t="s">
        <v>99</v>
      </c>
      <c r="J21" s="97">
        <v>1</v>
      </c>
      <c r="K21" s="97" t="s">
        <v>100</v>
      </c>
      <c r="L21" s="97" t="s">
        <v>114</v>
      </c>
      <c r="M21" s="104"/>
    </row>
    <row r="22" spans="1:13" s="79" customFormat="1" x14ac:dyDescent="0.3">
      <c r="A22" s="72">
        <f>A21+1</f>
        <v>17</v>
      </c>
      <c r="B22" s="72">
        <v>1</v>
      </c>
      <c r="C22" s="73" t="s">
        <v>138</v>
      </c>
      <c r="D22" s="71">
        <v>1756452</v>
      </c>
      <c r="E22" s="74">
        <v>2617831793</v>
      </c>
      <c r="F22" s="105" t="s">
        <v>139</v>
      </c>
      <c r="G22" s="90" t="s">
        <v>140</v>
      </c>
      <c r="H22" s="93" t="s">
        <v>141</v>
      </c>
      <c r="I22" s="78" t="s">
        <v>99</v>
      </c>
      <c r="J22" s="93">
        <v>1</v>
      </c>
      <c r="K22" s="97" t="s">
        <v>100</v>
      </c>
      <c r="L22" s="97" t="s">
        <v>101</v>
      </c>
      <c r="M22" s="77"/>
    </row>
    <row r="23" spans="1:13" s="79" customFormat="1" x14ac:dyDescent="0.3">
      <c r="A23" s="72">
        <f>A22+1</f>
        <v>18</v>
      </c>
      <c r="B23" s="97">
        <v>1</v>
      </c>
      <c r="C23" s="96" t="s">
        <v>142</v>
      </c>
      <c r="D23" s="103">
        <v>1756461</v>
      </c>
      <c r="E23" s="74">
        <v>2619119809</v>
      </c>
      <c r="F23" s="75">
        <v>7195062</v>
      </c>
      <c r="G23" s="96" t="s">
        <v>143</v>
      </c>
      <c r="H23" s="97" t="s">
        <v>104</v>
      </c>
      <c r="I23" s="97" t="s">
        <v>99</v>
      </c>
      <c r="J23" s="97">
        <v>1</v>
      </c>
      <c r="K23" s="97" t="s">
        <v>100</v>
      </c>
      <c r="L23" s="97" t="s">
        <v>101</v>
      </c>
      <c r="M23" s="104"/>
    </row>
    <row r="24" spans="1:13" s="79" customFormat="1" x14ac:dyDescent="0.3">
      <c r="A24" s="72">
        <f t="shared" ref="A24:A61" si="1">A23+1</f>
        <v>19</v>
      </c>
      <c r="B24" s="97">
        <v>1</v>
      </c>
      <c r="C24" s="100" t="s">
        <v>144</v>
      </c>
      <c r="D24" s="71">
        <v>1753288</v>
      </c>
      <c r="E24" s="74">
        <v>2368533887</v>
      </c>
      <c r="F24" s="75">
        <v>7195061</v>
      </c>
      <c r="G24" s="90" t="s">
        <v>145</v>
      </c>
      <c r="H24" s="72" t="s">
        <v>141</v>
      </c>
      <c r="I24" s="78" t="s">
        <v>99</v>
      </c>
      <c r="J24" s="93">
        <v>1</v>
      </c>
      <c r="K24" s="97" t="s">
        <v>100</v>
      </c>
      <c r="L24" s="97" t="s">
        <v>101</v>
      </c>
      <c r="M24" s="104"/>
    </row>
    <row r="25" spans="1:13" s="79" customFormat="1" x14ac:dyDescent="0.3">
      <c r="A25" s="72">
        <f t="shared" si="1"/>
        <v>20</v>
      </c>
      <c r="B25" s="97">
        <v>1</v>
      </c>
      <c r="C25" s="100" t="s">
        <v>146</v>
      </c>
      <c r="D25" s="101">
        <v>1756457</v>
      </c>
      <c r="E25" s="74">
        <v>2617829706</v>
      </c>
      <c r="F25" s="75">
        <v>7201159</v>
      </c>
      <c r="G25" s="96" t="s">
        <v>147</v>
      </c>
      <c r="H25" s="97" t="s">
        <v>141</v>
      </c>
      <c r="I25" s="97" t="s">
        <v>99</v>
      </c>
      <c r="J25" s="97">
        <v>1</v>
      </c>
      <c r="K25" s="97" t="s">
        <v>100</v>
      </c>
      <c r="L25" s="97" t="s">
        <v>101</v>
      </c>
      <c r="M25" s="104"/>
    </row>
    <row r="26" spans="1:13" s="79" customFormat="1" x14ac:dyDescent="0.3">
      <c r="A26" s="72">
        <f t="shared" si="1"/>
        <v>21</v>
      </c>
      <c r="B26" s="72">
        <v>1</v>
      </c>
      <c r="C26" s="73" t="s">
        <v>148</v>
      </c>
      <c r="D26" s="71">
        <v>1756196</v>
      </c>
      <c r="E26" s="74">
        <v>2601407550</v>
      </c>
      <c r="F26" s="75">
        <v>7316235</v>
      </c>
      <c r="G26" s="73" t="s">
        <v>149</v>
      </c>
      <c r="H26" s="93" t="s">
        <v>104</v>
      </c>
      <c r="I26" s="78" t="s">
        <v>99</v>
      </c>
      <c r="J26" s="93">
        <v>1</v>
      </c>
      <c r="K26" s="72" t="s">
        <v>100</v>
      </c>
      <c r="L26" s="72" t="s">
        <v>101</v>
      </c>
      <c r="M26" s="77"/>
    </row>
    <row r="27" spans="1:13" s="79" customFormat="1" x14ac:dyDescent="0.3">
      <c r="A27" s="72">
        <f t="shared" si="1"/>
        <v>22</v>
      </c>
      <c r="B27" s="72">
        <v>1</v>
      </c>
      <c r="C27" s="90" t="s">
        <v>150</v>
      </c>
      <c r="D27" s="71">
        <v>1756147</v>
      </c>
      <c r="E27" s="74">
        <v>2598988349</v>
      </c>
      <c r="F27" s="75">
        <v>7278829</v>
      </c>
      <c r="G27" s="90" t="s">
        <v>151</v>
      </c>
      <c r="H27" s="72" t="s">
        <v>141</v>
      </c>
      <c r="I27" s="78" t="s">
        <v>99</v>
      </c>
      <c r="J27" s="93">
        <v>1</v>
      </c>
      <c r="K27" s="72" t="s">
        <v>100</v>
      </c>
      <c r="L27" s="72" t="s">
        <v>101</v>
      </c>
      <c r="M27" s="89"/>
    </row>
    <row r="28" spans="1:13" s="79" customFormat="1" x14ac:dyDescent="0.3">
      <c r="A28" s="72">
        <f t="shared" si="1"/>
        <v>23</v>
      </c>
      <c r="B28" s="72">
        <v>1</v>
      </c>
      <c r="C28" s="90" t="s">
        <v>152</v>
      </c>
      <c r="D28" s="71">
        <v>1755950</v>
      </c>
      <c r="E28" s="74">
        <v>1050322823</v>
      </c>
      <c r="F28" s="75">
        <v>8319283</v>
      </c>
      <c r="G28" s="80" t="s">
        <v>153</v>
      </c>
      <c r="H28" s="77" t="s">
        <v>98</v>
      </c>
      <c r="I28" s="78" t="s">
        <v>99</v>
      </c>
      <c r="J28" s="93">
        <v>1</v>
      </c>
      <c r="K28" s="72" t="s">
        <v>100</v>
      </c>
      <c r="L28" s="72" t="s">
        <v>114</v>
      </c>
      <c r="M28" s="77"/>
    </row>
    <row r="29" spans="1:13" s="79" customFormat="1" x14ac:dyDescent="0.3">
      <c r="A29" s="72">
        <f t="shared" si="1"/>
        <v>24</v>
      </c>
      <c r="B29" s="72">
        <v>1</v>
      </c>
      <c r="C29" s="90" t="s">
        <v>154</v>
      </c>
      <c r="D29" s="71">
        <v>1756179</v>
      </c>
      <c r="E29" s="74">
        <v>2600159137</v>
      </c>
      <c r="F29" s="75">
        <v>7283943</v>
      </c>
      <c r="G29" s="80" t="s">
        <v>155</v>
      </c>
      <c r="H29" s="93" t="s">
        <v>104</v>
      </c>
      <c r="I29" s="78" t="s">
        <v>99</v>
      </c>
      <c r="J29" s="93">
        <v>1</v>
      </c>
      <c r="K29" s="72" t="s">
        <v>100</v>
      </c>
      <c r="L29" s="72" t="s">
        <v>101</v>
      </c>
      <c r="M29" s="77"/>
    </row>
    <row r="30" spans="1:13" s="79" customFormat="1" x14ac:dyDescent="0.3">
      <c r="A30" s="72">
        <f t="shared" si="1"/>
        <v>25</v>
      </c>
      <c r="B30" s="72">
        <v>1</v>
      </c>
      <c r="C30" s="96" t="s">
        <v>156</v>
      </c>
      <c r="D30" s="97">
        <v>1756336</v>
      </c>
      <c r="E30" s="97">
        <v>2609951245</v>
      </c>
      <c r="F30" s="75">
        <v>7318574</v>
      </c>
      <c r="G30" s="96" t="s">
        <v>157</v>
      </c>
      <c r="H30" s="97" t="s">
        <v>104</v>
      </c>
      <c r="I30" s="97" t="s">
        <v>99</v>
      </c>
      <c r="J30" s="97">
        <v>1</v>
      </c>
      <c r="K30" s="97" t="s">
        <v>100</v>
      </c>
      <c r="L30" s="72" t="s">
        <v>101</v>
      </c>
      <c r="M30" s="106"/>
    </row>
    <row r="31" spans="1:13" x14ac:dyDescent="0.3">
      <c r="A31" s="72">
        <f>A30+1</f>
        <v>26</v>
      </c>
      <c r="B31" s="72">
        <v>1</v>
      </c>
      <c r="C31" s="73" t="s">
        <v>158</v>
      </c>
      <c r="D31" s="74">
        <v>1755615</v>
      </c>
      <c r="E31" s="74">
        <v>2566403073</v>
      </c>
      <c r="F31" s="75">
        <v>8697734</v>
      </c>
      <c r="G31" s="90" t="s">
        <v>159</v>
      </c>
      <c r="H31" s="93" t="s">
        <v>104</v>
      </c>
      <c r="I31" s="78" t="s">
        <v>99</v>
      </c>
      <c r="J31" s="93">
        <v>1</v>
      </c>
      <c r="K31" s="72" t="s">
        <v>100</v>
      </c>
      <c r="L31" s="72" t="s">
        <v>101</v>
      </c>
      <c r="M31" s="89"/>
    </row>
    <row r="32" spans="1:13" s="79" customFormat="1" x14ac:dyDescent="0.3">
      <c r="A32" s="72">
        <f t="shared" si="1"/>
        <v>27</v>
      </c>
      <c r="B32" s="72">
        <v>1</v>
      </c>
      <c r="C32" s="73" t="s">
        <v>160</v>
      </c>
      <c r="D32" s="74">
        <v>1755685</v>
      </c>
      <c r="E32" s="74">
        <v>1122864364</v>
      </c>
      <c r="F32" s="75">
        <v>8700313</v>
      </c>
      <c r="G32" s="90" t="s">
        <v>161</v>
      </c>
      <c r="H32" s="77" t="s">
        <v>98</v>
      </c>
      <c r="I32" s="78" t="s">
        <v>99</v>
      </c>
      <c r="J32" s="93">
        <v>1</v>
      </c>
      <c r="K32" s="72" t="s">
        <v>100</v>
      </c>
      <c r="L32" s="72" t="s">
        <v>101</v>
      </c>
      <c r="M32" s="72"/>
    </row>
    <row r="33" spans="1:13" s="79" customFormat="1" x14ac:dyDescent="0.3">
      <c r="A33" s="72">
        <f t="shared" si="1"/>
        <v>28</v>
      </c>
      <c r="B33" s="72">
        <v>1</v>
      </c>
      <c r="C33" s="73" t="s">
        <v>162</v>
      </c>
      <c r="D33" s="74">
        <v>1755718</v>
      </c>
      <c r="E33" s="74">
        <v>2570348678</v>
      </c>
      <c r="F33" s="75">
        <v>8697732</v>
      </c>
      <c r="G33" s="90" t="s">
        <v>163</v>
      </c>
      <c r="H33" s="93" t="s">
        <v>104</v>
      </c>
      <c r="I33" s="78" t="s">
        <v>99</v>
      </c>
      <c r="J33" s="93">
        <v>1</v>
      </c>
      <c r="K33" s="72" t="s">
        <v>100</v>
      </c>
      <c r="L33" s="72" t="s">
        <v>101</v>
      </c>
      <c r="M33" s="89"/>
    </row>
    <row r="34" spans="1:13" x14ac:dyDescent="0.3">
      <c r="A34" s="72">
        <f t="shared" si="1"/>
        <v>29</v>
      </c>
      <c r="B34" s="72">
        <v>1</v>
      </c>
      <c r="C34" s="73" t="s">
        <v>164</v>
      </c>
      <c r="D34" s="71">
        <v>1755994</v>
      </c>
      <c r="E34" s="74">
        <v>2591744251</v>
      </c>
      <c r="F34" s="75">
        <v>8732131</v>
      </c>
      <c r="G34" s="92" t="s">
        <v>165</v>
      </c>
      <c r="H34" s="72" t="s">
        <v>166</v>
      </c>
      <c r="I34" s="78" t="s">
        <v>99</v>
      </c>
      <c r="J34" s="93">
        <v>1</v>
      </c>
      <c r="K34" s="72" t="s">
        <v>100</v>
      </c>
      <c r="L34" s="72" t="s">
        <v>101</v>
      </c>
      <c r="M34" s="87"/>
    </row>
    <row r="35" spans="1:13" x14ac:dyDescent="0.3">
      <c r="A35" s="72">
        <f t="shared" si="1"/>
        <v>30</v>
      </c>
      <c r="B35" s="72">
        <v>1</v>
      </c>
      <c r="C35" s="73" t="s">
        <v>167</v>
      </c>
      <c r="D35" s="71">
        <v>1755710</v>
      </c>
      <c r="E35" s="74">
        <v>2569927508</v>
      </c>
      <c r="F35" s="75">
        <v>8697737</v>
      </c>
      <c r="G35" s="92" t="s">
        <v>168</v>
      </c>
      <c r="H35" s="72" t="s">
        <v>104</v>
      </c>
      <c r="I35" s="78" t="s">
        <v>99</v>
      </c>
      <c r="J35" s="93">
        <v>1</v>
      </c>
      <c r="K35" s="72" t="s">
        <v>100</v>
      </c>
      <c r="L35" s="72" t="s">
        <v>114</v>
      </c>
      <c r="M35" s="107"/>
    </row>
    <row r="36" spans="1:13" x14ac:dyDescent="0.3">
      <c r="A36" s="72">
        <f t="shared" si="1"/>
        <v>31</v>
      </c>
      <c r="B36" s="72">
        <v>1</v>
      </c>
      <c r="C36" s="73" t="s">
        <v>169</v>
      </c>
      <c r="D36" s="74">
        <v>1755709</v>
      </c>
      <c r="E36" s="74">
        <v>2569927326</v>
      </c>
      <c r="F36" s="75">
        <v>8697730</v>
      </c>
      <c r="G36" s="96" t="s">
        <v>170</v>
      </c>
      <c r="H36" s="93" t="s">
        <v>104</v>
      </c>
      <c r="I36" s="78" t="s">
        <v>99</v>
      </c>
      <c r="J36" s="93">
        <v>1</v>
      </c>
      <c r="K36" s="72" t="s">
        <v>100</v>
      </c>
      <c r="L36" s="72" t="s">
        <v>114</v>
      </c>
      <c r="M36" s="89"/>
    </row>
    <row r="37" spans="1:13" s="79" customFormat="1" x14ac:dyDescent="0.3">
      <c r="A37" s="72">
        <f t="shared" si="1"/>
        <v>32</v>
      </c>
      <c r="B37" s="72">
        <v>1</v>
      </c>
      <c r="C37" s="73" t="s">
        <v>171</v>
      </c>
      <c r="D37" s="74">
        <v>1755982</v>
      </c>
      <c r="E37" s="74">
        <v>2590291692</v>
      </c>
      <c r="F37" s="75">
        <v>8731644</v>
      </c>
      <c r="G37" s="90" t="s">
        <v>172</v>
      </c>
      <c r="H37" s="93" t="s">
        <v>141</v>
      </c>
      <c r="I37" s="78" t="s">
        <v>99</v>
      </c>
      <c r="J37" s="93">
        <v>1</v>
      </c>
      <c r="K37" s="72" t="s">
        <v>100</v>
      </c>
      <c r="L37" s="72" t="s">
        <v>101</v>
      </c>
      <c r="M37" s="87"/>
    </row>
    <row r="38" spans="1:13" x14ac:dyDescent="0.3">
      <c r="A38" s="72">
        <f t="shared" si="1"/>
        <v>33</v>
      </c>
      <c r="B38" s="72">
        <v>1</v>
      </c>
      <c r="C38" s="73" t="s">
        <v>173</v>
      </c>
      <c r="D38" s="74">
        <v>1755567</v>
      </c>
      <c r="E38" s="74">
        <v>2563973169</v>
      </c>
      <c r="F38" s="75">
        <v>8667127</v>
      </c>
      <c r="G38" s="90" t="s">
        <v>174</v>
      </c>
      <c r="H38" s="93" t="s">
        <v>104</v>
      </c>
      <c r="I38" s="78" t="s">
        <v>99</v>
      </c>
      <c r="J38" s="93">
        <v>1</v>
      </c>
      <c r="K38" s="72" t="s">
        <v>100</v>
      </c>
      <c r="L38" s="72" t="s">
        <v>101</v>
      </c>
      <c r="M38" s="89"/>
    </row>
    <row r="39" spans="1:13" x14ac:dyDescent="0.3">
      <c r="A39" s="72">
        <f t="shared" si="1"/>
        <v>34</v>
      </c>
      <c r="B39" s="72">
        <v>1</v>
      </c>
      <c r="C39" s="73" t="s">
        <v>175</v>
      </c>
      <c r="D39" s="74">
        <v>1756124</v>
      </c>
      <c r="E39" s="74">
        <v>2595788213</v>
      </c>
      <c r="F39" s="75">
        <v>8791363</v>
      </c>
      <c r="G39" s="90" t="s">
        <v>176</v>
      </c>
      <c r="H39" s="93" t="s">
        <v>137</v>
      </c>
      <c r="I39" s="78" t="s">
        <v>99</v>
      </c>
      <c r="J39" s="93">
        <v>1</v>
      </c>
      <c r="K39" s="72" t="s">
        <v>100</v>
      </c>
      <c r="L39" s="72" t="s">
        <v>101</v>
      </c>
      <c r="M39" s="89"/>
    </row>
    <row r="40" spans="1:13" x14ac:dyDescent="0.3">
      <c r="A40" s="72">
        <f t="shared" si="1"/>
        <v>35</v>
      </c>
      <c r="B40" s="72">
        <v>1</v>
      </c>
      <c r="C40" s="73" t="s">
        <v>177</v>
      </c>
      <c r="D40" s="101">
        <v>1755838</v>
      </c>
      <c r="E40" s="74">
        <v>2575986159</v>
      </c>
      <c r="F40" s="75">
        <v>8701658</v>
      </c>
      <c r="G40" s="96" t="s">
        <v>178</v>
      </c>
      <c r="H40" s="97" t="s">
        <v>104</v>
      </c>
      <c r="I40" s="97" t="s">
        <v>99</v>
      </c>
      <c r="J40" s="97">
        <v>1</v>
      </c>
      <c r="K40" s="97" t="s">
        <v>100</v>
      </c>
      <c r="L40" s="97" t="s">
        <v>114</v>
      </c>
      <c r="M40" s="104"/>
    </row>
    <row r="41" spans="1:13" x14ac:dyDescent="0.3">
      <c r="A41" s="72">
        <f t="shared" si="1"/>
        <v>36</v>
      </c>
      <c r="B41" s="97">
        <v>1</v>
      </c>
      <c r="C41" s="73" t="s">
        <v>179</v>
      </c>
      <c r="D41" s="71">
        <v>1756488</v>
      </c>
      <c r="E41" s="71">
        <v>2622239461</v>
      </c>
      <c r="F41" s="105" t="s">
        <v>139</v>
      </c>
      <c r="G41" s="92" t="s">
        <v>180</v>
      </c>
      <c r="H41" s="71" t="s">
        <v>104</v>
      </c>
      <c r="I41" s="71" t="s">
        <v>99</v>
      </c>
      <c r="J41" s="71">
        <v>1</v>
      </c>
      <c r="K41" s="71" t="s">
        <v>100</v>
      </c>
      <c r="L41" s="71" t="s">
        <v>114</v>
      </c>
      <c r="M41" s="92"/>
    </row>
    <row r="42" spans="1:13" s="79" customFormat="1" x14ac:dyDescent="0.3">
      <c r="A42" s="72">
        <f t="shared" si="1"/>
        <v>37</v>
      </c>
      <c r="B42" s="72">
        <v>1</v>
      </c>
      <c r="C42" s="73" t="s">
        <v>181</v>
      </c>
      <c r="D42" s="74">
        <v>1755716</v>
      </c>
      <c r="E42" s="74">
        <v>2570348538</v>
      </c>
      <c r="F42" s="75">
        <v>8697735</v>
      </c>
      <c r="G42" s="90" t="s">
        <v>182</v>
      </c>
      <c r="H42" s="93" t="s">
        <v>104</v>
      </c>
      <c r="I42" s="78" t="s">
        <v>99</v>
      </c>
      <c r="J42" s="93">
        <v>1</v>
      </c>
      <c r="K42" s="72" t="s">
        <v>100</v>
      </c>
      <c r="L42" s="72" t="s">
        <v>101</v>
      </c>
      <c r="M42" s="89"/>
    </row>
    <row r="43" spans="1:13" s="79" customFormat="1" x14ac:dyDescent="0.3">
      <c r="A43" s="72">
        <f t="shared" si="1"/>
        <v>38</v>
      </c>
      <c r="B43" s="72">
        <v>1</v>
      </c>
      <c r="C43" s="73" t="s">
        <v>183</v>
      </c>
      <c r="D43" s="74">
        <v>1755717</v>
      </c>
      <c r="E43" s="74">
        <v>2570381786</v>
      </c>
      <c r="F43" s="75">
        <v>8697733</v>
      </c>
      <c r="G43" s="90" t="s">
        <v>184</v>
      </c>
      <c r="H43" s="93" t="s">
        <v>104</v>
      </c>
      <c r="I43" s="78" t="s">
        <v>99</v>
      </c>
      <c r="J43" s="93">
        <v>1</v>
      </c>
      <c r="K43" s="72" t="s">
        <v>100</v>
      </c>
      <c r="L43" s="72" t="s">
        <v>101</v>
      </c>
      <c r="M43" s="89"/>
    </row>
    <row r="44" spans="1:13" s="79" customFormat="1" x14ac:dyDescent="0.3">
      <c r="A44" s="72">
        <f t="shared" si="1"/>
        <v>39</v>
      </c>
      <c r="B44" s="72">
        <v>1</v>
      </c>
      <c r="C44" s="73" t="s">
        <v>185</v>
      </c>
      <c r="D44" s="74">
        <v>1755721</v>
      </c>
      <c r="E44" s="74">
        <v>2570349478</v>
      </c>
      <c r="F44" s="75">
        <v>8697731</v>
      </c>
      <c r="G44" s="90" t="s">
        <v>186</v>
      </c>
      <c r="H44" s="93" t="s">
        <v>104</v>
      </c>
      <c r="I44" s="78" t="s">
        <v>99</v>
      </c>
      <c r="J44" s="93">
        <v>1</v>
      </c>
      <c r="K44" s="72" t="s">
        <v>100</v>
      </c>
      <c r="L44" s="72" t="s">
        <v>101</v>
      </c>
      <c r="M44" s="89"/>
    </row>
    <row r="45" spans="1:13" s="79" customFormat="1" x14ac:dyDescent="0.3">
      <c r="A45" s="72">
        <f t="shared" si="1"/>
        <v>40</v>
      </c>
      <c r="B45" s="108">
        <v>1</v>
      </c>
      <c r="C45" s="109" t="s">
        <v>187</v>
      </c>
      <c r="D45" s="110"/>
      <c r="E45" s="110"/>
      <c r="F45" s="110"/>
      <c r="G45" s="111" t="s">
        <v>188</v>
      </c>
      <c r="H45" s="108"/>
      <c r="I45" s="112"/>
      <c r="J45" s="108"/>
      <c r="K45" s="108"/>
      <c r="L45" s="108" t="s">
        <v>114</v>
      </c>
      <c r="M45" s="113"/>
    </row>
    <row r="46" spans="1:13" s="79" customFormat="1" x14ac:dyDescent="0.3">
      <c r="A46" s="72">
        <f>A45+1</f>
        <v>41</v>
      </c>
      <c r="B46" s="72">
        <v>1</v>
      </c>
      <c r="C46" s="73" t="s">
        <v>189</v>
      </c>
      <c r="D46" s="71">
        <v>1755802</v>
      </c>
      <c r="E46" s="74">
        <v>2575631318</v>
      </c>
      <c r="F46" s="75">
        <v>8701661</v>
      </c>
      <c r="G46" s="95" t="s">
        <v>190</v>
      </c>
      <c r="H46" s="78" t="s">
        <v>104</v>
      </c>
      <c r="I46" s="78" t="s">
        <v>99</v>
      </c>
      <c r="J46" s="78">
        <v>1</v>
      </c>
      <c r="K46" s="78" t="s">
        <v>100</v>
      </c>
      <c r="L46" s="78" t="s">
        <v>101</v>
      </c>
      <c r="M46" s="89"/>
    </row>
    <row r="47" spans="1:13" s="120" customFormat="1" x14ac:dyDescent="0.3">
      <c r="A47" s="72">
        <f t="shared" si="1"/>
        <v>42</v>
      </c>
      <c r="B47" s="114">
        <v>1</v>
      </c>
      <c r="C47" s="73" t="s">
        <v>191</v>
      </c>
      <c r="D47" s="115">
        <v>1756059</v>
      </c>
      <c r="E47" s="74">
        <v>2593672435</v>
      </c>
      <c r="F47" s="75">
        <v>8731677</v>
      </c>
      <c r="G47" s="116" t="s">
        <v>192</v>
      </c>
      <c r="H47" s="114" t="s">
        <v>137</v>
      </c>
      <c r="I47" s="117" t="s">
        <v>99</v>
      </c>
      <c r="J47" s="118">
        <v>1</v>
      </c>
      <c r="K47" s="114" t="s">
        <v>100</v>
      </c>
      <c r="L47" s="114" t="s">
        <v>101</v>
      </c>
      <c r="M47" s="119"/>
    </row>
    <row r="48" spans="1:13" s="120" customFormat="1" x14ac:dyDescent="0.3">
      <c r="A48" s="72">
        <f t="shared" si="1"/>
        <v>43</v>
      </c>
      <c r="B48" s="72">
        <v>1</v>
      </c>
      <c r="C48" s="73" t="s">
        <v>193</v>
      </c>
      <c r="D48" s="74">
        <v>1755819</v>
      </c>
      <c r="E48" s="74">
        <v>2575884909</v>
      </c>
      <c r="F48" s="75">
        <v>8701659</v>
      </c>
      <c r="G48" s="90" t="s">
        <v>194</v>
      </c>
      <c r="H48" s="93" t="s">
        <v>104</v>
      </c>
      <c r="I48" s="78" t="s">
        <v>99</v>
      </c>
      <c r="J48" s="93">
        <v>1</v>
      </c>
      <c r="K48" s="72" t="s">
        <v>100</v>
      </c>
      <c r="L48" s="72" t="s">
        <v>114</v>
      </c>
      <c r="M48" s="89"/>
    </row>
    <row r="49" spans="1:13" s="120" customFormat="1" x14ac:dyDescent="0.3">
      <c r="A49" s="72">
        <f t="shared" si="1"/>
        <v>44</v>
      </c>
      <c r="B49" s="72">
        <v>1</v>
      </c>
      <c r="C49" s="73" t="s">
        <v>195</v>
      </c>
      <c r="D49" s="74">
        <v>1755526</v>
      </c>
      <c r="E49" s="74">
        <v>2561284510</v>
      </c>
      <c r="F49" s="75">
        <v>8681535</v>
      </c>
      <c r="G49" s="80" t="s">
        <v>196</v>
      </c>
      <c r="H49" s="72" t="s">
        <v>104</v>
      </c>
      <c r="I49" s="78" t="s">
        <v>99</v>
      </c>
      <c r="J49" s="72">
        <v>1</v>
      </c>
      <c r="K49" s="72" t="s">
        <v>100</v>
      </c>
      <c r="L49" s="72" t="s">
        <v>114</v>
      </c>
      <c r="M49" s="89"/>
    </row>
    <row r="50" spans="1:13" s="120" customFormat="1" x14ac:dyDescent="0.3">
      <c r="A50" s="72">
        <f t="shared" si="1"/>
        <v>45</v>
      </c>
      <c r="B50" s="72">
        <v>1</v>
      </c>
      <c r="C50" s="73" t="s">
        <v>197</v>
      </c>
      <c r="D50" s="74">
        <v>1756187</v>
      </c>
      <c r="E50" s="74">
        <v>2600161836</v>
      </c>
      <c r="F50" s="75">
        <v>7283259</v>
      </c>
      <c r="G50" s="90" t="s">
        <v>198</v>
      </c>
      <c r="H50" s="72" t="s">
        <v>137</v>
      </c>
      <c r="I50" s="78" t="s">
        <v>99</v>
      </c>
      <c r="J50" s="72">
        <v>1</v>
      </c>
      <c r="K50" s="72" t="s">
        <v>100</v>
      </c>
      <c r="L50" s="72" t="s">
        <v>114</v>
      </c>
      <c r="M50" s="107"/>
    </row>
    <row r="51" spans="1:13" s="79" customFormat="1" x14ac:dyDescent="0.3">
      <c r="A51" s="72">
        <f t="shared" si="1"/>
        <v>46</v>
      </c>
      <c r="B51" s="72">
        <v>1</v>
      </c>
      <c r="C51" s="73" t="s">
        <v>199</v>
      </c>
      <c r="D51" s="74">
        <v>1756058</v>
      </c>
      <c r="E51" s="74">
        <v>2593672401</v>
      </c>
      <c r="F51" s="75">
        <v>8731688</v>
      </c>
      <c r="G51" s="90" t="s">
        <v>200</v>
      </c>
      <c r="H51" s="72" t="s">
        <v>137</v>
      </c>
      <c r="I51" s="78" t="s">
        <v>99</v>
      </c>
      <c r="J51" s="93">
        <v>1</v>
      </c>
      <c r="K51" s="72" t="s">
        <v>100</v>
      </c>
      <c r="L51" s="72" t="s">
        <v>114</v>
      </c>
      <c r="M51" s="89"/>
    </row>
    <row r="52" spans="1:13" s="79" customFormat="1" x14ac:dyDescent="0.3">
      <c r="A52" s="72">
        <f t="shared" si="1"/>
        <v>47</v>
      </c>
      <c r="B52" s="72">
        <v>1</v>
      </c>
      <c r="C52" s="73" t="s">
        <v>201</v>
      </c>
      <c r="D52" s="74">
        <v>1756074</v>
      </c>
      <c r="E52" s="74">
        <v>2593834738</v>
      </c>
      <c r="F52" s="75">
        <v>8732004</v>
      </c>
      <c r="G52" s="90" t="s">
        <v>202</v>
      </c>
      <c r="H52" s="72" t="s">
        <v>137</v>
      </c>
      <c r="I52" s="78" t="s">
        <v>99</v>
      </c>
      <c r="J52" s="93">
        <v>1</v>
      </c>
      <c r="K52" s="72" t="s">
        <v>100</v>
      </c>
      <c r="L52" s="72" t="s">
        <v>114</v>
      </c>
      <c r="M52" s="121"/>
    </row>
    <row r="53" spans="1:13" s="79" customFormat="1" x14ac:dyDescent="0.3">
      <c r="A53" s="72">
        <f>A52+1</f>
        <v>48</v>
      </c>
      <c r="B53" s="72">
        <v>1</v>
      </c>
      <c r="C53" s="73" t="s">
        <v>203</v>
      </c>
      <c r="D53" s="74">
        <v>1756463</v>
      </c>
      <c r="E53" s="74">
        <v>2619120492</v>
      </c>
      <c r="F53" s="75">
        <v>7195064</v>
      </c>
      <c r="G53" s="73" t="s">
        <v>204</v>
      </c>
      <c r="H53" s="72" t="s">
        <v>137</v>
      </c>
      <c r="I53" s="78" t="s">
        <v>99</v>
      </c>
      <c r="J53" s="72">
        <v>1</v>
      </c>
      <c r="K53" s="72" t="s">
        <v>100</v>
      </c>
      <c r="L53" s="72" t="s">
        <v>114</v>
      </c>
      <c r="M53" s="121"/>
    </row>
    <row r="54" spans="1:13" s="79" customFormat="1" x14ac:dyDescent="0.3">
      <c r="A54" s="72">
        <f t="shared" si="1"/>
        <v>49</v>
      </c>
      <c r="B54" s="72">
        <v>1</v>
      </c>
      <c r="C54" s="73" t="s">
        <v>205</v>
      </c>
      <c r="D54" s="74">
        <v>1755788</v>
      </c>
      <c r="E54" s="74">
        <v>2575884719</v>
      </c>
      <c r="F54" s="75">
        <v>8701660</v>
      </c>
      <c r="G54" s="90" t="s">
        <v>206</v>
      </c>
      <c r="H54" s="72" t="s">
        <v>207</v>
      </c>
      <c r="I54" s="78" t="s">
        <v>99</v>
      </c>
      <c r="J54" s="93">
        <v>1</v>
      </c>
      <c r="K54" s="72" t="s">
        <v>100</v>
      </c>
      <c r="L54" s="72" t="s">
        <v>101</v>
      </c>
      <c r="M54" s="121"/>
    </row>
    <row r="55" spans="1:13" s="79" customFormat="1" x14ac:dyDescent="0.3">
      <c r="A55" s="72">
        <f t="shared" si="1"/>
        <v>50</v>
      </c>
      <c r="B55" s="72">
        <v>1</v>
      </c>
      <c r="C55" s="73" t="s">
        <v>208</v>
      </c>
      <c r="D55" s="74">
        <v>1755747</v>
      </c>
      <c r="E55" s="74">
        <v>2571806930</v>
      </c>
      <c r="F55" s="75">
        <v>8705965</v>
      </c>
      <c r="G55" s="122" t="s">
        <v>209</v>
      </c>
      <c r="H55" s="72" t="s">
        <v>210</v>
      </c>
      <c r="I55" s="78" t="s">
        <v>99</v>
      </c>
      <c r="J55" s="72">
        <v>1</v>
      </c>
      <c r="K55" s="72" t="s">
        <v>100</v>
      </c>
      <c r="L55" s="72" t="s">
        <v>101</v>
      </c>
      <c r="M55" s="121"/>
    </row>
    <row r="56" spans="1:13" s="79" customFormat="1" x14ac:dyDescent="0.3">
      <c r="A56" s="72">
        <f t="shared" si="1"/>
        <v>51</v>
      </c>
      <c r="B56" s="72">
        <v>1</v>
      </c>
      <c r="C56" s="73" t="s">
        <v>211</v>
      </c>
      <c r="D56" s="74">
        <v>1755785</v>
      </c>
      <c r="E56" s="74">
        <v>2575884651</v>
      </c>
      <c r="F56" s="75">
        <v>8709564</v>
      </c>
      <c r="G56" s="80" t="s">
        <v>212</v>
      </c>
      <c r="H56" s="72" t="s">
        <v>207</v>
      </c>
      <c r="I56" s="78" t="s">
        <v>99</v>
      </c>
      <c r="J56" s="72">
        <v>1</v>
      </c>
      <c r="K56" s="72" t="s">
        <v>100</v>
      </c>
      <c r="L56" s="72" t="s">
        <v>101</v>
      </c>
      <c r="M56" s="89"/>
    </row>
    <row r="57" spans="1:13" s="79" customFormat="1" x14ac:dyDescent="0.3">
      <c r="A57" s="72">
        <f t="shared" si="1"/>
        <v>52</v>
      </c>
      <c r="B57" s="72">
        <v>1</v>
      </c>
      <c r="C57" s="73" t="s">
        <v>213</v>
      </c>
      <c r="D57" s="74">
        <v>1754719</v>
      </c>
      <c r="E57" s="74">
        <v>2493494195</v>
      </c>
      <c r="F57" s="86" t="s">
        <v>139</v>
      </c>
      <c r="G57" s="90" t="s">
        <v>214</v>
      </c>
      <c r="H57" s="72" t="s">
        <v>215</v>
      </c>
      <c r="I57" s="78" t="s">
        <v>99</v>
      </c>
      <c r="J57" s="72">
        <v>1</v>
      </c>
      <c r="K57" s="72" t="s">
        <v>100</v>
      </c>
      <c r="L57" s="72" t="s">
        <v>101</v>
      </c>
      <c r="M57" s="89"/>
    </row>
    <row r="58" spans="1:13" s="79" customFormat="1" x14ac:dyDescent="0.3">
      <c r="A58" s="72">
        <f t="shared" si="1"/>
        <v>53</v>
      </c>
      <c r="B58" s="72">
        <v>1</v>
      </c>
      <c r="C58" s="73" t="s">
        <v>216</v>
      </c>
      <c r="D58" s="101">
        <v>1755962</v>
      </c>
      <c r="E58" s="74">
        <v>2587332111</v>
      </c>
      <c r="F58" s="75">
        <v>8731650</v>
      </c>
      <c r="G58" s="96" t="s">
        <v>217</v>
      </c>
      <c r="H58" s="97" t="s">
        <v>166</v>
      </c>
      <c r="I58" s="97" t="s">
        <v>99</v>
      </c>
      <c r="J58" s="97">
        <v>1</v>
      </c>
      <c r="K58" s="97" t="s">
        <v>100</v>
      </c>
      <c r="L58" s="97" t="s">
        <v>101</v>
      </c>
      <c r="M58" s="89"/>
    </row>
    <row r="59" spans="1:13" s="79" customFormat="1" x14ac:dyDescent="0.3">
      <c r="A59" s="72">
        <f t="shared" si="1"/>
        <v>54</v>
      </c>
      <c r="B59" s="72">
        <v>1</v>
      </c>
      <c r="C59" s="73" t="s">
        <v>218</v>
      </c>
      <c r="D59" s="74">
        <v>1755794</v>
      </c>
      <c r="E59" s="74">
        <v>2575884867</v>
      </c>
      <c r="F59" s="75">
        <v>8705972</v>
      </c>
      <c r="G59" s="90" t="s">
        <v>219</v>
      </c>
      <c r="H59" s="72" t="s">
        <v>207</v>
      </c>
      <c r="I59" s="78" t="s">
        <v>99</v>
      </c>
      <c r="J59" s="72">
        <v>1</v>
      </c>
      <c r="K59" s="72" t="s">
        <v>100</v>
      </c>
      <c r="L59" s="72" t="s">
        <v>114</v>
      </c>
      <c r="M59" s="89"/>
    </row>
    <row r="60" spans="1:13" s="79" customFormat="1" x14ac:dyDescent="0.3">
      <c r="A60" s="72">
        <f t="shared" si="1"/>
        <v>55</v>
      </c>
      <c r="B60" s="97">
        <v>1</v>
      </c>
      <c r="C60" s="73" t="s">
        <v>220</v>
      </c>
      <c r="D60" s="101">
        <v>1756138</v>
      </c>
      <c r="E60" s="74">
        <v>2597992250</v>
      </c>
      <c r="F60" s="75">
        <v>7281526</v>
      </c>
      <c r="G60" s="96" t="s">
        <v>221</v>
      </c>
      <c r="H60" s="97" t="s">
        <v>141</v>
      </c>
      <c r="I60" s="97" t="s">
        <v>99</v>
      </c>
      <c r="J60" s="97">
        <v>1</v>
      </c>
      <c r="K60" s="97" t="s">
        <v>100</v>
      </c>
      <c r="L60" s="97" t="s">
        <v>114</v>
      </c>
      <c r="M60" s="104"/>
    </row>
    <row r="61" spans="1:13" s="79" customFormat="1" x14ac:dyDescent="0.3">
      <c r="A61" s="82">
        <f t="shared" si="1"/>
        <v>56</v>
      </c>
      <c r="B61" s="82">
        <v>1</v>
      </c>
      <c r="C61" s="123" t="s">
        <v>222</v>
      </c>
      <c r="D61" s="85"/>
      <c r="E61" s="85"/>
      <c r="F61" s="86"/>
      <c r="G61" s="87" t="s">
        <v>223</v>
      </c>
      <c r="H61" s="82" t="s">
        <v>224</v>
      </c>
      <c r="I61" s="82" t="s">
        <v>225</v>
      </c>
      <c r="J61" s="82">
        <v>1</v>
      </c>
      <c r="K61" s="82" t="s">
        <v>100</v>
      </c>
      <c r="L61" s="82" t="s">
        <v>114</v>
      </c>
      <c r="M61" s="88"/>
    </row>
    <row r="62" spans="1:13" s="70" customFormat="1" x14ac:dyDescent="0.3">
      <c r="A62" s="67" t="s">
        <v>226</v>
      </c>
      <c r="B62" s="67">
        <f>SUM(B63:B164)</f>
        <v>100</v>
      </c>
      <c r="C62" s="68" t="s">
        <v>227</v>
      </c>
      <c r="D62" s="69"/>
      <c r="E62" s="74"/>
      <c r="F62" s="75"/>
      <c r="G62" s="69"/>
      <c r="H62" s="72"/>
      <c r="I62" s="69"/>
      <c r="J62" s="67">
        <f>SUM(J63:J163)</f>
        <v>97</v>
      </c>
      <c r="K62" s="67"/>
      <c r="L62" s="67"/>
      <c r="M62" s="69"/>
    </row>
    <row r="63" spans="1:13" s="79" customFormat="1" x14ac:dyDescent="0.3">
      <c r="A63" s="72">
        <f>A61+1</f>
        <v>57</v>
      </c>
      <c r="B63" s="72">
        <v>1</v>
      </c>
      <c r="C63" s="73" t="s">
        <v>228</v>
      </c>
      <c r="D63" s="78">
        <v>1756487</v>
      </c>
      <c r="E63" s="124"/>
      <c r="F63" s="75"/>
      <c r="G63" s="95" t="s">
        <v>229</v>
      </c>
      <c r="H63" s="78" t="s">
        <v>104</v>
      </c>
      <c r="I63" s="78" t="s">
        <v>99</v>
      </c>
      <c r="J63" s="78">
        <v>1</v>
      </c>
      <c r="K63" s="78" t="s">
        <v>100</v>
      </c>
      <c r="L63" s="78" t="s">
        <v>101</v>
      </c>
      <c r="M63" s="89"/>
    </row>
    <row r="64" spans="1:13" s="79" customFormat="1" x14ac:dyDescent="0.3">
      <c r="A64" s="72">
        <f t="shared" ref="A64:A126" si="2">A63+1</f>
        <v>58</v>
      </c>
      <c r="B64" s="72">
        <v>1</v>
      </c>
      <c r="C64" s="125" t="s">
        <v>230</v>
      </c>
      <c r="D64" s="78">
        <v>1756464</v>
      </c>
      <c r="E64" s="124">
        <v>2125840955</v>
      </c>
      <c r="F64" s="75">
        <v>7992729</v>
      </c>
      <c r="G64" s="95" t="s">
        <v>231</v>
      </c>
      <c r="H64" s="78" t="s">
        <v>232</v>
      </c>
      <c r="I64" s="78" t="s">
        <v>99</v>
      </c>
      <c r="J64" s="78">
        <v>1</v>
      </c>
      <c r="K64" s="78" t="s">
        <v>100</v>
      </c>
      <c r="L64" s="78" t="s">
        <v>114</v>
      </c>
      <c r="M64" s="89"/>
    </row>
    <row r="65" spans="1:13" s="79" customFormat="1" x14ac:dyDescent="0.3">
      <c r="A65" s="126"/>
      <c r="B65" s="126"/>
      <c r="C65" s="127" t="s">
        <v>233</v>
      </c>
      <c r="D65" s="126">
        <v>1756511</v>
      </c>
      <c r="E65" s="128"/>
      <c r="F65" s="129"/>
      <c r="G65" s="130" t="s">
        <v>234</v>
      </c>
      <c r="H65" s="126" t="s">
        <v>104</v>
      </c>
      <c r="I65" s="126" t="s">
        <v>99</v>
      </c>
      <c r="J65" s="126">
        <v>1</v>
      </c>
      <c r="K65" s="126" t="s">
        <v>100</v>
      </c>
      <c r="L65" s="126" t="s">
        <v>101</v>
      </c>
      <c r="M65" s="131"/>
    </row>
    <row r="66" spans="1:13" s="79" customFormat="1" x14ac:dyDescent="0.3">
      <c r="A66" s="72">
        <f>A64+1</f>
        <v>59</v>
      </c>
      <c r="B66" s="72">
        <v>1</v>
      </c>
      <c r="C66" s="73" t="s">
        <v>235</v>
      </c>
      <c r="D66" s="72">
        <v>1755953</v>
      </c>
      <c r="E66" s="74">
        <v>1056399643</v>
      </c>
      <c r="F66" s="75">
        <v>8890783</v>
      </c>
      <c r="G66" s="80" t="s">
        <v>236</v>
      </c>
      <c r="H66" s="77" t="s">
        <v>98</v>
      </c>
      <c r="I66" s="78" t="s">
        <v>99</v>
      </c>
      <c r="J66" s="72">
        <v>1</v>
      </c>
      <c r="K66" s="72" t="s">
        <v>100</v>
      </c>
      <c r="L66" s="72" t="s">
        <v>101</v>
      </c>
      <c r="M66" s="89"/>
    </row>
    <row r="67" spans="1:13" s="79" customFormat="1" x14ac:dyDescent="0.3">
      <c r="A67" s="72">
        <f t="shared" si="2"/>
        <v>60</v>
      </c>
      <c r="B67" s="72">
        <v>1</v>
      </c>
      <c r="C67" s="73" t="s">
        <v>237</v>
      </c>
      <c r="D67" s="72">
        <v>1755668</v>
      </c>
      <c r="E67" s="74">
        <v>2581989411</v>
      </c>
      <c r="F67" s="75">
        <v>8301144</v>
      </c>
      <c r="G67" s="80" t="s">
        <v>238</v>
      </c>
      <c r="H67" s="72" t="s">
        <v>104</v>
      </c>
      <c r="I67" s="78" t="s">
        <v>99</v>
      </c>
      <c r="J67" s="72">
        <v>1</v>
      </c>
      <c r="K67" s="72" t="s">
        <v>100</v>
      </c>
      <c r="L67" s="72" t="s">
        <v>101</v>
      </c>
      <c r="M67" s="89"/>
    </row>
    <row r="68" spans="1:13" s="79" customFormat="1" x14ac:dyDescent="0.3">
      <c r="A68" s="72">
        <f t="shared" si="2"/>
        <v>61</v>
      </c>
      <c r="B68" s="72">
        <v>1</v>
      </c>
      <c r="C68" s="73" t="s">
        <v>239</v>
      </c>
      <c r="D68" s="74">
        <v>1755862</v>
      </c>
      <c r="E68" s="74">
        <v>2577684810</v>
      </c>
      <c r="F68" s="75">
        <v>8701657</v>
      </c>
      <c r="G68" s="80" t="s">
        <v>240</v>
      </c>
      <c r="H68" s="72" t="s">
        <v>104</v>
      </c>
      <c r="I68" s="78" t="s">
        <v>99</v>
      </c>
      <c r="J68" s="72">
        <v>1</v>
      </c>
      <c r="K68" s="72" t="s">
        <v>100</v>
      </c>
      <c r="L68" s="72" t="s">
        <v>101</v>
      </c>
      <c r="M68" s="89"/>
    </row>
    <row r="69" spans="1:13" s="79" customFormat="1" x14ac:dyDescent="0.3">
      <c r="A69" s="72">
        <f t="shared" si="2"/>
        <v>62</v>
      </c>
      <c r="B69" s="72">
        <v>1</v>
      </c>
      <c r="C69" s="73" t="s">
        <v>241</v>
      </c>
      <c r="D69" s="74">
        <v>1755908</v>
      </c>
      <c r="E69" s="74">
        <v>2583832434</v>
      </c>
      <c r="F69" s="75">
        <v>8720225</v>
      </c>
      <c r="G69" s="80" t="s">
        <v>242</v>
      </c>
      <c r="H69" s="72" t="s">
        <v>104</v>
      </c>
      <c r="I69" s="78" t="s">
        <v>99</v>
      </c>
      <c r="J69" s="72">
        <v>1</v>
      </c>
      <c r="K69" s="72" t="s">
        <v>100</v>
      </c>
      <c r="L69" s="72" t="s">
        <v>101</v>
      </c>
      <c r="M69" s="89"/>
    </row>
    <row r="70" spans="1:13" s="79" customFormat="1" x14ac:dyDescent="0.3">
      <c r="A70" s="72">
        <f t="shared" si="2"/>
        <v>63</v>
      </c>
      <c r="B70" s="72">
        <v>1</v>
      </c>
      <c r="C70" s="100" t="s">
        <v>243</v>
      </c>
      <c r="D70" s="101">
        <v>1755947</v>
      </c>
      <c r="E70" s="74">
        <v>1044681011</v>
      </c>
      <c r="F70" s="75">
        <v>8802249</v>
      </c>
      <c r="G70" s="96" t="s">
        <v>244</v>
      </c>
      <c r="H70" s="77" t="s">
        <v>98</v>
      </c>
      <c r="I70" s="97" t="s">
        <v>99</v>
      </c>
      <c r="J70" s="97">
        <v>1</v>
      </c>
      <c r="K70" s="97" t="s">
        <v>100</v>
      </c>
      <c r="L70" s="97" t="s">
        <v>101</v>
      </c>
      <c r="M70" s="104"/>
    </row>
    <row r="71" spans="1:13" s="79" customFormat="1" x14ac:dyDescent="0.3">
      <c r="A71" s="72">
        <f t="shared" si="2"/>
        <v>64</v>
      </c>
      <c r="B71" s="72">
        <v>1</v>
      </c>
      <c r="C71" s="73" t="s">
        <v>245</v>
      </c>
      <c r="D71" s="74">
        <v>1756090</v>
      </c>
      <c r="E71" s="74">
        <v>1072563859</v>
      </c>
      <c r="F71" s="75">
        <v>8289847</v>
      </c>
      <c r="G71" s="80" t="s">
        <v>246</v>
      </c>
      <c r="H71" s="77" t="s">
        <v>98</v>
      </c>
      <c r="I71" s="78" t="s">
        <v>99</v>
      </c>
      <c r="J71" s="72">
        <v>1</v>
      </c>
      <c r="K71" s="72" t="s">
        <v>100</v>
      </c>
      <c r="L71" s="72" t="s">
        <v>101</v>
      </c>
      <c r="M71" s="89"/>
    </row>
    <row r="72" spans="1:13" s="79" customFormat="1" x14ac:dyDescent="0.3">
      <c r="A72" s="72">
        <f t="shared" si="2"/>
        <v>65</v>
      </c>
      <c r="B72" s="72">
        <v>1</v>
      </c>
      <c r="C72" s="100" t="s">
        <v>247</v>
      </c>
      <c r="D72" s="101">
        <v>1756145</v>
      </c>
      <c r="E72" s="74">
        <v>2362782837</v>
      </c>
      <c r="F72" s="86" t="s">
        <v>248</v>
      </c>
      <c r="G72" s="96" t="s">
        <v>249</v>
      </c>
      <c r="H72" s="97" t="s">
        <v>250</v>
      </c>
      <c r="I72" s="97" t="s">
        <v>99</v>
      </c>
      <c r="J72" s="97">
        <v>1</v>
      </c>
      <c r="K72" s="97" t="s">
        <v>100</v>
      </c>
      <c r="L72" s="97" t="s">
        <v>101</v>
      </c>
      <c r="M72" s="104"/>
    </row>
    <row r="73" spans="1:13" s="79" customFormat="1" x14ac:dyDescent="0.3">
      <c r="A73" s="72">
        <f t="shared" si="2"/>
        <v>66</v>
      </c>
      <c r="B73" s="72">
        <v>1</v>
      </c>
      <c r="C73" s="100" t="s">
        <v>251</v>
      </c>
      <c r="D73" s="101">
        <v>1756146</v>
      </c>
      <c r="E73" s="74">
        <v>1101412987</v>
      </c>
      <c r="F73" s="75">
        <v>7277339</v>
      </c>
      <c r="G73" s="96" t="s">
        <v>252</v>
      </c>
      <c r="H73" s="77" t="s">
        <v>98</v>
      </c>
      <c r="I73" s="97" t="s">
        <v>99</v>
      </c>
      <c r="J73" s="97">
        <v>1</v>
      </c>
      <c r="K73" s="97" t="s">
        <v>100</v>
      </c>
      <c r="L73" s="97" t="s">
        <v>101</v>
      </c>
      <c r="M73" s="104"/>
    </row>
    <row r="74" spans="1:13" s="79" customFormat="1" x14ac:dyDescent="0.3">
      <c r="A74" s="72">
        <f t="shared" si="2"/>
        <v>67</v>
      </c>
      <c r="B74" s="97">
        <v>1</v>
      </c>
      <c r="C74" s="100" t="s">
        <v>253</v>
      </c>
      <c r="D74" s="97">
        <v>1755661</v>
      </c>
      <c r="E74" s="74">
        <v>2568163477</v>
      </c>
      <c r="F74" s="75">
        <v>8709852</v>
      </c>
      <c r="G74" s="96" t="s">
        <v>254</v>
      </c>
      <c r="H74" s="97" t="s">
        <v>104</v>
      </c>
      <c r="I74" s="97" t="s">
        <v>99</v>
      </c>
      <c r="J74" s="97">
        <v>1</v>
      </c>
      <c r="K74" s="97" t="s">
        <v>100</v>
      </c>
      <c r="L74" s="97" t="s">
        <v>101</v>
      </c>
      <c r="M74" s="104"/>
    </row>
    <row r="75" spans="1:13" s="79" customFormat="1" x14ac:dyDescent="0.3">
      <c r="A75" s="72">
        <f t="shared" si="2"/>
        <v>68</v>
      </c>
      <c r="B75" s="97">
        <v>1</v>
      </c>
      <c r="C75" s="100" t="s">
        <v>255</v>
      </c>
      <c r="D75" s="97">
        <v>1755874</v>
      </c>
      <c r="E75" s="74">
        <v>2581989114</v>
      </c>
      <c r="F75" s="75">
        <v>8709854</v>
      </c>
      <c r="G75" s="96" t="s">
        <v>256</v>
      </c>
      <c r="H75" s="97" t="s">
        <v>104</v>
      </c>
      <c r="I75" s="97" t="s">
        <v>99</v>
      </c>
      <c r="J75" s="97">
        <v>1</v>
      </c>
      <c r="K75" s="97" t="s">
        <v>100</v>
      </c>
      <c r="L75" s="97" t="s">
        <v>101</v>
      </c>
      <c r="M75" s="104"/>
    </row>
    <row r="76" spans="1:13" s="79" customFormat="1" x14ac:dyDescent="0.3">
      <c r="A76" s="72">
        <f t="shared" si="2"/>
        <v>69</v>
      </c>
      <c r="B76" s="97">
        <v>1</v>
      </c>
      <c r="C76" s="100" t="s">
        <v>257</v>
      </c>
      <c r="D76" s="101">
        <v>1756352</v>
      </c>
      <c r="E76" s="74">
        <v>2611196789</v>
      </c>
      <c r="F76" s="75">
        <v>7310897</v>
      </c>
      <c r="G76" s="96" t="s">
        <v>258</v>
      </c>
      <c r="H76" s="97" t="s">
        <v>104</v>
      </c>
      <c r="I76" s="97" t="s">
        <v>99</v>
      </c>
      <c r="J76" s="97">
        <v>1</v>
      </c>
      <c r="K76" s="97" t="s">
        <v>100</v>
      </c>
      <c r="L76" s="97" t="s">
        <v>101</v>
      </c>
      <c r="M76" s="132"/>
    </row>
    <row r="77" spans="1:13" s="79" customFormat="1" x14ac:dyDescent="0.3">
      <c r="A77" s="72">
        <f t="shared" si="2"/>
        <v>70</v>
      </c>
      <c r="B77" s="97">
        <v>1</v>
      </c>
      <c r="C77" s="100" t="s">
        <v>259</v>
      </c>
      <c r="D77" s="103">
        <v>1756355</v>
      </c>
      <c r="E77" s="74">
        <v>2611807872</v>
      </c>
      <c r="F77" s="75">
        <v>7309899</v>
      </c>
      <c r="G77" s="96" t="s">
        <v>260</v>
      </c>
      <c r="H77" s="97" t="s">
        <v>104</v>
      </c>
      <c r="I77" s="97" t="s">
        <v>99</v>
      </c>
      <c r="J77" s="97">
        <v>1</v>
      </c>
      <c r="K77" s="97" t="s">
        <v>100</v>
      </c>
      <c r="L77" s="97" t="s">
        <v>101</v>
      </c>
      <c r="M77" s="101"/>
    </row>
    <row r="78" spans="1:13" s="79" customFormat="1" x14ac:dyDescent="0.3">
      <c r="A78" s="72">
        <f t="shared" si="2"/>
        <v>71</v>
      </c>
      <c r="B78" s="133">
        <v>1</v>
      </c>
      <c r="C78" s="100" t="s">
        <v>261</v>
      </c>
      <c r="D78" s="103">
        <v>1756377</v>
      </c>
      <c r="E78" s="74">
        <v>2613437470</v>
      </c>
      <c r="F78" s="75">
        <v>7310907</v>
      </c>
      <c r="G78" s="96" t="s">
        <v>262</v>
      </c>
      <c r="H78" s="97" t="s">
        <v>104</v>
      </c>
      <c r="I78" s="97" t="s">
        <v>99</v>
      </c>
      <c r="J78" s="97">
        <v>1</v>
      </c>
      <c r="K78" s="97" t="s">
        <v>100</v>
      </c>
      <c r="L78" s="97" t="s">
        <v>101</v>
      </c>
      <c r="M78" s="101"/>
    </row>
    <row r="79" spans="1:13" s="79" customFormat="1" x14ac:dyDescent="0.3">
      <c r="A79" s="108">
        <f t="shared" si="2"/>
        <v>72</v>
      </c>
      <c r="B79" s="134">
        <v>1</v>
      </c>
      <c r="C79" s="135" t="s">
        <v>263</v>
      </c>
      <c r="D79" s="110"/>
      <c r="E79" s="110"/>
      <c r="F79" s="110"/>
      <c r="G79" s="136" t="s">
        <v>188</v>
      </c>
      <c r="H79" s="108"/>
      <c r="I79" s="112"/>
      <c r="J79" s="108"/>
      <c r="K79" s="108"/>
      <c r="L79" s="108" t="s">
        <v>101</v>
      </c>
      <c r="M79" s="113"/>
    </row>
    <row r="80" spans="1:13" s="94" customFormat="1" x14ac:dyDescent="0.3">
      <c r="A80" s="72">
        <f>A79+1</f>
        <v>73</v>
      </c>
      <c r="B80" s="72">
        <v>1</v>
      </c>
      <c r="C80" s="73" t="s">
        <v>264</v>
      </c>
      <c r="D80" s="74">
        <v>1755772</v>
      </c>
      <c r="E80" s="74">
        <v>2572764021</v>
      </c>
      <c r="F80" s="75">
        <v>8710234</v>
      </c>
      <c r="G80" s="80" t="s">
        <v>265</v>
      </c>
      <c r="H80" s="72" t="s">
        <v>104</v>
      </c>
      <c r="I80" s="78" t="s">
        <v>99</v>
      </c>
      <c r="J80" s="72">
        <v>1</v>
      </c>
      <c r="K80" s="72" t="s">
        <v>100</v>
      </c>
      <c r="L80" s="72" t="s">
        <v>101</v>
      </c>
      <c r="M80" s="89"/>
    </row>
    <row r="81" spans="1:13" s="79" customFormat="1" x14ac:dyDescent="0.3">
      <c r="A81" s="72">
        <f t="shared" si="2"/>
        <v>74</v>
      </c>
      <c r="B81" s="72">
        <v>1</v>
      </c>
      <c r="C81" s="73" t="s">
        <v>266</v>
      </c>
      <c r="D81" s="74">
        <v>1755776</v>
      </c>
      <c r="E81" s="74">
        <v>2572764583</v>
      </c>
      <c r="F81" s="75">
        <v>8710229</v>
      </c>
      <c r="G81" s="80" t="s">
        <v>267</v>
      </c>
      <c r="H81" s="72" t="s">
        <v>104</v>
      </c>
      <c r="I81" s="78" t="s">
        <v>99</v>
      </c>
      <c r="J81" s="72">
        <v>1</v>
      </c>
      <c r="K81" s="72" t="s">
        <v>100</v>
      </c>
      <c r="L81" s="72" t="s">
        <v>101</v>
      </c>
      <c r="M81" s="89" t="s">
        <v>268</v>
      </c>
    </row>
    <row r="82" spans="1:13" s="79" customFormat="1" x14ac:dyDescent="0.3">
      <c r="A82" s="72">
        <f t="shared" si="2"/>
        <v>75</v>
      </c>
      <c r="B82" s="72">
        <v>1</v>
      </c>
      <c r="C82" s="73" t="s">
        <v>269</v>
      </c>
      <c r="D82" s="74">
        <v>1755770</v>
      </c>
      <c r="E82" s="74">
        <v>2572763627</v>
      </c>
      <c r="F82" s="75">
        <v>8720489</v>
      </c>
      <c r="G82" s="80" t="s">
        <v>270</v>
      </c>
      <c r="H82" s="72" t="s">
        <v>104</v>
      </c>
      <c r="I82" s="78" t="s">
        <v>99</v>
      </c>
      <c r="J82" s="72">
        <v>1</v>
      </c>
      <c r="K82" s="72" t="s">
        <v>100</v>
      </c>
      <c r="L82" s="72" t="s">
        <v>101</v>
      </c>
      <c r="M82" s="89"/>
    </row>
    <row r="83" spans="1:13" s="79" customFormat="1" x14ac:dyDescent="0.3">
      <c r="A83" s="72">
        <f t="shared" si="2"/>
        <v>76</v>
      </c>
      <c r="B83" s="72">
        <v>1</v>
      </c>
      <c r="C83" s="73" t="s">
        <v>271</v>
      </c>
      <c r="D83" s="74">
        <v>1755754</v>
      </c>
      <c r="E83" s="74">
        <v>2572762629</v>
      </c>
      <c r="F83" s="75">
        <v>8710235</v>
      </c>
      <c r="G83" s="80" t="s">
        <v>272</v>
      </c>
      <c r="H83" s="72" t="s">
        <v>210</v>
      </c>
      <c r="I83" s="78" t="s">
        <v>99</v>
      </c>
      <c r="J83" s="72">
        <v>1</v>
      </c>
      <c r="K83" s="72" t="s">
        <v>100</v>
      </c>
      <c r="L83" s="72" t="s">
        <v>101</v>
      </c>
      <c r="M83" s="89"/>
    </row>
    <row r="84" spans="1:13" s="79" customFormat="1" x14ac:dyDescent="0.3">
      <c r="A84" s="72">
        <f t="shared" si="2"/>
        <v>77</v>
      </c>
      <c r="B84" s="72">
        <v>1</v>
      </c>
      <c r="C84" s="73" t="s">
        <v>273</v>
      </c>
      <c r="D84" s="74">
        <v>1755804</v>
      </c>
      <c r="E84" s="74">
        <v>2575631458</v>
      </c>
      <c r="F84" s="75">
        <v>8724938</v>
      </c>
      <c r="G84" s="80" t="s">
        <v>274</v>
      </c>
      <c r="H84" s="72" t="s">
        <v>104</v>
      </c>
      <c r="I84" s="78" t="s">
        <v>99</v>
      </c>
      <c r="J84" s="72">
        <v>1</v>
      </c>
      <c r="K84" s="72" t="s">
        <v>100</v>
      </c>
      <c r="L84" s="72" t="s">
        <v>101</v>
      </c>
      <c r="M84" s="89" t="s">
        <v>275</v>
      </c>
    </row>
    <row r="85" spans="1:13" s="79" customFormat="1" x14ac:dyDescent="0.3">
      <c r="A85" s="72">
        <f t="shared" si="2"/>
        <v>78</v>
      </c>
      <c r="B85" s="72">
        <v>1</v>
      </c>
      <c r="C85" s="73" t="s">
        <v>276</v>
      </c>
      <c r="D85" s="71">
        <v>1755636</v>
      </c>
      <c r="E85" s="74">
        <v>2567236696</v>
      </c>
      <c r="F85" s="75">
        <v>8696564</v>
      </c>
      <c r="G85" s="80" t="s">
        <v>277</v>
      </c>
      <c r="H85" s="72" t="s">
        <v>104</v>
      </c>
      <c r="I85" s="78" t="s">
        <v>99</v>
      </c>
      <c r="J85" s="78">
        <v>1</v>
      </c>
      <c r="K85" s="78" t="s">
        <v>100</v>
      </c>
      <c r="L85" s="78" t="s">
        <v>101</v>
      </c>
      <c r="M85" s="89"/>
    </row>
    <row r="86" spans="1:13" s="79" customFormat="1" x14ac:dyDescent="0.3">
      <c r="A86" s="72">
        <f t="shared" si="2"/>
        <v>79</v>
      </c>
      <c r="B86" s="72">
        <v>1</v>
      </c>
      <c r="C86" s="73" t="s">
        <v>278</v>
      </c>
      <c r="D86" s="74">
        <v>1755803</v>
      </c>
      <c r="E86" s="74">
        <v>2575631367</v>
      </c>
      <c r="F86" s="86" t="s">
        <v>279</v>
      </c>
      <c r="G86" s="80" t="s">
        <v>280</v>
      </c>
      <c r="H86" s="72" t="s">
        <v>104</v>
      </c>
      <c r="I86" s="78" t="s">
        <v>99</v>
      </c>
      <c r="J86" s="72">
        <v>1</v>
      </c>
      <c r="K86" s="72" t="s">
        <v>100</v>
      </c>
      <c r="L86" s="72" t="s">
        <v>101</v>
      </c>
      <c r="M86" s="89"/>
    </row>
    <row r="87" spans="1:13" s="79" customFormat="1" x14ac:dyDescent="0.3">
      <c r="A87" s="72">
        <f t="shared" si="2"/>
        <v>80</v>
      </c>
      <c r="B87" s="72">
        <v>1</v>
      </c>
      <c r="C87" s="73" t="s">
        <v>281</v>
      </c>
      <c r="D87" s="74">
        <v>1755807</v>
      </c>
      <c r="E87" s="74">
        <v>2574509010</v>
      </c>
      <c r="F87" s="75">
        <v>8710231</v>
      </c>
      <c r="G87" s="80" t="s">
        <v>282</v>
      </c>
      <c r="H87" s="72" t="s">
        <v>104</v>
      </c>
      <c r="I87" s="78" t="s">
        <v>99</v>
      </c>
      <c r="J87" s="72">
        <v>1</v>
      </c>
      <c r="K87" s="72" t="s">
        <v>100</v>
      </c>
      <c r="L87" s="72" t="s">
        <v>101</v>
      </c>
      <c r="M87" s="89"/>
    </row>
    <row r="88" spans="1:13" s="79" customFormat="1" x14ac:dyDescent="0.3">
      <c r="A88" s="72">
        <f t="shared" si="2"/>
        <v>81</v>
      </c>
      <c r="B88" s="72">
        <v>1</v>
      </c>
      <c r="C88" s="73" t="s">
        <v>283</v>
      </c>
      <c r="D88" s="74">
        <v>1755640</v>
      </c>
      <c r="E88" s="74">
        <v>2567935081</v>
      </c>
      <c r="F88" s="75">
        <v>7279585</v>
      </c>
      <c r="G88" s="80" t="s">
        <v>284</v>
      </c>
      <c r="H88" s="72" t="s">
        <v>104</v>
      </c>
      <c r="I88" s="78" t="s">
        <v>99</v>
      </c>
      <c r="J88" s="72">
        <v>1</v>
      </c>
      <c r="K88" s="72" t="s">
        <v>100</v>
      </c>
      <c r="L88" s="72" t="s">
        <v>101</v>
      </c>
      <c r="M88" s="89"/>
    </row>
    <row r="89" spans="1:13" s="79" customFormat="1" x14ac:dyDescent="0.3">
      <c r="A89" s="72">
        <f t="shared" si="2"/>
        <v>82</v>
      </c>
      <c r="B89" s="72">
        <v>1</v>
      </c>
      <c r="C89" s="73" t="s">
        <v>285</v>
      </c>
      <c r="D89" s="72">
        <v>1755885</v>
      </c>
      <c r="E89" s="74">
        <v>2581989429</v>
      </c>
      <c r="F89" s="75">
        <v>8709850</v>
      </c>
      <c r="G89" s="96" t="s">
        <v>286</v>
      </c>
      <c r="H89" s="72" t="s">
        <v>104</v>
      </c>
      <c r="I89" s="78" t="s">
        <v>99</v>
      </c>
      <c r="J89" s="72">
        <v>1</v>
      </c>
      <c r="K89" s="72" t="s">
        <v>100</v>
      </c>
      <c r="L89" s="72" t="s">
        <v>101</v>
      </c>
      <c r="M89" s="137"/>
    </row>
    <row r="90" spans="1:13" s="79" customFormat="1" x14ac:dyDescent="0.3">
      <c r="A90" s="72">
        <f t="shared" si="2"/>
        <v>83</v>
      </c>
      <c r="B90" s="72">
        <v>1</v>
      </c>
      <c r="C90" s="73" t="s">
        <v>287</v>
      </c>
      <c r="D90" s="74">
        <v>1756202</v>
      </c>
      <c r="E90" s="74">
        <v>2601408053</v>
      </c>
      <c r="F90" s="75">
        <v>7291459</v>
      </c>
      <c r="G90" s="122" t="s">
        <v>288</v>
      </c>
      <c r="H90" s="93" t="s">
        <v>104</v>
      </c>
      <c r="I90" s="72" t="s">
        <v>99</v>
      </c>
      <c r="J90" s="72">
        <v>1</v>
      </c>
      <c r="K90" s="72" t="s">
        <v>100</v>
      </c>
      <c r="L90" s="72" t="s">
        <v>101</v>
      </c>
      <c r="M90" s="138"/>
    </row>
    <row r="91" spans="1:13" s="94" customFormat="1" x14ac:dyDescent="0.3">
      <c r="A91" s="72">
        <f t="shared" si="2"/>
        <v>84</v>
      </c>
      <c r="B91" s="71">
        <v>1</v>
      </c>
      <c r="C91" s="73" t="s">
        <v>289</v>
      </c>
      <c r="D91" s="74">
        <v>1755902</v>
      </c>
      <c r="E91" s="74">
        <v>2583837477</v>
      </c>
      <c r="F91" s="75">
        <v>8730143</v>
      </c>
      <c r="G91" s="96" t="s">
        <v>290</v>
      </c>
      <c r="H91" s="72" t="s">
        <v>104</v>
      </c>
      <c r="I91" s="78" t="s">
        <v>99</v>
      </c>
      <c r="J91" s="93">
        <v>1</v>
      </c>
      <c r="K91" s="72" t="s">
        <v>100</v>
      </c>
      <c r="L91" s="72" t="s">
        <v>101</v>
      </c>
      <c r="M91" s="89"/>
    </row>
    <row r="92" spans="1:13" s="79" customFormat="1" x14ac:dyDescent="0.3">
      <c r="A92" s="72">
        <f t="shared" si="2"/>
        <v>85</v>
      </c>
      <c r="B92" s="72">
        <v>1</v>
      </c>
      <c r="C92" s="73" t="s">
        <v>291</v>
      </c>
      <c r="D92" s="74">
        <v>1755941</v>
      </c>
      <c r="E92" s="74">
        <v>2583839085</v>
      </c>
      <c r="F92" s="75">
        <v>8710236</v>
      </c>
      <c r="G92" s="96" t="s">
        <v>292</v>
      </c>
      <c r="H92" s="72" t="s">
        <v>210</v>
      </c>
      <c r="I92" s="78" t="s">
        <v>99</v>
      </c>
      <c r="J92" s="93">
        <v>1</v>
      </c>
      <c r="K92" s="72" t="s">
        <v>100</v>
      </c>
      <c r="L92" s="72" t="s">
        <v>101</v>
      </c>
      <c r="M92" s="139"/>
    </row>
    <row r="93" spans="1:13" s="79" customFormat="1" x14ac:dyDescent="0.3">
      <c r="A93" s="72">
        <f t="shared" si="2"/>
        <v>86</v>
      </c>
      <c r="B93" s="72">
        <v>1</v>
      </c>
      <c r="C93" s="73" t="s">
        <v>293</v>
      </c>
      <c r="D93" s="74">
        <v>1755942</v>
      </c>
      <c r="E93" s="74">
        <v>2583839176</v>
      </c>
      <c r="F93" s="75">
        <v>7291790</v>
      </c>
      <c r="G93" s="96" t="s">
        <v>294</v>
      </c>
      <c r="H93" s="72" t="s">
        <v>210</v>
      </c>
      <c r="I93" s="78" t="s">
        <v>99</v>
      </c>
      <c r="J93" s="93">
        <v>1</v>
      </c>
      <c r="K93" s="72" t="s">
        <v>100</v>
      </c>
      <c r="L93" s="72" t="s">
        <v>101</v>
      </c>
      <c r="M93" s="89"/>
    </row>
    <row r="94" spans="1:13" s="79" customFormat="1" x14ac:dyDescent="0.3">
      <c r="A94" s="72">
        <f t="shared" si="2"/>
        <v>87</v>
      </c>
      <c r="B94" s="72">
        <v>1</v>
      </c>
      <c r="C94" s="73" t="s">
        <v>295</v>
      </c>
      <c r="D94" s="74">
        <v>1755959</v>
      </c>
      <c r="E94" s="74">
        <v>2586653665</v>
      </c>
      <c r="F94" s="75">
        <v>8731630</v>
      </c>
      <c r="G94" s="96" t="s">
        <v>296</v>
      </c>
      <c r="H94" s="72" t="s">
        <v>104</v>
      </c>
      <c r="I94" s="78" t="s">
        <v>99</v>
      </c>
      <c r="J94" s="93">
        <v>1</v>
      </c>
      <c r="K94" s="72" t="s">
        <v>100</v>
      </c>
      <c r="L94" s="72" t="s">
        <v>101</v>
      </c>
      <c r="M94" s="89"/>
    </row>
    <row r="95" spans="1:13" s="79" customFormat="1" x14ac:dyDescent="0.3">
      <c r="A95" s="72">
        <f t="shared" si="2"/>
        <v>88</v>
      </c>
      <c r="B95" s="72">
        <v>1</v>
      </c>
      <c r="C95" s="73" t="s">
        <v>297</v>
      </c>
      <c r="D95" s="74">
        <v>1755960</v>
      </c>
      <c r="E95" s="74">
        <v>2587218955</v>
      </c>
      <c r="F95" s="75">
        <v>8731625</v>
      </c>
      <c r="G95" s="96" t="s">
        <v>298</v>
      </c>
      <c r="H95" s="72" t="s">
        <v>104</v>
      </c>
      <c r="I95" s="78" t="s">
        <v>99</v>
      </c>
      <c r="J95" s="93">
        <v>1</v>
      </c>
      <c r="K95" s="72" t="s">
        <v>100</v>
      </c>
      <c r="L95" s="72" t="s">
        <v>101</v>
      </c>
      <c r="M95" s="89"/>
    </row>
    <row r="96" spans="1:13" s="79" customFormat="1" x14ac:dyDescent="0.3">
      <c r="A96" s="72">
        <f t="shared" si="2"/>
        <v>89</v>
      </c>
      <c r="B96" s="72">
        <v>1</v>
      </c>
      <c r="C96" s="73" t="s">
        <v>299</v>
      </c>
      <c r="D96" s="74">
        <v>1755963</v>
      </c>
      <c r="E96" s="74">
        <v>2587332228</v>
      </c>
      <c r="F96" s="75">
        <v>8731670</v>
      </c>
      <c r="G96" s="96" t="s">
        <v>300</v>
      </c>
      <c r="H96" s="72" t="s">
        <v>207</v>
      </c>
      <c r="I96" s="78" t="s">
        <v>99</v>
      </c>
      <c r="J96" s="93">
        <v>1</v>
      </c>
      <c r="K96" s="72" t="s">
        <v>100</v>
      </c>
      <c r="L96" s="72" t="s">
        <v>101</v>
      </c>
      <c r="M96" s="89"/>
    </row>
    <row r="97" spans="1:13" s="79" customFormat="1" x14ac:dyDescent="0.3">
      <c r="A97" s="72">
        <f t="shared" si="2"/>
        <v>90</v>
      </c>
      <c r="B97" s="72">
        <v>1</v>
      </c>
      <c r="C97" s="73" t="s">
        <v>301</v>
      </c>
      <c r="D97" s="74">
        <v>1755964</v>
      </c>
      <c r="E97" s="74">
        <v>2587332475</v>
      </c>
      <c r="F97" s="75">
        <v>8731637</v>
      </c>
      <c r="G97" s="96" t="s">
        <v>302</v>
      </c>
      <c r="H97" s="72" t="s">
        <v>207</v>
      </c>
      <c r="I97" s="78" t="s">
        <v>99</v>
      </c>
      <c r="J97" s="93">
        <v>1</v>
      </c>
      <c r="K97" s="72" t="s">
        <v>100</v>
      </c>
      <c r="L97" s="72" t="s">
        <v>101</v>
      </c>
      <c r="M97" s="89"/>
    </row>
    <row r="98" spans="1:13" s="79" customFormat="1" x14ac:dyDescent="0.3">
      <c r="A98" s="72">
        <f t="shared" si="2"/>
        <v>91</v>
      </c>
      <c r="B98" s="72">
        <v>1</v>
      </c>
      <c r="C98" s="73" t="s">
        <v>303</v>
      </c>
      <c r="D98" s="74">
        <v>1755965</v>
      </c>
      <c r="E98" s="74">
        <v>2587332665</v>
      </c>
      <c r="F98" s="75">
        <v>8731660</v>
      </c>
      <c r="G98" s="96" t="s">
        <v>304</v>
      </c>
      <c r="H98" s="72" t="s">
        <v>207</v>
      </c>
      <c r="I98" s="78" t="s">
        <v>99</v>
      </c>
      <c r="J98" s="93">
        <v>1</v>
      </c>
      <c r="K98" s="72" t="s">
        <v>100</v>
      </c>
      <c r="L98" s="72" t="s">
        <v>101</v>
      </c>
      <c r="M98" s="89"/>
    </row>
    <row r="99" spans="1:13" s="79" customFormat="1" x14ac:dyDescent="0.3">
      <c r="A99" s="72">
        <f t="shared" si="2"/>
        <v>92</v>
      </c>
      <c r="B99" s="72">
        <v>1</v>
      </c>
      <c r="C99" s="73" t="s">
        <v>305</v>
      </c>
      <c r="D99" s="74">
        <v>1756154</v>
      </c>
      <c r="E99" s="74">
        <v>2598997647</v>
      </c>
      <c r="F99" s="75">
        <v>7280030</v>
      </c>
      <c r="G99" s="122" t="s">
        <v>306</v>
      </c>
      <c r="H99" s="93" t="s">
        <v>210</v>
      </c>
      <c r="I99" s="72" t="s">
        <v>99</v>
      </c>
      <c r="J99" s="72">
        <v>1</v>
      </c>
      <c r="K99" s="72" t="s">
        <v>100</v>
      </c>
      <c r="L99" s="72" t="s">
        <v>101</v>
      </c>
      <c r="M99" s="89"/>
    </row>
    <row r="100" spans="1:13" s="79" customFormat="1" x14ac:dyDescent="0.3">
      <c r="A100" s="72">
        <f t="shared" si="2"/>
        <v>93</v>
      </c>
      <c r="B100" s="72">
        <v>1</v>
      </c>
      <c r="C100" s="73" t="s">
        <v>307</v>
      </c>
      <c r="D100" s="74">
        <v>1755786</v>
      </c>
      <c r="E100" s="74">
        <v>2575884677</v>
      </c>
      <c r="F100" s="75">
        <v>7280025</v>
      </c>
      <c r="G100" s="122" t="s">
        <v>308</v>
      </c>
      <c r="H100" s="93" t="s">
        <v>207</v>
      </c>
      <c r="I100" s="72" t="s">
        <v>99</v>
      </c>
      <c r="J100" s="72">
        <v>1</v>
      </c>
      <c r="K100" s="72" t="s">
        <v>100</v>
      </c>
      <c r="L100" s="72" t="s">
        <v>101</v>
      </c>
      <c r="M100" s="89"/>
    </row>
    <row r="101" spans="1:13" s="79" customFormat="1" x14ac:dyDescent="0.3">
      <c r="A101" s="72">
        <f t="shared" si="2"/>
        <v>94</v>
      </c>
      <c r="B101" s="97">
        <v>1</v>
      </c>
      <c r="C101" s="73" t="s">
        <v>309</v>
      </c>
      <c r="D101" s="72">
        <v>1756351</v>
      </c>
      <c r="E101" s="74">
        <v>2611196672</v>
      </c>
      <c r="F101" s="75">
        <v>7307035</v>
      </c>
      <c r="G101" s="80" t="s">
        <v>310</v>
      </c>
      <c r="H101" s="72" t="s">
        <v>104</v>
      </c>
      <c r="I101" s="72" t="s">
        <v>99</v>
      </c>
      <c r="J101" s="72">
        <v>1</v>
      </c>
      <c r="K101" s="72" t="s">
        <v>100</v>
      </c>
      <c r="L101" s="72" t="s">
        <v>101</v>
      </c>
      <c r="M101" s="88"/>
    </row>
    <row r="102" spans="1:13" s="79" customFormat="1" x14ac:dyDescent="0.3">
      <c r="A102" s="72">
        <f t="shared" si="2"/>
        <v>95</v>
      </c>
      <c r="B102" s="72">
        <v>1</v>
      </c>
      <c r="C102" s="73" t="s">
        <v>311</v>
      </c>
      <c r="D102" s="101">
        <v>1756381</v>
      </c>
      <c r="E102" s="74">
        <v>2613438718</v>
      </c>
      <c r="F102" s="75">
        <v>7313124</v>
      </c>
      <c r="G102" s="96" t="s">
        <v>312</v>
      </c>
      <c r="H102" s="97" t="s">
        <v>313</v>
      </c>
      <c r="I102" s="97" t="s">
        <v>99</v>
      </c>
      <c r="J102" s="97">
        <v>1</v>
      </c>
      <c r="K102" s="72" t="s">
        <v>100</v>
      </c>
      <c r="L102" s="72" t="s">
        <v>101</v>
      </c>
      <c r="M102" s="89"/>
    </row>
    <row r="103" spans="1:13" s="79" customFormat="1" x14ac:dyDescent="0.3">
      <c r="A103" s="72">
        <f t="shared" si="2"/>
        <v>96</v>
      </c>
      <c r="B103" s="72">
        <v>1</v>
      </c>
      <c r="C103" s="73" t="s">
        <v>314</v>
      </c>
      <c r="D103" s="72">
        <v>1755844</v>
      </c>
      <c r="E103" s="74">
        <v>2577685049</v>
      </c>
      <c r="F103" s="75">
        <v>8715417</v>
      </c>
      <c r="G103" s="80" t="s">
        <v>315</v>
      </c>
      <c r="H103" s="72" t="s">
        <v>104</v>
      </c>
      <c r="I103" s="72" t="s">
        <v>99</v>
      </c>
      <c r="J103" s="93">
        <v>1</v>
      </c>
      <c r="K103" s="72" t="s">
        <v>100</v>
      </c>
      <c r="L103" s="72" t="s">
        <v>101</v>
      </c>
      <c r="M103" s="89"/>
    </row>
    <row r="104" spans="1:13" s="79" customFormat="1" x14ac:dyDescent="0.3">
      <c r="A104" s="72">
        <f t="shared" si="2"/>
        <v>97</v>
      </c>
      <c r="B104" s="72">
        <v>1</v>
      </c>
      <c r="C104" s="73" t="s">
        <v>316</v>
      </c>
      <c r="D104" s="140">
        <v>1756380</v>
      </c>
      <c r="E104" s="140">
        <v>2613438494</v>
      </c>
      <c r="F104" s="105" t="s">
        <v>139</v>
      </c>
      <c r="G104" s="141" t="s">
        <v>317</v>
      </c>
      <c r="H104" s="142" t="s">
        <v>210</v>
      </c>
      <c r="I104" s="143" t="s">
        <v>99</v>
      </c>
      <c r="J104" s="144">
        <v>1</v>
      </c>
      <c r="K104" s="143" t="s">
        <v>100</v>
      </c>
      <c r="L104" s="143" t="s">
        <v>101</v>
      </c>
      <c r="M104" s="72"/>
    </row>
    <row r="105" spans="1:13" s="79" customFormat="1" x14ac:dyDescent="0.3">
      <c r="A105" s="72">
        <f t="shared" si="2"/>
        <v>98</v>
      </c>
      <c r="B105" s="145">
        <v>1</v>
      </c>
      <c r="C105" s="146" t="s">
        <v>318</v>
      </c>
      <c r="D105" s="147">
        <v>1755787</v>
      </c>
      <c r="E105" s="147">
        <v>2575884693</v>
      </c>
      <c r="F105" s="147">
        <v>8705969</v>
      </c>
      <c r="G105" s="148" t="s">
        <v>319</v>
      </c>
      <c r="H105" s="145" t="s">
        <v>166</v>
      </c>
      <c r="I105" s="149" t="s">
        <v>99</v>
      </c>
      <c r="J105" s="150">
        <v>1</v>
      </c>
      <c r="K105" s="149" t="s">
        <v>100</v>
      </c>
      <c r="L105" s="149" t="s">
        <v>101</v>
      </c>
      <c r="M105" s="151" t="s">
        <v>320</v>
      </c>
    </row>
    <row r="106" spans="1:13" s="79" customFormat="1" x14ac:dyDescent="0.3">
      <c r="A106" s="72">
        <f t="shared" si="2"/>
        <v>99</v>
      </c>
      <c r="B106" s="108">
        <v>1</v>
      </c>
      <c r="C106" s="135" t="s">
        <v>321</v>
      </c>
      <c r="D106" s="110"/>
      <c r="E106" s="110"/>
      <c r="F106" s="110"/>
      <c r="G106" s="136" t="s">
        <v>188</v>
      </c>
      <c r="H106" s="108"/>
      <c r="I106" s="112"/>
      <c r="J106" s="108"/>
      <c r="K106" s="108"/>
      <c r="L106" s="108" t="s">
        <v>101</v>
      </c>
      <c r="M106" s="113"/>
    </row>
    <row r="107" spans="1:13" s="153" customFormat="1" x14ac:dyDescent="0.3">
      <c r="A107" s="72">
        <f t="shared" si="2"/>
        <v>100</v>
      </c>
      <c r="B107" s="97">
        <v>1</v>
      </c>
      <c r="C107" s="100" t="s">
        <v>322</v>
      </c>
      <c r="D107" s="101">
        <v>1756072</v>
      </c>
      <c r="E107" s="74">
        <v>2593672856</v>
      </c>
      <c r="F107" s="75">
        <v>8732009</v>
      </c>
      <c r="G107" s="152" t="s">
        <v>323</v>
      </c>
      <c r="H107" s="97" t="s">
        <v>137</v>
      </c>
      <c r="I107" s="97" t="s">
        <v>99</v>
      </c>
      <c r="J107" s="97">
        <v>1</v>
      </c>
      <c r="K107" s="97" t="s">
        <v>100</v>
      </c>
      <c r="L107" s="97" t="s">
        <v>101</v>
      </c>
      <c r="M107" s="104"/>
    </row>
    <row r="108" spans="1:13" s="159" customFormat="1" x14ac:dyDescent="0.3">
      <c r="A108" s="72">
        <f t="shared" si="2"/>
        <v>101</v>
      </c>
      <c r="B108" s="149">
        <v>1</v>
      </c>
      <c r="C108" s="146" t="s">
        <v>324</v>
      </c>
      <c r="D108" s="154">
        <v>1755792</v>
      </c>
      <c r="E108" s="155">
        <v>2575884834</v>
      </c>
      <c r="F108" s="156">
        <v>8710230</v>
      </c>
      <c r="G108" s="157" t="s">
        <v>325</v>
      </c>
      <c r="H108" s="149" t="s">
        <v>207</v>
      </c>
      <c r="I108" s="158" t="s">
        <v>99</v>
      </c>
      <c r="J108" s="158">
        <v>1</v>
      </c>
      <c r="K108" s="158" t="s">
        <v>100</v>
      </c>
      <c r="L108" s="158" t="s">
        <v>114</v>
      </c>
      <c r="M108" s="151" t="s">
        <v>326</v>
      </c>
    </row>
    <row r="109" spans="1:13" s="159" customFormat="1" x14ac:dyDescent="0.3">
      <c r="A109" s="72">
        <f t="shared" si="2"/>
        <v>102</v>
      </c>
      <c r="B109" s="72">
        <v>1</v>
      </c>
      <c r="C109" s="100" t="s">
        <v>327</v>
      </c>
      <c r="D109" s="74">
        <v>1756073</v>
      </c>
      <c r="E109" s="74">
        <v>2593672864</v>
      </c>
      <c r="F109" s="75">
        <v>8732016</v>
      </c>
      <c r="G109" s="122" t="s">
        <v>328</v>
      </c>
      <c r="H109" s="72" t="s">
        <v>137</v>
      </c>
      <c r="I109" s="78" t="s">
        <v>99</v>
      </c>
      <c r="J109" s="72">
        <v>1</v>
      </c>
      <c r="K109" s="72" t="s">
        <v>100</v>
      </c>
      <c r="L109" s="72" t="s">
        <v>114</v>
      </c>
      <c r="M109" s="160"/>
    </row>
    <row r="110" spans="1:13" s="159" customFormat="1" x14ac:dyDescent="0.3">
      <c r="A110" s="72">
        <f t="shared" si="2"/>
        <v>103</v>
      </c>
      <c r="B110" s="72">
        <v>1</v>
      </c>
      <c r="C110" s="100" t="s">
        <v>329</v>
      </c>
      <c r="D110" s="74">
        <v>1756234</v>
      </c>
      <c r="E110" s="74">
        <v>2604638037</v>
      </c>
      <c r="F110" s="75">
        <v>7291461</v>
      </c>
      <c r="G110" s="122" t="s">
        <v>330</v>
      </c>
      <c r="H110" s="72" t="s">
        <v>207</v>
      </c>
      <c r="I110" s="78" t="s">
        <v>99</v>
      </c>
      <c r="J110" s="72">
        <v>1</v>
      </c>
      <c r="K110" s="72" t="s">
        <v>100</v>
      </c>
      <c r="L110" s="72" t="s">
        <v>101</v>
      </c>
      <c r="M110" s="89"/>
    </row>
    <row r="111" spans="1:13" s="159" customFormat="1" x14ac:dyDescent="0.3">
      <c r="A111" s="72">
        <f t="shared" si="2"/>
        <v>104</v>
      </c>
      <c r="B111" s="72">
        <v>1</v>
      </c>
      <c r="C111" s="100" t="s">
        <v>331</v>
      </c>
      <c r="D111" s="74">
        <v>1756235</v>
      </c>
      <c r="E111" s="74">
        <v>2604638383</v>
      </c>
      <c r="F111" s="86" t="s">
        <v>332</v>
      </c>
      <c r="G111" s="122" t="s">
        <v>333</v>
      </c>
      <c r="H111" s="72" t="s">
        <v>207</v>
      </c>
      <c r="I111" s="78" t="s">
        <v>99</v>
      </c>
      <c r="J111" s="72">
        <v>1</v>
      </c>
      <c r="K111" s="78" t="s">
        <v>100</v>
      </c>
      <c r="L111" s="78" t="s">
        <v>101</v>
      </c>
      <c r="M111" s="89"/>
    </row>
    <row r="112" spans="1:13" s="159" customFormat="1" x14ac:dyDescent="0.3">
      <c r="A112" s="72">
        <f t="shared" si="2"/>
        <v>105</v>
      </c>
      <c r="B112" s="82">
        <v>1</v>
      </c>
      <c r="C112" s="123" t="s">
        <v>334</v>
      </c>
      <c r="D112" s="85">
        <v>9604304</v>
      </c>
      <c r="E112" s="74">
        <v>2559077827</v>
      </c>
      <c r="F112" s="75">
        <v>8720154</v>
      </c>
      <c r="G112" s="160" t="s">
        <v>335</v>
      </c>
      <c r="H112" s="82" t="s">
        <v>224</v>
      </c>
      <c r="I112" s="82" t="s">
        <v>336</v>
      </c>
      <c r="J112" s="82">
        <v>1</v>
      </c>
      <c r="K112" s="82" t="s">
        <v>100</v>
      </c>
      <c r="L112" s="82" t="s">
        <v>114</v>
      </c>
      <c r="M112" s="88"/>
    </row>
    <row r="113" spans="1:13" s="159" customFormat="1" x14ac:dyDescent="0.3">
      <c r="A113" s="72">
        <f t="shared" si="2"/>
        <v>106</v>
      </c>
      <c r="B113" s="82">
        <v>1</v>
      </c>
      <c r="C113" s="123" t="s">
        <v>337</v>
      </c>
      <c r="D113" s="85">
        <v>9601007</v>
      </c>
      <c r="E113" s="74">
        <v>2419020454</v>
      </c>
      <c r="F113" s="75">
        <v>8720188</v>
      </c>
      <c r="G113" s="87" t="s">
        <v>338</v>
      </c>
      <c r="H113" s="82" t="s">
        <v>224</v>
      </c>
      <c r="I113" s="82" t="s">
        <v>336</v>
      </c>
      <c r="J113" s="82">
        <v>1</v>
      </c>
      <c r="K113" s="82" t="s">
        <v>100</v>
      </c>
      <c r="L113" s="82" t="s">
        <v>114</v>
      </c>
      <c r="M113" s="88"/>
    </row>
    <row r="114" spans="1:13" s="159" customFormat="1" x14ac:dyDescent="0.3">
      <c r="A114" s="72">
        <f t="shared" si="2"/>
        <v>107</v>
      </c>
      <c r="B114" s="108">
        <v>1</v>
      </c>
      <c r="C114" s="135" t="s">
        <v>339</v>
      </c>
      <c r="D114" s="161"/>
      <c r="E114" s="161"/>
      <c r="F114" s="161"/>
      <c r="G114" s="162" t="s">
        <v>188</v>
      </c>
      <c r="H114" s="163"/>
      <c r="I114" s="164"/>
      <c r="J114" s="163"/>
      <c r="K114" s="163"/>
      <c r="L114" s="163" t="s">
        <v>101</v>
      </c>
      <c r="M114" s="164"/>
    </row>
    <row r="115" spans="1:13" s="159" customFormat="1" x14ac:dyDescent="0.3">
      <c r="A115" s="72">
        <f t="shared" si="2"/>
        <v>108</v>
      </c>
      <c r="B115" s="97">
        <v>1</v>
      </c>
      <c r="C115" s="165" t="s">
        <v>340</v>
      </c>
      <c r="D115" s="101">
        <v>1755742</v>
      </c>
      <c r="E115" s="74">
        <v>2571806765</v>
      </c>
      <c r="F115" s="75">
        <v>8705970</v>
      </c>
      <c r="G115" s="152" t="s">
        <v>341</v>
      </c>
      <c r="H115" s="97" t="s">
        <v>210</v>
      </c>
      <c r="I115" s="97" t="s">
        <v>99</v>
      </c>
      <c r="J115" s="97">
        <v>1</v>
      </c>
      <c r="K115" s="97" t="s">
        <v>100</v>
      </c>
      <c r="L115" s="97" t="s">
        <v>114</v>
      </c>
      <c r="M115" s="104"/>
    </row>
    <row r="116" spans="1:13" s="159" customFormat="1" x14ac:dyDescent="0.3">
      <c r="A116" s="72">
        <f t="shared" si="2"/>
        <v>109</v>
      </c>
      <c r="B116" s="97">
        <v>1</v>
      </c>
      <c r="C116" s="165" t="s">
        <v>342</v>
      </c>
      <c r="D116" s="101">
        <v>1755969</v>
      </c>
      <c r="E116" s="74">
        <v>2587333606</v>
      </c>
      <c r="F116" s="75">
        <v>8731717</v>
      </c>
      <c r="G116" s="152" t="s">
        <v>343</v>
      </c>
      <c r="H116" s="97" t="s">
        <v>166</v>
      </c>
      <c r="I116" s="97" t="s">
        <v>99</v>
      </c>
      <c r="J116" s="97">
        <v>1</v>
      </c>
      <c r="K116" s="97" t="s">
        <v>100</v>
      </c>
      <c r="L116" s="97" t="s">
        <v>114</v>
      </c>
      <c r="M116" s="104"/>
    </row>
    <row r="117" spans="1:13" s="159" customFormat="1" x14ac:dyDescent="0.3">
      <c r="A117" s="72">
        <f t="shared" si="2"/>
        <v>110</v>
      </c>
      <c r="B117" s="97">
        <v>1</v>
      </c>
      <c r="C117" s="165" t="s">
        <v>344</v>
      </c>
      <c r="D117" s="101">
        <v>1755810</v>
      </c>
      <c r="E117" s="74">
        <v>2574509630</v>
      </c>
      <c r="F117" s="75">
        <v>8705968</v>
      </c>
      <c r="G117" s="152" t="s">
        <v>345</v>
      </c>
      <c r="H117" s="97" t="s">
        <v>210</v>
      </c>
      <c r="I117" s="97" t="s">
        <v>99</v>
      </c>
      <c r="J117" s="97">
        <v>1</v>
      </c>
      <c r="K117" s="97" t="s">
        <v>100</v>
      </c>
      <c r="L117" s="97" t="s">
        <v>114</v>
      </c>
      <c r="M117" s="104"/>
    </row>
    <row r="118" spans="1:13" s="159" customFormat="1" x14ac:dyDescent="0.3">
      <c r="A118" s="72">
        <f t="shared" si="2"/>
        <v>111</v>
      </c>
      <c r="B118" s="97">
        <v>1</v>
      </c>
      <c r="C118" s="166" t="s">
        <v>346</v>
      </c>
      <c r="D118" s="124">
        <v>1756152</v>
      </c>
      <c r="E118" s="74">
        <v>2598997191</v>
      </c>
      <c r="F118" s="75">
        <v>7280059</v>
      </c>
      <c r="G118" s="125" t="s">
        <v>347</v>
      </c>
      <c r="H118" s="78" t="s">
        <v>348</v>
      </c>
      <c r="I118" s="78" t="s">
        <v>99</v>
      </c>
      <c r="J118" s="167">
        <v>1</v>
      </c>
      <c r="K118" s="78" t="s">
        <v>100</v>
      </c>
      <c r="L118" s="78" t="s">
        <v>114</v>
      </c>
      <c r="M118" s="104"/>
    </row>
    <row r="119" spans="1:13" s="159" customFormat="1" x14ac:dyDescent="0.3">
      <c r="A119" s="72">
        <f t="shared" si="2"/>
        <v>112</v>
      </c>
      <c r="B119" s="97">
        <v>1</v>
      </c>
      <c r="C119" s="165" t="s">
        <v>349</v>
      </c>
      <c r="D119" s="101">
        <v>1755744</v>
      </c>
      <c r="E119" s="74">
        <v>2571806823</v>
      </c>
      <c r="F119" s="75">
        <v>8705967</v>
      </c>
      <c r="G119" s="152" t="s">
        <v>350</v>
      </c>
      <c r="H119" s="97" t="s">
        <v>210</v>
      </c>
      <c r="I119" s="97" t="s">
        <v>99</v>
      </c>
      <c r="J119" s="97">
        <v>1</v>
      </c>
      <c r="K119" s="97" t="s">
        <v>100</v>
      </c>
      <c r="L119" s="97" t="s">
        <v>114</v>
      </c>
      <c r="M119" s="104"/>
    </row>
    <row r="120" spans="1:13" s="159" customFormat="1" x14ac:dyDescent="0.3">
      <c r="A120" s="72">
        <f t="shared" si="2"/>
        <v>113</v>
      </c>
      <c r="B120" s="97">
        <v>1</v>
      </c>
      <c r="C120" s="165" t="s">
        <v>351</v>
      </c>
      <c r="D120" s="101">
        <v>1755745</v>
      </c>
      <c r="E120" s="74">
        <v>2571806872</v>
      </c>
      <c r="F120" s="75">
        <v>8713938</v>
      </c>
      <c r="G120" s="152" t="s">
        <v>352</v>
      </c>
      <c r="H120" s="97" t="s">
        <v>210</v>
      </c>
      <c r="I120" s="97" t="s">
        <v>99</v>
      </c>
      <c r="J120" s="97">
        <v>1</v>
      </c>
      <c r="K120" s="97" t="s">
        <v>100</v>
      </c>
      <c r="L120" s="97" t="s">
        <v>114</v>
      </c>
      <c r="M120" s="104"/>
    </row>
    <row r="121" spans="1:13" s="159" customFormat="1" x14ac:dyDescent="0.3">
      <c r="A121" s="72">
        <f t="shared" si="2"/>
        <v>114</v>
      </c>
      <c r="B121" s="97">
        <v>1</v>
      </c>
      <c r="C121" s="165" t="s">
        <v>353</v>
      </c>
      <c r="D121" s="101">
        <v>1755822</v>
      </c>
      <c r="E121" s="74">
        <v>2575884990</v>
      </c>
      <c r="F121" s="75">
        <v>8709844</v>
      </c>
      <c r="G121" s="168" t="s">
        <v>354</v>
      </c>
      <c r="H121" s="97" t="s">
        <v>104</v>
      </c>
      <c r="I121" s="97" t="s">
        <v>99</v>
      </c>
      <c r="J121" s="97">
        <v>1</v>
      </c>
      <c r="K121" s="97" t="s">
        <v>100</v>
      </c>
      <c r="L121" s="97" t="s">
        <v>114</v>
      </c>
      <c r="M121" s="104"/>
    </row>
    <row r="122" spans="1:13" s="159" customFormat="1" x14ac:dyDescent="0.3">
      <c r="A122" s="72">
        <f t="shared" si="2"/>
        <v>115</v>
      </c>
      <c r="B122" s="97">
        <v>1</v>
      </c>
      <c r="C122" s="165" t="s">
        <v>355</v>
      </c>
      <c r="D122" s="101">
        <v>1755937</v>
      </c>
      <c r="E122" s="101">
        <v>2583838707</v>
      </c>
      <c r="F122" s="102">
        <v>8709848</v>
      </c>
      <c r="G122" s="168" t="s">
        <v>356</v>
      </c>
      <c r="H122" s="97" t="s">
        <v>210</v>
      </c>
      <c r="I122" s="97" t="s">
        <v>99</v>
      </c>
      <c r="J122" s="97">
        <v>1</v>
      </c>
      <c r="K122" s="97" t="s">
        <v>100</v>
      </c>
      <c r="L122" s="97" t="s">
        <v>114</v>
      </c>
      <c r="M122" s="104"/>
    </row>
    <row r="123" spans="1:13" s="159" customFormat="1" x14ac:dyDescent="0.3">
      <c r="A123" s="72">
        <f t="shared" si="2"/>
        <v>116</v>
      </c>
      <c r="B123" s="97">
        <v>1</v>
      </c>
      <c r="C123" s="165" t="s">
        <v>357</v>
      </c>
      <c r="D123" s="101">
        <v>1755938</v>
      </c>
      <c r="E123" s="101">
        <v>2583838798</v>
      </c>
      <c r="F123" s="102">
        <v>8730165</v>
      </c>
      <c r="G123" s="168" t="s">
        <v>358</v>
      </c>
      <c r="H123" s="97" t="s">
        <v>210</v>
      </c>
      <c r="I123" s="97" t="s">
        <v>99</v>
      </c>
      <c r="J123" s="97">
        <v>1</v>
      </c>
      <c r="K123" s="97" t="s">
        <v>100</v>
      </c>
      <c r="L123" s="97" t="s">
        <v>114</v>
      </c>
      <c r="M123" s="104"/>
    </row>
    <row r="124" spans="1:13" s="159" customFormat="1" x14ac:dyDescent="0.3">
      <c r="A124" s="72">
        <f t="shared" si="2"/>
        <v>117</v>
      </c>
      <c r="B124" s="97">
        <v>1</v>
      </c>
      <c r="C124" s="165" t="s">
        <v>359</v>
      </c>
      <c r="D124" s="101">
        <v>1755939</v>
      </c>
      <c r="E124" s="101">
        <v>2583838863</v>
      </c>
      <c r="F124" s="102">
        <v>8709847</v>
      </c>
      <c r="G124" s="168" t="s">
        <v>360</v>
      </c>
      <c r="H124" s="97" t="s">
        <v>210</v>
      </c>
      <c r="I124" s="97" t="s">
        <v>99</v>
      </c>
      <c r="J124" s="97">
        <v>1</v>
      </c>
      <c r="K124" s="97" t="s">
        <v>100</v>
      </c>
      <c r="L124" s="97" t="s">
        <v>114</v>
      </c>
      <c r="M124" s="104"/>
    </row>
    <row r="125" spans="1:13" s="159" customFormat="1" x14ac:dyDescent="0.3">
      <c r="A125" s="72">
        <f t="shared" si="2"/>
        <v>118</v>
      </c>
      <c r="B125" s="97">
        <v>1</v>
      </c>
      <c r="C125" s="165" t="s">
        <v>361</v>
      </c>
      <c r="D125" s="101">
        <v>1755940</v>
      </c>
      <c r="E125" s="101">
        <v>2583859117</v>
      </c>
      <c r="F125" s="102">
        <v>7290519</v>
      </c>
      <c r="G125" s="168" t="s">
        <v>362</v>
      </c>
      <c r="H125" s="97" t="s">
        <v>210</v>
      </c>
      <c r="I125" s="97" t="s">
        <v>99</v>
      </c>
      <c r="J125" s="97">
        <v>1</v>
      </c>
      <c r="K125" s="97" t="s">
        <v>100</v>
      </c>
      <c r="L125" s="97" t="s">
        <v>114</v>
      </c>
      <c r="M125" s="104"/>
    </row>
    <row r="126" spans="1:13" s="159" customFormat="1" x14ac:dyDescent="0.3">
      <c r="A126" s="72">
        <f t="shared" si="2"/>
        <v>119</v>
      </c>
      <c r="B126" s="97">
        <v>1</v>
      </c>
      <c r="C126" s="165" t="s">
        <v>363</v>
      </c>
      <c r="D126" s="101">
        <v>1756158</v>
      </c>
      <c r="E126" s="101">
        <v>2598998025</v>
      </c>
      <c r="F126" s="102">
        <v>7283265</v>
      </c>
      <c r="G126" s="168" t="s">
        <v>364</v>
      </c>
      <c r="H126" s="97" t="s">
        <v>348</v>
      </c>
      <c r="I126" s="97" t="s">
        <v>99</v>
      </c>
      <c r="J126" s="97">
        <v>1</v>
      </c>
      <c r="K126" s="97" t="s">
        <v>100</v>
      </c>
      <c r="L126" s="97" t="s">
        <v>114</v>
      </c>
      <c r="M126" s="104"/>
    </row>
    <row r="127" spans="1:13" s="159" customFormat="1" x14ac:dyDescent="0.3">
      <c r="A127" s="72">
        <f>A133+1</f>
        <v>127</v>
      </c>
      <c r="B127" s="97">
        <v>1</v>
      </c>
      <c r="C127" s="165" t="s">
        <v>365</v>
      </c>
      <c r="D127" s="101">
        <v>1754561</v>
      </c>
      <c r="E127" s="101">
        <v>2487968386</v>
      </c>
      <c r="F127" s="102">
        <v>7307041</v>
      </c>
      <c r="G127" s="168" t="s">
        <v>366</v>
      </c>
      <c r="H127" s="97" t="s">
        <v>232</v>
      </c>
      <c r="I127" s="97" t="s">
        <v>99</v>
      </c>
      <c r="J127" s="97">
        <v>1</v>
      </c>
      <c r="K127" s="97" t="s">
        <v>100</v>
      </c>
      <c r="L127" s="97" t="s">
        <v>114</v>
      </c>
      <c r="M127" s="104"/>
    </row>
    <row r="128" spans="1:13" s="159" customFormat="1" x14ac:dyDescent="0.3">
      <c r="A128" s="97">
        <f>A136+1</f>
        <v>121</v>
      </c>
      <c r="B128" s="97">
        <v>1</v>
      </c>
      <c r="C128" s="165" t="s">
        <v>367</v>
      </c>
      <c r="D128" s="101">
        <v>1756373</v>
      </c>
      <c r="E128" s="101">
        <v>2611808409</v>
      </c>
      <c r="F128" s="102">
        <v>7310880</v>
      </c>
      <c r="G128" s="152" t="s">
        <v>368</v>
      </c>
      <c r="H128" s="97" t="s">
        <v>210</v>
      </c>
      <c r="I128" s="97" t="s">
        <v>99</v>
      </c>
      <c r="J128" s="97">
        <v>1</v>
      </c>
      <c r="K128" s="97" t="s">
        <v>100</v>
      </c>
      <c r="L128" s="97" t="s">
        <v>101</v>
      </c>
      <c r="M128" s="169"/>
    </row>
    <row r="129" spans="1:13" s="159" customFormat="1" x14ac:dyDescent="0.3">
      <c r="A129" s="82">
        <f t="shared" ref="A129:A163" si="3">A128+1</f>
        <v>122</v>
      </c>
      <c r="B129" s="97">
        <v>1</v>
      </c>
      <c r="C129" s="165" t="s">
        <v>369</v>
      </c>
      <c r="D129" s="101">
        <v>1756372</v>
      </c>
      <c r="E129" s="101">
        <v>2611808367</v>
      </c>
      <c r="F129" s="102">
        <v>7313105</v>
      </c>
      <c r="G129" s="152" t="s">
        <v>370</v>
      </c>
      <c r="H129" s="97" t="s">
        <v>210</v>
      </c>
      <c r="I129" s="97" t="s">
        <v>99</v>
      </c>
      <c r="J129" s="97">
        <v>1</v>
      </c>
      <c r="K129" s="97" t="s">
        <v>100</v>
      </c>
      <c r="L129" s="97" t="s">
        <v>101</v>
      </c>
      <c r="M129" s="169"/>
    </row>
    <row r="130" spans="1:13" s="159" customFormat="1" x14ac:dyDescent="0.3">
      <c r="A130" s="97">
        <f t="shared" si="3"/>
        <v>123</v>
      </c>
      <c r="B130" s="97">
        <v>1</v>
      </c>
      <c r="C130" s="165" t="s">
        <v>371</v>
      </c>
      <c r="D130" s="101">
        <v>1756260</v>
      </c>
      <c r="E130" s="101">
        <v>2605357132</v>
      </c>
      <c r="F130" s="102">
        <v>7290514</v>
      </c>
      <c r="G130" s="96" t="s">
        <v>372</v>
      </c>
      <c r="H130" s="97" t="s">
        <v>348</v>
      </c>
      <c r="I130" s="97" t="s">
        <v>99</v>
      </c>
      <c r="J130" s="97">
        <v>1</v>
      </c>
      <c r="K130" s="97" t="s">
        <v>100</v>
      </c>
      <c r="L130" s="97" t="s">
        <v>114</v>
      </c>
      <c r="M130" s="104"/>
    </row>
    <row r="131" spans="1:13" s="159" customFormat="1" x14ac:dyDescent="0.3">
      <c r="A131" s="97">
        <f t="shared" si="3"/>
        <v>124</v>
      </c>
      <c r="B131" s="97">
        <v>1</v>
      </c>
      <c r="C131" s="165" t="s">
        <v>373</v>
      </c>
      <c r="D131" s="97">
        <v>1756264</v>
      </c>
      <c r="E131" s="101">
        <v>2605357447</v>
      </c>
      <c r="F131" s="102">
        <v>7290510</v>
      </c>
      <c r="G131" s="170" t="s">
        <v>374</v>
      </c>
      <c r="H131" s="97" t="s">
        <v>348</v>
      </c>
      <c r="I131" s="97" t="s">
        <v>99</v>
      </c>
      <c r="J131" s="97">
        <v>1</v>
      </c>
      <c r="K131" s="97" t="s">
        <v>100</v>
      </c>
      <c r="L131" s="97" t="s">
        <v>114</v>
      </c>
      <c r="M131" s="104"/>
    </row>
    <row r="132" spans="1:13" s="159" customFormat="1" x14ac:dyDescent="0.3">
      <c r="A132" s="97">
        <f t="shared" si="3"/>
        <v>125</v>
      </c>
      <c r="B132" s="97">
        <v>1</v>
      </c>
      <c r="C132" s="165" t="s">
        <v>375</v>
      </c>
      <c r="D132" s="101">
        <v>1756258</v>
      </c>
      <c r="E132" s="74">
        <v>2605356993</v>
      </c>
      <c r="F132" s="75">
        <v>7291802</v>
      </c>
      <c r="G132" s="152" t="s">
        <v>376</v>
      </c>
      <c r="H132" s="97" t="s">
        <v>348</v>
      </c>
      <c r="I132" s="97" t="s">
        <v>99</v>
      </c>
      <c r="J132" s="97">
        <v>1</v>
      </c>
      <c r="K132" s="97" t="s">
        <v>100</v>
      </c>
      <c r="L132" s="97" t="s">
        <v>101</v>
      </c>
      <c r="M132" s="169"/>
    </row>
    <row r="133" spans="1:13" s="159" customFormat="1" x14ac:dyDescent="0.3">
      <c r="A133" s="82">
        <f t="shared" si="3"/>
        <v>126</v>
      </c>
      <c r="B133" s="82">
        <v>1</v>
      </c>
      <c r="C133" s="171" t="s">
        <v>377</v>
      </c>
      <c r="D133" s="85">
        <v>9600372</v>
      </c>
      <c r="E133" s="85">
        <v>2347655694</v>
      </c>
      <c r="F133" s="86" t="s">
        <v>378</v>
      </c>
      <c r="G133" s="160" t="s">
        <v>379</v>
      </c>
      <c r="H133" s="82" t="s">
        <v>137</v>
      </c>
      <c r="I133" s="82" t="s">
        <v>380</v>
      </c>
      <c r="J133" s="82">
        <v>1</v>
      </c>
      <c r="K133" s="82" t="s">
        <v>100</v>
      </c>
      <c r="L133" s="82" t="s">
        <v>114</v>
      </c>
      <c r="M133" s="172"/>
    </row>
    <row r="134" spans="1:13" s="159" customFormat="1" x14ac:dyDescent="0.3">
      <c r="A134" s="72">
        <f t="shared" si="3"/>
        <v>127</v>
      </c>
      <c r="B134" s="97">
        <v>1</v>
      </c>
      <c r="C134" s="165" t="s">
        <v>381</v>
      </c>
      <c r="D134" s="101">
        <v>1756259</v>
      </c>
      <c r="E134" s="74">
        <v>2605357066</v>
      </c>
      <c r="F134" s="75">
        <v>7290507</v>
      </c>
      <c r="G134" s="96" t="s">
        <v>382</v>
      </c>
      <c r="H134" s="97" t="s">
        <v>348</v>
      </c>
      <c r="I134" s="97" t="s">
        <v>99</v>
      </c>
      <c r="J134" s="97">
        <v>1</v>
      </c>
      <c r="K134" s="97" t="s">
        <v>100</v>
      </c>
      <c r="L134" s="97" t="s">
        <v>114</v>
      </c>
      <c r="M134" s="104"/>
    </row>
    <row r="135" spans="1:13" s="94" customFormat="1" x14ac:dyDescent="0.3">
      <c r="A135" s="72">
        <f>A153+1</f>
        <v>144</v>
      </c>
      <c r="B135" s="97">
        <v>1</v>
      </c>
      <c r="C135" s="165" t="s">
        <v>383</v>
      </c>
      <c r="D135" s="101">
        <v>1755741</v>
      </c>
      <c r="E135" s="74">
        <v>2571806732</v>
      </c>
      <c r="F135" s="75">
        <v>8705974</v>
      </c>
      <c r="G135" s="152" t="s">
        <v>384</v>
      </c>
      <c r="H135" s="97" t="s">
        <v>210</v>
      </c>
      <c r="I135" s="97" t="s">
        <v>99</v>
      </c>
      <c r="J135" s="97">
        <v>1</v>
      </c>
      <c r="K135" s="97" t="s">
        <v>100</v>
      </c>
      <c r="L135" s="97" t="s">
        <v>114</v>
      </c>
      <c r="M135" s="173"/>
    </row>
    <row r="136" spans="1:13" s="159" customFormat="1" x14ac:dyDescent="0.3">
      <c r="A136" s="72">
        <f>A126+1</f>
        <v>120</v>
      </c>
      <c r="B136" s="97">
        <v>1</v>
      </c>
      <c r="C136" s="100" t="s">
        <v>385</v>
      </c>
      <c r="D136" s="101">
        <v>1755746</v>
      </c>
      <c r="E136" s="101">
        <v>2571806898</v>
      </c>
      <c r="F136" s="102">
        <v>8705966</v>
      </c>
      <c r="G136" s="152" t="s">
        <v>386</v>
      </c>
      <c r="H136" s="97" t="s">
        <v>210</v>
      </c>
      <c r="I136" s="97" t="s">
        <v>99</v>
      </c>
      <c r="J136" s="97">
        <v>1</v>
      </c>
      <c r="K136" s="97" t="s">
        <v>100</v>
      </c>
      <c r="L136" s="97" t="s">
        <v>101</v>
      </c>
      <c r="M136" s="169"/>
    </row>
    <row r="137" spans="1:13" s="159" customFormat="1" x14ac:dyDescent="0.3">
      <c r="A137" s="72">
        <f>A118+1</f>
        <v>112</v>
      </c>
      <c r="B137" s="97">
        <v>1</v>
      </c>
      <c r="C137" s="100" t="s">
        <v>387</v>
      </c>
      <c r="D137" s="101">
        <v>1755743</v>
      </c>
      <c r="E137" s="101">
        <v>2571806807</v>
      </c>
      <c r="F137" s="102">
        <v>8705973</v>
      </c>
      <c r="G137" s="152" t="s">
        <v>388</v>
      </c>
      <c r="H137" s="97" t="s">
        <v>210</v>
      </c>
      <c r="I137" s="97" t="s">
        <v>99</v>
      </c>
      <c r="J137" s="97">
        <v>1</v>
      </c>
      <c r="K137" s="97" t="s">
        <v>100</v>
      </c>
      <c r="L137" s="97" t="s">
        <v>114</v>
      </c>
      <c r="M137" s="104"/>
    </row>
    <row r="138" spans="1:13" s="159" customFormat="1" x14ac:dyDescent="0.3">
      <c r="A138" s="72">
        <f>A134+1</f>
        <v>128</v>
      </c>
      <c r="B138" s="97">
        <v>1</v>
      </c>
      <c r="C138" s="100" t="s">
        <v>389</v>
      </c>
      <c r="D138" s="101">
        <v>1755935</v>
      </c>
      <c r="E138" s="101">
        <v>2583838459</v>
      </c>
      <c r="F138" s="102">
        <v>8709851</v>
      </c>
      <c r="G138" s="96" t="s">
        <v>390</v>
      </c>
      <c r="H138" s="97" t="s">
        <v>210</v>
      </c>
      <c r="I138" s="97" t="s">
        <v>99</v>
      </c>
      <c r="J138" s="97">
        <v>1</v>
      </c>
      <c r="K138" s="97" t="s">
        <v>100</v>
      </c>
      <c r="L138" s="97" t="s">
        <v>114</v>
      </c>
      <c r="M138" s="104"/>
    </row>
    <row r="139" spans="1:13" s="159" customFormat="1" x14ac:dyDescent="0.3">
      <c r="A139" s="72">
        <f t="shared" si="3"/>
        <v>129</v>
      </c>
      <c r="B139" s="97">
        <v>1</v>
      </c>
      <c r="C139" s="100" t="s">
        <v>391</v>
      </c>
      <c r="D139" s="101">
        <v>1756388</v>
      </c>
      <c r="E139" s="101">
        <v>2613439872</v>
      </c>
      <c r="F139" s="102">
        <v>7316224</v>
      </c>
      <c r="G139" s="152" t="s">
        <v>392</v>
      </c>
      <c r="H139" s="97" t="s">
        <v>348</v>
      </c>
      <c r="I139" s="97" t="s">
        <v>99</v>
      </c>
      <c r="J139" s="97">
        <v>1</v>
      </c>
      <c r="K139" s="97" t="s">
        <v>100</v>
      </c>
      <c r="L139" s="97" t="s">
        <v>101</v>
      </c>
      <c r="M139" s="169"/>
    </row>
    <row r="140" spans="1:13" s="159" customFormat="1" x14ac:dyDescent="0.3">
      <c r="A140" s="72">
        <f t="shared" si="3"/>
        <v>130</v>
      </c>
      <c r="B140" s="97">
        <v>1</v>
      </c>
      <c r="C140" s="100" t="s">
        <v>393</v>
      </c>
      <c r="D140" s="101">
        <v>1756261</v>
      </c>
      <c r="E140" s="101">
        <v>2605357215</v>
      </c>
      <c r="F140" s="102">
        <v>7290515</v>
      </c>
      <c r="G140" s="96" t="s">
        <v>394</v>
      </c>
      <c r="H140" s="97" t="s">
        <v>348</v>
      </c>
      <c r="I140" s="97" t="s">
        <v>99</v>
      </c>
      <c r="J140" s="97">
        <v>1</v>
      </c>
      <c r="K140" s="97" t="s">
        <v>100</v>
      </c>
      <c r="L140" s="97" t="s">
        <v>114</v>
      </c>
      <c r="M140" s="104"/>
    </row>
    <row r="141" spans="1:13" s="159" customFormat="1" x14ac:dyDescent="0.3">
      <c r="A141" s="72">
        <f t="shared" si="3"/>
        <v>131</v>
      </c>
      <c r="B141" s="97">
        <v>1</v>
      </c>
      <c r="C141" s="100" t="s">
        <v>395</v>
      </c>
      <c r="D141" s="101">
        <v>1756262</v>
      </c>
      <c r="E141" s="101">
        <v>2605357314</v>
      </c>
      <c r="F141" s="102">
        <v>7290517</v>
      </c>
      <c r="G141" s="96" t="s">
        <v>396</v>
      </c>
      <c r="H141" s="97" t="s">
        <v>348</v>
      </c>
      <c r="I141" s="97" t="s">
        <v>99</v>
      </c>
      <c r="J141" s="97">
        <v>1</v>
      </c>
      <c r="K141" s="97" t="s">
        <v>100</v>
      </c>
      <c r="L141" s="97" t="s">
        <v>114</v>
      </c>
      <c r="M141" s="104"/>
    </row>
    <row r="142" spans="1:13" s="159" customFormat="1" x14ac:dyDescent="0.3">
      <c r="A142" s="72">
        <f t="shared" si="3"/>
        <v>132</v>
      </c>
      <c r="B142" s="97">
        <v>1</v>
      </c>
      <c r="C142" s="100" t="s">
        <v>397</v>
      </c>
      <c r="D142" s="101">
        <v>1755967</v>
      </c>
      <c r="E142" s="101">
        <v>2587332988</v>
      </c>
      <c r="F142" s="102">
        <v>8731734</v>
      </c>
      <c r="G142" s="96" t="s">
        <v>398</v>
      </c>
      <c r="H142" s="97" t="s">
        <v>166</v>
      </c>
      <c r="I142" s="97" t="s">
        <v>99</v>
      </c>
      <c r="J142" s="97">
        <v>1</v>
      </c>
      <c r="K142" s="97" t="s">
        <v>100</v>
      </c>
      <c r="L142" s="97" t="s">
        <v>114</v>
      </c>
      <c r="M142" s="104"/>
    </row>
    <row r="143" spans="1:13" s="159" customFormat="1" ht="15" customHeight="1" x14ac:dyDescent="0.3">
      <c r="A143" s="72">
        <f t="shared" si="3"/>
        <v>133</v>
      </c>
      <c r="B143" s="97">
        <v>1</v>
      </c>
      <c r="C143" s="100" t="s">
        <v>399</v>
      </c>
      <c r="D143" s="101">
        <v>1755968</v>
      </c>
      <c r="E143" s="101">
        <v>2587333218</v>
      </c>
      <c r="F143" s="102">
        <v>8731723</v>
      </c>
      <c r="G143" s="96" t="s">
        <v>400</v>
      </c>
      <c r="H143" s="97" t="s">
        <v>166</v>
      </c>
      <c r="I143" s="97" t="s">
        <v>99</v>
      </c>
      <c r="J143" s="97">
        <v>1</v>
      </c>
      <c r="K143" s="97" t="s">
        <v>100</v>
      </c>
      <c r="L143" s="97" t="s">
        <v>114</v>
      </c>
      <c r="M143" s="104"/>
    </row>
    <row r="144" spans="1:13" s="159" customFormat="1" x14ac:dyDescent="0.3">
      <c r="A144" s="72">
        <f t="shared" si="3"/>
        <v>134</v>
      </c>
      <c r="B144" s="97">
        <v>1</v>
      </c>
      <c r="C144" s="100" t="s">
        <v>401</v>
      </c>
      <c r="D144" s="101">
        <v>1756227</v>
      </c>
      <c r="E144" s="101">
        <v>2604640140</v>
      </c>
      <c r="F144" s="102">
        <v>7291467</v>
      </c>
      <c r="G144" s="152" t="s">
        <v>402</v>
      </c>
      <c r="H144" s="97" t="s">
        <v>348</v>
      </c>
      <c r="I144" s="97" t="s">
        <v>99</v>
      </c>
      <c r="J144" s="97">
        <v>1</v>
      </c>
      <c r="K144" s="97" t="s">
        <v>100</v>
      </c>
      <c r="L144" s="97" t="s">
        <v>101</v>
      </c>
      <c r="M144" s="169"/>
    </row>
    <row r="145" spans="1:13" s="159" customFormat="1" x14ac:dyDescent="0.3">
      <c r="A145" s="72">
        <f t="shared" si="3"/>
        <v>135</v>
      </c>
      <c r="B145" s="97">
        <v>1</v>
      </c>
      <c r="C145" s="100" t="s">
        <v>403</v>
      </c>
      <c r="D145" s="101">
        <v>1756217</v>
      </c>
      <c r="E145" s="101">
        <v>2604638987</v>
      </c>
      <c r="F145" s="102">
        <v>7306452</v>
      </c>
      <c r="G145" s="152" t="s">
        <v>404</v>
      </c>
      <c r="H145" s="97" t="s">
        <v>348</v>
      </c>
      <c r="I145" s="97" t="s">
        <v>99</v>
      </c>
      <c r="J145" s="97">
        <v>1</v>
      </c>
      <c r="K145" s="97" t="s">
        <v>100</v>
      </c>
      <c r="L145" s="97" t="s">
        <v>101</v>
      </c>
      <c r="M145" s="169"/>
    </row>
    <row r="146" spans="1:13" s="159" customFormat="1" x14ac:dyDescent="0.3">
      <c r="A146" s="72">
        <f t="shared" si="3"/>
        <v>136</v>
      </c>
      <c r="B146" s="97">
        <v>1</v>
      </c>
      <c r="C146" s="100" t="s">
        <v>405</v>
      </c>
      <c r="D146" s="101">
        <v>1756267</v>
      </c>
      <c r="E146" s="101">
        <v>2605357595</v>
      </c>
      <c r="F146" s="102">
        <v>7291797</v>
      </c>
      <c r="G146" s="152" t="s">
        <v>406</v>
      </c>
      <c r="H146" s="97" t="s">
        <v>348</v>
      </c>
      <c r="I146" s="97" t="s">
        <v>99</v>
      </c>
      <c r="J146" s="97">
        <v>1</v>
      </c>
      <c r="K146" s="97" t="s">
        <v>100</v>
      </c>
      <c r="L146" s="97" t="s">
        <v>101</v>
      </c>
      <c r="M146" s="169"/>
    </row>
    <row r="147" spans="1:13" s="159" customFormat="1" x14ac:dyDescent="0.3">
      <c r="A147" s="72">
        <f t="shared" si="3"/>
        <v>137</v>
      </c>
      <c r="B147" s="97">
        <v>1</v>
      </c>
      <c r="C147" s="100" t="s">
        <v>407</v>
      </c>
      <c r="D147" s="133">
        <v>1756358</v>
      </c>
      <c r="E147" s="101">
        <v>2611807963</v>
      </c>
      <c r="F147" s="102">
        <v>7312406</v>
      </c>
      <c r="G147" s="174" t="s">
        <v>408</v>
      </c>
      <c r="H147" s="133" t="s">
        <v>210</v>
      </c>
      <c r="I147" s="133" t="s">
        <v>99</v>
      </c>
      <c r="J147" s="133">
        <v>1</v>
      </c>
      <c r="K147" s="133" t="s">
        <v>100</v>
      </c>
      <c r="L147" s="133" t="s">
        <v>101</v>
      </c>
      <c r="M147" s="169"/>
    </row>
    <row r="148" spans="1:13" s="94" customFormat="1" x14ac:dyDescent="0.3">
      <c r="A148" s="72">
        <f t="shared" si="3"/>
        <v>138</v>
      </c>
      <c r="B148" s="97">
        <v>1</v>
      </c>
      <c r="C148" s="100" t="s">
        <v>409</v>
      </c>
      <c r="D148" s="101">
        <v>1756359</v>
      </c>
      <c r="E148" s="101">
        <v>2611807989</v>
      </c>
      <c r="F148" s="101">
        <v>7310892</v>
      </c>
      <c r="G148" s="152" t="s">
        <v>410</v>
      </c>
      <c r="H148" s="97" t="s">
        <v>348</v>
      </c>
      <c r="I148" s="97" t="s">
        <v>99</v>
      </c>
      <c r="J148" s="97">
        <v>1</v>
      </c>
      <c r="K148" s="97" t="s">
        <v>100</v>
      </c>
      <c r="L148" s="97" t="s">
        <v>101</v>
      </c>
      <c r="M148" s="169"/>
    </row>
    <row r="149" spans="1:13" s="94" customFormat="1" x14ac:dyDescent="0.3">
      <c r="A149" s="72">
        <f t="shared" si="3"/>
        <v>139</v>
      </c>
      <c r="B149" s="97">
        <v>1</v>
      </c>
      <c r="C149" s="100" t="s">
        <v>411</v>
      </c>
      <c r="D149" s="97">
        <v>1756284</v>
      </c>
      <c r="E149" s="101">
        <v>2607343379</v>
      </c>
      <c r="F149" s="102">
        <v>7307059</v>
      </c>
      <c r="G149" s="96" t="s">
        <v>412</v>
      </c>
      <c r="H149" s="97" t="s">
        <v>210</v>
      </c>
      <c r="I149" s="97" t="s">
        <v>99</v>
      </c>
      <c r="J149" s="97">
        <v>1</v>
      </c>
      <c r="K149" s="97" t="s">
        <v>100</v>
      </c>
      <c r="L149" s="97" t="s">
        <v>101</v>
      </c>
      <c r="M149" s="104"/>
    </row>
    <row r="150" spans="1:13" s="94" customFormat="1" x14ac:dyDescent="0.3">
      <c r="A150" s="72">
        <f t="shared" si="3"/>
        <v>140</v>
      </c>
      <c r="B150" s="97">
        <v>1</v>
      </c>
      <c r="C150" s="100" t="s">
        <v>413</v>
      </c>
      <c r="D150" s="97">
        <v>1756285</v>
      </c>
      <c r="E150" s="101">
        <v>2607343486</v>
      </c>
      <c r="F150" s="102">
        <v>7307066</v>
      </c>
      <c r="G150" s="96" t="s">
        <v>414</v>
      </c>
      <c r="H150" s="97" t="s">
        <v>210</v>
      </c>
      <c r="I150" s="97" t="s">
        <v>99</v>
      </c>
      <c r="J150" s="97">
        <v>1</v>
      </c>
      <c r="K150" s="97" t="s">
        <v>100</v>
      </c>
      <c r="L150" s="97" t="s">
        <v>101</v>
      </c>
      <c r="M150" s="104"/>
    </row>
    <row r="151" spans="1:13" s="94" customFormat="1" x14ac:dyDescent="0.3">
      <c r="A151" s="72">
        <f t="shared" si="3"/>
        <v>141</v>
      </c>
      <c r="B151" s="97">
        <v>1</v>
      </c>
      <c r="C151" s="100" t="s">
        <v>415</v>
      </c>
      <c r="D151" s="101">
        <v>1755944</v>
      </c>
      <c r="E151" s="101">
        <v>2583839325</v>
      </c>
      <c r="F151" s="102">
        <v>8730149</v>
      </c>
      <c r="G151" s="152" t="s">
        <v>416</v>
      </c>
      <c r="H151" s="97" t="s">
        <v>210</v>
      </c>
      <c r="I151" s="97" t="s">
        <v>99</v>
      </c>
      <c r="J151" s="97">
        <v>1</v>
      </c>
      <c r="K151" s="97" t="s">
        <v>100</v>
      </c>
      <c r="L151" s="97" t="s">
        <v>101</v>
      </c>
      <c r="M151" s="104"/>
    </row>
    <row r="152" spans="1:13" s="94" customFormat="1" x14ac:dyDescent="0.3">
      <c r="A152" s="72">
        <f t="shared" si="3"/>
        <v>142</v>
      </c>
      <c r="B152" s="97">
        <v>1</v>
      </c>
      <c r="C152" s="100" t="s">
        <v>417</v>
      </c>
      <c r="D152" s="101">
        <v>1755936</v>
      </c>
      <c r="E152" s="101">
        <v>2583838624</v>
      </c>
      <c r="F152" s="102">
        <v>7283262</v>
      </c>
      <c r="G152" s="152" t="s">
        <v>418</v>
      </c>
      <c r="H152" s="97" t="s">
        <v>210</v>
      </c>
      <c r="I152" s="97" t="s">
        <v>99</v>
      </c>
      <c r="J152" s="97">
        <v>1</v>
      </c>
      <c r="K152" s="97" t="s">
        <v>100</v>
      </c>
      <c r="L152" s="97" t="s">
        <v>101</v>
      </c>
      <c r="M152" s="104"/>
    </row>
    <row r="153" spans="1:13" s="94" customFormat="1" x14ac:dyDescent="0.3">
      <c r="A153" s="72">
        <f t="shared" si="3"/>
        <v>143</v>
      </c>
      <c r="B153" s="97">
        <v>1</v>
      </c>
      <c r="C153" s="100" t="s">
        <v>419</v>
      </c>
      <c r="D153" s="101">
        <v>1756151</v>
      </c>
      <c r="E153" s="101">
        <v>2598989313</v>
      </c>
      <c r="F153" s="102">
        <v>7201752</v>
      </c>
      <c r="G153" s="152" t="s">
        <v>420</v>
      </c>
      <c r="H153" s="97" t="s">
        <v>348</v>
      </c>
      <c r="I153" s="97" t="s">
        <v>99</v>
      </c>
      <c r="J153" s="97">
        <v>1</v>
      </c>
      <c r="K153" s="97" t="s">
        <v>100</v>
      </c>
      <c r="L153" s="97" t="s">
        <v>101</v>
      </c>
      <c r="M153" s="175"/>
    </row>
    <row r="154" spans="1:13" s="94" customFormat="1" x14ac:dyDescent="0.3">
      <c r="A154" s="72">
        <f t="shared" si="3"/>
        <v>144</v>
      </c>
      <c r="B154" s="97">
        <v>1</v>
      </c>
      <c r="C154" s="100" t="s">
        <v>421</v>
      </c>
      <c r="D154" s="101">
        <v>1756153</v>
      </c>
      <c r="E154" s="101">
        <v>2598997324</v>
      </c>
      <c r="F154" s="102">
        <v>7280053</v>
      </c>
      <c r="G154" s="152" t="s">
        <v>422</v>
      </c>
      <c r="H154" s="97" t="s">
        <v>348</v>
      </c>
      <c r="I154" s="97" t="s">
        <v>99</v>
      </c>
      <c r="J154" s="97">
        <v>1</v>
      </c>
      <c r="K154" s="97" t="s">
        <v>100</v>
      </c>
      <c r="L154" s="97" t="s">
        <v>101</v>
      </c>
      <c r="M154" s="175"/>
    </row>
    <row r="155" spans="1:13" s="94" customFormat="1" x14ac:dyDescent="0.3">
      <c r="A155" s="72">
        <f t="shared" si="3"/>
        <v>145</v>
      </c>
      <c r="B155" s="97">
        <v>1</v>
      </c>
      <c r="C155" s="100" t="s">
        <v>423</v>
      </c>
      <c r="D155" s="101">
        <v>1756266</v>
      </c>
      <c r="E155" s="101">
        <v>2605357561</v>
      </c>
      <c r="F155" s="102">
        <v>7291792</v>
      </c>
      <c r="G155" s="152" t="s">
        <v>424</v>
      </c>
      <c r="H155" s="97" t="s">
        <v>348</v>
      </c>
      <c r="I155" s="97" t="s">
        <v>99</v>
      </c>
      <c r="J155" s="97">
        <v>1</v>
      </c>
      <c r="K155" s="97" t="s">
        <v>100</v>
      </c>
      <c r="L155" s="97" t="s">
        <v>101</v>
      </c>
      <c r="M155" s="169"/>
    </row>
    <row r="156" spans="1:13" s="94" customFormat="1" x14ac:dyDescent="0.3">
      <c r="A156" s="72">
        <f t="shared" si="3"/>
        <v>146</v>
      </c>
      <c r="B156" s="72">
        <v>1</v>
      </c>
      <c r="C156" s="73" t="s">
        <v>425</v>
      </c>
      <c r="D156" s="176">
        <v>1756466</v>
      </c>
      <c r="E156" s="177">
        <v>2611563996</v>
      </c>
      <c r="F156" s="105" t="s">
        <v>139</v>
      </c>
      <c r="G156" s="80" t="s">
        <v>426</v>
      </c>
      <c r="H156" s="176" t="s">
        <v>427</v>
      </c>
      <c r="I156" s="78" t="s">
        <v>99</v>
      </c>
      <c r="J156" s="72">
        <v>1</v>
      </c>
      <c r="K156" s="78" t="s">
        <v>100</v>
      </c>
      <c r="L156" s="78" t="s">
        <v>101</v>
      </c>
      <c r="M156" s="89"/>
    </row>
    <row r="157" spans="1:13" s="94" customFormat="1" x14ac:dyDescent="0.3">
      <c r="A157" s="72">
        <f t="shared" si="3"/>
        <v>147</v>
      </c>
      <c r="B157" s="97">
        <v>1</v>
      </c>
      <c r="C157" s="73" t="s">
        <v>428</v>
      </c>
      <c r="D157" s="74">
        <v>1755793</v>
      </c>
      <c r="E157" s="74">
        <v>2574934812</v>
      </c>
      <c r="F157" s="75">
        <v>8712473</v>
      </c>
      <c r="G157" s="122" t="s">
        <v>429</v>
      </c>
      <c r="H157" s="72" t="s">
        <v>207</v>
      </c>
      <c r="I157" s="78" t="s">
        <v>99</v>
      </c>
      <c r="J157" s="167">
        <v>1</v>
      </c>
      <c r="K157" s="78" t="s">
        <v>100</v>
      </c>
      <c r="L157" s="78" t="s">
        <v>101</v>
      </c>
      <c r="M157" s="178"/>
    </row>
    <row r="158" spans="1:13" s="94" customFormat="1" x14ac:dyDescent="0.3">
      <c r="A158" s="72">
        <f t="shared" si="3"/>
        <v>148</v>
      </c>
      <c r="B158" s="97">
        <v>1</v>
      </c>
      <c r="C158" s="73" t="s">
        <v>430</v>
      </c>
      <c r="D158" s="74">
        <v>1755861</v>
      </c>
      <c r="E158" s="74">
        <v>2577684802</v>
      </c>
      <c r="F158" s="75">
        <v>8710228</v>
      </c>
      <c r="G158" s="122" t="s">
        <v>431</v>
      </c>
      <c r="H158" s="72" t="s">
        <v>104</v>
      </c>
      <c r="I158" s="78" t="s">
        <v>99</v>
      </c>
      <c r="J158" s="167">
        <v>1</v>
      </c>
      <c r="K158" s="78" t="s">
        <v>100</v>
      </c>
      <c r="L158" s="78" t="s">
        <v>101</v>
      </c>
      <c r="M158" s="178"/>
    </row>
    <row r="159" spans="1:13" s="94" customFormat="1" x14ac:dyDescent="0.3">
      <c r="A159" s="72">
        <f t="shared" si="3"/>
        <v>149</v>
      </c>
      <c r="B159" s="97">
        <v>1</v>
      </c>
      <c r="C159" s="73" t="s">
        <v>432</v>
      </c>
      <c r="D159" s="74">
        <v>1756318</v>
      </c>
      <c r="E159" s="74">
        <v>2608038465</v>
      </c>
      <c r="F159" s="75">
        <v>7307002</v>
      </c>
      <c r="G159" s="122" t="s">
        <v>433</v>
      </c>
      <c r="H159" s="72" t="s">
        <v>129</v>
      </c>
      <c r="I159" s="78" t="s">
        <v>99</v>
      </c>
      <c r="J159" s="167">
        <v>1</v>
      </c>
      <c r="K159" s="78" t="s">
        <v>100</v>
      </c>
      <c r="L159" s="78" t="s">
        <v>101</v>
      </c>
      <c r="M159" s="178"/>
    </row>
    <row r="160" spans="1:13" s="94" customFormat="1" x14ac:dyDescent="0.3">
      <c r="A160" s="72">
        <f t="shared" si="3"/>
        <v>150</v>
      </c>
      <c r="B160" s="97">
        <v>1</v>
      </c>
      <c r="C160" s="73" t="s">
        <v>434</v>
      </c>
      <c r="D160" s="74">
        <v>1756411</v>
      </c>
      <c r="E160" s="74">
        <v>2551755016</v>
      </c>
      <c r="F160" s="75">
        <v>7197540</v>
      </c>
      <c r="G160" s="122" t="s">
        <v>435</v>
      </c>
      <c r="H160" s="72" t="s">
        <v>224</v>
      </c>
      <c r="I160" s="78" t="s">
        <v>99</v>
      </c>
      <c r="J160" s="167">
        <v>1</v>
      </c>
      <c r="K160" s="78" t="s">
        <v>100</v>
      </c>
      <c r="L160" s="78" t="s">
        <v>114</v>
      </c>
      <c r="M160" s="178"/>
    </row>
    <row r="161" spans="1:13" s="94" customFormat="1" x14ac:dyDescent="0.3">
      <c r="A161" s="72">
        <f t="shared" si="3"/>
        <v>151</v>
      </c>
      <c r="B161" s="97">
        <v>1</v>
      </c>
      <c r="C161" s="73" t="s">
        <v>436</v>
      </c>
      <c r="D161" s="74">
        <v>1756208</v>
      </c>
      <c r="E161" s="74">
        <v>2299844064</v>
      </c>
      <c r="F161" s="75">
        <v>8950192</v>
      </c>
      <c r="G161" s="122" t="s">
        <v>437</v>
      </c>
      <c r="H161" s="72" t="s">
        <v>427</v>
      </c>
      <c r="I161" s="78" t="s">
        <v>99</v>
      </c>
      <c r="J161" s="167">
        <v>1</v>
      </c>
      <c r="K161" s="78" t="s">
        <v>100</v>
      </c>
      <c r="L161" s="78" t="s">
        <v>101</v>
      </c>
      <c r="M161" s="178"/>
    </row>
    <row r="162" spans="1:13" s="94" customFormat="1" x14ac:dyDescent="0.3">
      <c r="A162" s="72">
        <f t="shared" si="3"/>
        <v>152</v>
      </c>
      <c r="B162" s="97">
        <v>1</v>
      </c>
      <c r="C162" s="73" t="s">
        <v>438</v>
      </c>
      <c r="D162" s="74">
        <v>1756310</v>
      </c>
      <c r="E162" s="74">
        <v>2583890963</v>
      </c>
      <c r="F162" s="105" t="s">
        <v>378</v>
      </c>
      <c r="G162" s="122" t="s">
        <v>439</v>
      </c>
      <c r="H162" s="72" t="s">
        <v>427</v>
      </c>
      <c r="I162" s="78" t="s">
        <v>99</v>
      </c>
      <c r="J162" s="167">
        <v>1</v>
      </c>
      <c r="K162" s="78" t="s">
        <v>100</v>
      </c>
      <c r="L162" s="78" t="s">
        <v>101</v>
      </c>
      <c r="M162" s="178"/>
    </row>
    <row r="163" spans="1:13" s="79" customFormat="1" x14ac:dyDescent="0.3">
      <c r="A163" s="72">
        <f t="shared" si="3"/>
        <v>153</v>
      </c>
      <c r="B163" s="108">
        <v>1</v>
      </c>
      <c r="C163" s="109" t="s">
        <v>440</v>
      </c>
      <c r="D163" s="110"/>
      <c r="E163" s="110"/>
      <c r="F163" s="110"/>
      <c r="G163" s="179" t="s">
        <v>188</v>
      </c>
      <c r="H163" s="108"/>
      <c r="I163" s="112"/>
      <c r="J163" s="108"/>
      <c r="K163" s="108"/>
      <c r="L163" s="108" t="s">
        <v>101</v>
      </c>
      <c r="M163" s="180"/>
    </row>
    <row r="164" spans="1:13" s="79" customFormat="1" x14ac:dyDescent="0.3">
      <c r="A164" s="72"/>
      <c r="B164" s="72"/>
      <c r="C164" s="73"/>
      <c r="D164" s="181"/>
      <c r="E164" s="181"/>
      <c r="F164" s="182"/>
      <c r="G164" s="182"/>
      <c r="H164" s="181"/>
      <c r="I164" s="181"/>
      <c r="J164" s="181"/>
      <c r="K164" s="181"/>
      <c r="L164" s="181"/>
      <c r="M164" s="183"/>
    </row>
    <row r="165" spans="1:13" s="79" customFormat="1" ht="18" x14ac:dyDescent="0.3">
      <c r="A165" s="71"/>
      <c r="B165" s="184">
        <f>SUM(B4,B20,B62)</f>
        <v>156</v>
      </c>
      <c r="C165" s="90"/>
      <c r="D165" s="93"/>
      <c r="E165" s="76"/>
      <c r="F165" s="76"/>
      <c r="G165" s="90"/>
      <c r="H165" s="77"/>
      <c r="I165" s="78"/>
      <c r="J165" s="184">
        <f>SUM(J4,J20,J62)</f>
        <v>152</v>
      </c>
      <c r="K165" s="138"/>
      <c r="L165" s="138"/>
      <c r="M165" s="89"/>
    </row>
    <row r="166" spans="1:13" ht="18" thickBot="1" x14ac:dyDescent="0.35">
      <c r="A166" s="185" t="str">
        <f>"Total: " &amp; J165 &amp; "/" &amp; B165</f>
        <v>Total: 152/156</v>
      </c>
      <c r="B166" s="185"/>
      <c r="C166" s="186" t="s">
        <v>441</v>
      </c>
      <c r="D166" s="187">
        <f>COUNTIF(H5:H163, "Saudi")</f>
        <v>10</v>
      </c>
      <c r="E166" s="188"/>
      <c r="F166" s="188"/>
      <c r="G166" s="189" t="s">
        <v>442</v>
      </c>
      <c r="H166" s="190">
        <f>D166/J165*100</f>
        <v>6.5789473684210522</v>
      </c>
      <c r="I166" s="191"/>
      <c r="J166" s="188"/>
      <c r="K166" s="188"/>
      <c r="L166" s="188"/>
      <c r="M166" s="192"/>
    </row>
    <row r="169" spans="1:13" x14ac:dyDescent="0.3">
      <c r="D169" s="195"/>
    </row>
    <row r="170" spans="1:13" x14ac:dyDescent="0.3">
      <c r="D170" s="195"/>
    </row>
    <row r="171" spans="1:13" ht="23.4" x14ac:dyDescent="0.3">
      <c r="A171" s="357" t="s">
        <v>443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9"/>
    </row>
    <row r="172" spans="1:13" x14ac:dyDescent="0.3">
      <c r="A172" s="71">
        <v>1</v>
      </c>
      <c r="B172" s="103"/>
      <c r="C172" s="170" t="s">
        <v>444</v>
      </c>
      <c r="D172" s="97">
        <v>1756480</v>
      </c>
      <c r="E172" s="71"/>
      <c r="F172" s="140" t="s">
        <v>445</v>
      </c>
      <c r="G172" s="170" t="s">
        <v>446</v>
      </c>
      <c r="H172" s="97" t="s">
        <v>104</v>
      </c>
      <c r="I172" s="97" t="s">
        <v>99</v>
      </c>
      <c r="J172" s="97">
        <v>1</v>
      </c>
      <c r="K172" s="97" t="s">
        <v>100</v>
      </c>
      <c r="L172" s="97" t="s">
        <v>447</v>
      </c>
      <c r="M172" s="103" t="s">
        <v>444</v>
      </c>
    </row>
    <row r="173" spans="1:13" x14ac:dyDescent="0.3">
      <c r="A173" s="71">
        <v>2</v>
      </c>
      <c r="B173" s="103"/>
      <c r="C173" s="170" t="s">
        <v>448</v>
      </c>
      <c r="D173" s="97">
        <v>1756387</v>
      </c>
      <c r="E173" s="71">
        <v>2613439724</v>
      </c>
      <c r="F173" s="140" t="s">
        <v>139</v>
      </c>
      <c r="G173" s="170" t="s">
        <v>449</v>
      </c>
      <c r="H173" s="97" t="s">
        <v>348</v>
      </c>
      <c r="I173" s="97" t="s">
        <v>99</v>
      </c>
      <c r="J173" s="97">
        <v>1</v>
      </c>
      <c r="K173" s="97" t="s">
        <v>100</v>
      </c>
      <c r="L173" s="97" t="s">
        <v>447</v>
      </c>
      <c r="M173" s="103" t="s">
        <v>450</v>
      </c>
    </row>
    <row r="174" spans="1:13" x14ac:dyDescent="0.3">
      <c r="A174" s="71">
        <v>3</v>
      </c>
      <c r="B174" s="103"/>
      <c r="C174" s="170" t="s">
        <v>448</v>
      </c>
      <c r="D174" s="97">
        <v>1756385</v>
      </c>
      <c r="E174" s="71">
        <v>2613439328</v>
      </c>
      <c r="F174" s="140">
        <v>7313138</v>
      </c>
      <c r="G174" s="170" t="s">
        <v>451</v>
      </c>
      <c r="H174" s="97" t="s">
        <v>348</v>
      </c>
      <c r="I174" s="97" t="s">
        <v>99</v>
      </c>
      <c r="J174" s="97">
        <v>1</v>
      </c>
      <c r="K174" s="97" t="s">
        <v>100</v>
      </c>
      <c r="L174" s="97" t="s">
        <v>447</v>
      </c>
      <c r="M174" s="103" t="s">
        <v>450</v>
      </c>
    </row>
    <row r="175" spans="1:13" x14ac:dyDescent="0.3">
      <c r="A175" s="71">
        <v>4</v>
      </c>
      <c r="B175" s="103"/>
      <c r="C175" s="100" t="s">
        <v>452</v>
      </c>
      <c r="D175" s="101">
        <v>1756389</v>
      </c>
      <c r="E175" s="71">
        <v>2613440045</v>
      </c>
      <c r="F175" s="140" t="s">
        <v>139</v>
      </c>
      <c r="G175" s="152" t="s">
        <v>453</v>
      </c>
      <c r="H175" s="97" t="s">
        <v>348</v>
      </c>
      <c r="I175" s="97" t="s">
        <v>99</v>
      </c>
      <c r="J175" s="97">
        <v>1</v>
      </c>
      <c r="K175" s="97" t="s">
        <v>100</v>
      </c>
      <c r="L175" s="97" t="s">
        <v>447</v>
      </c>
      <c r="M175" s="103" t="s">
        <v>454</v>
      </c>
    </row>
    <row r="176" spans="1:13" x14ac:dyDescent="0.3">
      <c r="A176" s="71">
        <v>5</v>
      </c>
      <c r="B176" s="103"/>
      <c r="C176" s="170" t="s">
        <v>452</v>
      </c>
      <c r="D176" s="97">
        <v>1756393</v>
      </c>
      <c r="E176" s="71">
        <v>2613441142</v>
      </c>
      <c r="F176" s="140" t="s">
        <v>139</v>
      </c>
      <c r="G176" s="170" t="s">
        <v>455</v>
      </c>
      <c r="H176" s="97" t="s">
        <v>348</v>
      </c>
      <c r="I176" s="97" t="s">
        <v>99</v>
      </c>
      <c r="J176" s="97">
        <v>1</v>
      </c>
      <c r="K176" s="97" t="s">
        <v>100</v>
      </c>
      <c r="L176" s="97" t="s">
        <v>447</v>
      </c>
      <c r="M176" s="103" t="s">
        <v>454</v>
      </c>
    </row>
    <row r="177" spans="1:13" x14ac:dyDescent="0.3">
      <c r="A177" s="71">
        <v>6</v>
      </c>
      <c r="B177" s="103"/>
      <c r="C177" s="170" t="s">
        <v>452</v>
      </c>
      <c r="D177" s="101">
        <v>1756263</v>
      </c>
      <c r="E177" s="71">
        <v>2605357363</v>
      </c>
      <c r="F177" s="140">
        <v>7292996</v>
      </c>
      <c r="G177" s="96" t="s">
        <v>456</v>
      </c>
      <c r="H177" s="97" t="s">
        <v>348</v>
      </c>
      <c r="I177" s="97" t="s">
        <v>99</v>
      </c>
      <c r="J177" s="97">
        <v>1</v>
      </c>
      <c r="K177" s="97" t="s">
        <v>100</v>
      </c>
      <c r="L177" s="97" t="s">
        <v>447</v>
      </c>
      <c r="M177" s="103" t="s">
        <v>457</v>
      </c>
    </row>
    <row r="178" spans="1:13" x14ac:dyDescent="0.3">
      <c r="A178" s="71">
        <v>7</v>
      </c>
      <c r="B178" s="103"/>
      <c r="C178" s="170" t="s">
        <v>452</v>
      </c>
      <c r="D178" s="97">
        <v>1756386</v>
      </c>
      <c r="E178" s="71">
        <v>2613439542</v>
      </c>
      <c r="F178" s="140">
        <v>7318159</v>
      </c>
      <c r="G178" s="170" t="s">
        <v>458</v>
      </c>
      <c r="H178" s="97" t="s">
        <v>348</v>
      </c>
      <c r="I178" s="97" t="s">
        <v>99</v>
      </c>
      <c r="J178" s="97">
        <v>1</v>
      </c>
      <c r="K178" s="97" t="s">
        <v>100</v>
      </c>
      <c r="L178" s="97" t="s">
        <v>447</v>
      </c>
      <c r="M178" s="103" t="s">
        <v>459</v>
      </c>
    </row>
    <row r="179" spans="1:13" x14ac:dyDescent="0.3">
      <c r="A179" s="84">
        <v>8</v>
      </c>
      <c r="B179" s="84"/>
      <c r="C179" s="196" t="s">
        <v>58</v>
      </c>
      <c r="D179" s="84">
        <v>9603507</v>
      </c>
      <c r="E179" s="84">
        <v>2391382864</v>
      </c>
      <c r="F179" s="84"/>
      <c r="G179" s="197" t="s">
        <v>460</v>
      </c>
      <c r="H179" s="84" t="s">
        <v>461</v>
      </c>
      <c r="I179" s="84" t="s">
        <v>462</v>
      </c>
      <c r="J179" s="84">
        <v>1</v>
      </c>
      <c r="K179" s="84" t="s">
        <v>100</v>
      </c>
      <c r="L179" s="84" t="s">
        <v>101</v>
      </c>
      <c r="M179" s="198" t="s">
        <v>463</v>
      </c>
    </row>
    <row r="180" spans="1:13" x14ac:dyDescent="0.3">
      <c r="D180" s="199"/>
    </row>
    <row r="181" spans="1:13" x14ac:dyDescent="0.3">
      <c r="D181" s="200"/>
    </row>
    <row r="182" spans="1:13" x14ac:dyDescent="0.3">
      <c r="D182" s="200"/>
    </row>
    <row r="183" spans="1:13" x14ac:dyDescent="0.3">
      <c r="D183" s="200"/>
    </row>
    <row r="184" spans="1:13" x14ac:dyDescent="0.3">
      <c r="D184" s="200"/>
    </row>
    <row r="185" spans="1:13" x14ac:dyDescent="0.3">
      <c r="D185" s="200"/>
    </row>
    <row r="186" spans="1:13" x14ac:dyDescent="0.3">
      <c r="D186" s="200"/>
    </row>
    <row r="187" spans="1:13" x14ac:dyDescent="0.3">
      <c r="D187" s="200"/>
    </row>
    <row r="188" spans="1:13" x14ac:dyDescent="0.3">
      <c r="D188" s="200"/>
    </row>
    <row r="189" spans="1:13" x14ac:dyDescent="0.3">
      <c r="D189" s="200"/>
    </row>
    <row r="190" spans="1:13" x14ac:dyDescent="0.3">
      <c r="D190" s="200"/>
    </row>
    <row r="191" spans="1:13" x14ac:dyDescent="0.3">
      <c r="D191" s="200"/>
    </row>
    <row r="192" spans="1:13" x14ac:dyDescent="0.3">
      <c r="D192" s="200"/>
    </row>
  </sheetData>
  <mergeCells count="2">
    <mergeCell ref="A2:M2"/>
    <mergeCell ref="A171:M171"/>
  </mergeCells>
  <conditionalFormatting sqref="D179">
    <cfRule type="duplicateValues" dxfId="8" priority="8"/>
  </conditionalFormatting>
  <conditionalFormatting sqref="G121">
    <cfRule type="duplicateValues" dxfId="7" priority="5"/>
  </conditionalFormatting>
  <conditionalFormatting sqref="G122">
    <cfRule type="duplicateValues" dxfId="6" priority="4"/>
  </conditionalFormatting>
  <conditionalFormatting sqref="G123">
    <cfRule type="duplicateValues" dxfId="5" priority="2"/>
  </conditionalFormatting>
  <conditionalFormatting sqref="G124">
    <cfRule type="duplicateValues" dxfId="4" priority="3"/>
  </conditionalFormatting>
  <conditionalFormatting sqref="G125">
    <cfRule type="duplicateValues" dxfId="3" priority="6"/>
  </conditionalFormatting>
  <conditionalFormatting sqref="G126">
    <cfRule type="duplicateValues" dxfId="2" priority="7"/>
  </conditionalFormatting>
  <conditionalFormatting sqref="G127">
    <cfRule type="duplicateValues" dxfId="1" priority="1"/>
  </conditionalFormatting>
  <conditionalFormatting sqref="G179"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RP334"/>
  <sheetViews>
    <sheetView showGridLines="0" tabSelected="1" topLeftCell="A19" zoomScale="44" zoomScaleNormal="70" workbookViewId="0">
      <selection activeCell="DP91" sqref="DP91"/>
    </sheetView>
  </sheetViews>
  <sheetFormatPr defaultColWidth="0.88671875" defaultRowHeight="5.0999999999999996" customHeight="1" x14ac:dyDescent="0.3"/>
  <cols>
    <col min="1" max="16384" width="0.88671875" style="1"/>
  </cols>
  <sheetData>
    <row r="2" spans="3:484" ht="5.0999999999999996" customHeight="1" thickBot="1" x14ac:dyDescent="0.35"/>
    <row r="3" spans="3:484" s="5" customFormat="1" ht="5.0999999999999996" customHeight="1" thickTop="1" x14ac:dyDescent="0.3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4"/>
    </row>
    <row r="4" spans="3:484" s="5" customFormat="1" ht="5.0999999999999996" customHeight="1" thickBot="1" x14ac:dyDescent="0.35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9"/>
      <c r="QR4" s="10"/>
    </row>
    <row r="5" spans="3:484" s="5" customFormat="1" ht="9.6" customHeight="1" x14ac:dyDescent="0.3">
      <c r="C5" s="6"/>
      <c r="D5" s="11"/>
      <c r="E5" s="333" t="s">
        <v>0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  <c r="AG5" s="334"/>
      <c r="AH5" s="334"/>
      <c r="AI5" s="334"/>
      <c r="AJ5" s="334"/>
      <c r="AK5" s="334"/>
      <c r="AL5" s="334"/>
      <c r="AM5" s="334"/>
      <c r="AN5" s="334"/>
      <c r="AO5" s="334"/>
      <c r="AP5" s="334"/>
      <c r="AQ5" s="334"/>
      <c r="AR5" s="334"/>
      <c r="AS5" s="334"/>
      <c r="AT5" s="334"/>
      <c r="AU5" s="334"/>
      <c r="AV5" s="334"/>
      <c r="AW5" s="334"/>
      <c r="AX5" s="334"/>
      <c r="AY5" s="334"/>
      <c r="AZ5" s="334"/>
      <c r="BA5" s="334"/>
      <c r="BB5" s="334"/>
      <c r="BC5" s="334"/>
      <c r="BD5" s="334"/>
      <c r="BE5" s="334"/>
      <c r="BF5" s="334"/>
      <c r="BG5" s="334"/>
      <c r="BH5" s="334"/>
      <c r="BI5" s="334"/>
      <c r="BJ5" s="334"/>
      <c r="BK5" s="334"/>
      <c r="BL5" s="334"/>
      <c r="BM5" s="334"/>
      <c r="BN5" s="334"/>
      <c r="BO5" s="334"/>
      <c r="BP5" s="334"/>
      <c r="BQ5" s="334"/>
      <c r="BR5" s="334"/>
      <c r="BS5" s="334"/>
      <c r="BT5" s="334"/>
      <c r="BU5" s="334"/>
      <c r="BV5" s="334"/>
      <c r="BW5" s="334"/>
      <c r="BX5" s="334"/>
      <c r="BY5" s="334"/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4"/>
      <c r="CK5" s="334"/>
      <c r="CL5" s="334"/>
      <c r="CM5" s="334"/>
      <c r="CN5" s="334"/>
      <c r="CO5" s="334"/>
      <c r="CP5" s="334"/>
      <c r="CQ5" s="334"/>
      <c r="CR5" s="334"/>
      <c r="CS5" s="334"/>
      <c r="CT5" s="334"/>
      <c r="CU5" s="334"/>
      <c r="CV5" s="334"/>
      <c r="CW5" s="334"/>
      <c r="CX5" s="334"/>
      <c r="CY5" s="334"/>
      <c r="CZ5" s="334"/>
      <c r="DA5" s="334"/>
      <c r="DB5" s="334"/>
      <c r="DC5" s="334"/>
      <c r="DD5" s="334"/>
      <c r="DE5" s="334"/>
      <c r="DF5" s="334"/>
      <c r="DG5" s="334"/>
      <c r="DH5" s="334"/>
      <c r="DI5" s="334"/>
      <c r="DJ5" s="334"/>
      <c r="DK5" s="334"/>
      <c r="DL5" s="334"/>
      <c r="DM5" s="334"/>
      <c r="DN5" s="334"/>
      <c r="DO5" s="334"/>
      <c r="DP5" s="334"/>
      <c r="DQ5" s="334"/>
      <c r="DR5" s="334"/>
      <c r="DS5" s="334"/>
      <c r="DT5" s="334"/>
      <c r="DU5" s="334"/>
      <c r="DV5" s="334"/>
      <c r="DW5" s="334"/>
      <c r="DX5" s="334"/>
      <c r="DY5" s="334"/>
      <c r="DZ5" s="334"/>
      <c r="EA5" s="334"/>
      <c r="EB5" s="334"/>
      <c r="EC5" s="334"/>
      <c r="ED5" s="334"/>
      <c r="EE5" s="334"/>
      <c r="EF5" s="334"/>
      <c r="EG5" s="334"/>
      <c r="EH5" s="334"/>
      <c r="EI5" s="334"/>
      <c r="EJ5" s="334"/>
      <c r="EK5" s="334"/>
      <c r="EL5" s="334"/>
      <c r="EM5" s="334"/>
      <c r="EN5" s="334"/>
      <c r="EO5" s="334"/>
      <c r="EP5" s="334"/>
      <c r="EQ5" s="334"/>
      <c r="ER5" s="334"/>
      <c r="ES5" s="334"/>
      <c r="ET5" s="334"/>
      <c r="EU5" s="334"/>
      <c r="EV5" s="334"/>
      <c r="EW5" s="334"/>
      <c r="EX5" s="334"/>
      <c r="EY5" s="334"/>
      <c r="EZ5" s="334"/>
      <c r="FA5" s="334"/>
      <c r="FB5" s="334"/>
      <c r="FC5" s="334"/>
      <c r="FD5" s="334"/>
      <c r="FE5" s="334"/>
      <c r="FF5" s="334"/>
      <c r="FG5" s="334"/>
      <c r="FH5" s="334"/>
      <c r="FI5" s="334"/>
      <c r="FJ5" s="334"/>
      <c r="FK5" s="334"/>
      <c r="FL5" s="334"/>
      <c r="FM5" s="334"/>
      <c r="FN5" s="334"/>
      <c r="FO5" s="334"/>
      <c r="FP5" s="334"/>
      <c r="FQ5" s="334"/>
      <c r="FR5" s="334"/>
      <c r="FS5" s="334"/>
      <c r="FT5" s="334"/>
      <c r="FU5" s="334"/>
      <c r="FV5" s="334"/>
      <c r="FW5" s="334"/>
      <c r="FX5" s="334"/>
      <c r="FY5" s="334"/>
      <c r="FZ5" s="334"/>
      <c r="GA5" s="334"/>
      <c r="GB5" s="334"/>
      <c r="GC5" s="334"/>
      <c r="GD5" s="334"/>
      <c r="GE5" s="334"/>
      <c r="GF5" s="334"/>
      <c r="GG5" s="334"/>
      <c r="GH5" s="334"/>
      <c r="GI5" s="334"/>
      <c r="GJ5" s="334"/>
      <c r="GK5" s="334"/>
      <c r="GL5" s="334"/>
      <c r="GM5" s="334"/>
      <c r="GN5" s="334"/>
      <c r="GO5" s="334"/>
      <c r="GP5" s="334"/>
      <c r="GQ5" s="334"/>
      <c r="GR5" s="334"/>
      <c r="GS5" s="334"/>
      <c r="GT5" s="334"/>
      <c r="GU5" s="334"/>
      <c r="GV5" s="334"/>
      <c r="GW5" s="334"/>
      <c r="GX5" s="334"/>
      <c r="GY5" s="334"/>
      <c r="GZ5" s="334"/>
      <c r="HA5" s="334"/>
      <c r="HB5" s="334"/>
      <c r="HC5" s="334"/>
      <c r="HD5" s="334"/>
      <c r="HE5" s="334"/>
      <c r="HF5" s="334"/>
      <c r="HG5" s="334"/>
      <c r="HH5" s="334"/>
      <c r="HI5" s="334"/>
      <c r="HJ5" s="334"/>
      <c r="HK5" s="334"/>
      <c r="HL5" s="334"/>
      <c r="HM5" s="334"/>
      <c r="HN5" s="334"/>
      <c r="HO5" s="334"/>
      <c r="HP5" s="334"/>
      <c r="HQ5" s="334"/>
      <c r="HR5" s="334"/>
      <c r="HS5" s="334"/>
      <c r="HT5" s="334"/>
      <c r="HU5" s="334"/>
      <c r="HV5" s="334"/>
      <c r="HW5" s="334"/>
      <c r="HX5" s="334"/>
      <c r="HY5" s="334"/>
      <c r="HZ5" s="334"/>
      <c r="IA5" s="334"/>
      <c r="IB5" s="334"/>
      <c r="IC5" s="334"/>
      <c r="ID5" s="334"/>
      <c r="IE5" s="334"/>
      <c r="IF5" s="334"/>
      <c r="IG5" s="334"/>
      <c r="IH5" s="334"/>
      <c r="II5" s="334"/>
      <c r="IJ5" s="334"/>
      <c r="IK5" s="334"/>
      <c r="IL5" s="334"/>
      <c r="IM5" s="334"/>
      <c r="IN5" s="334"/>
      <c r="IO5" s="334"/>
      <c r="IP5" s="334"/>
      <c r="IQ5" s="334"/>
      <c r="IR5" s="334"/>
      <c r="IS5" s="334"/>
      <c r="IT5" s="334"/>
      <c r="IU5" s="334"/>
      <c r="IV5" s="334"/>
      <c r="IW5" s="334"/>
      <c r="IX5" s="334"/>
      <c r="IY5" s="334"/>
      <c r="IZ5" s="334"/>
      <c r="JA5" s="334"/>
      <c r="JB5" s="334"/>
      <c r="JC5" s="334"/>
      <c r="JD5" s="334"/>
      <c r="JE5" s="334"/>
      <c r="JF5" s="334"/>
      <c r="JG5" s="334"/>
      <c r="JH5" s="334"/>
      <c r="JI5" s="334"/>
      <c r="JJ5" s="334"/>
      <c r="JK5" s="334"/>
      <c r="JL5" s="334"/>
      <c r="JM5" s="334"/>
      <c r="JN5" s="334"/>
      <c r="JO5" s="334"/>
      <c r="JP5" s="334"/>
      <c r="JQ5" s="334"/>
      <c r="JR5" s="334"/>
      <c r="JS5" s="334"/>
      <c r="JT5" s="334"/>
      <c r="JU5" s="334"/>
      <c r="JV5" s="334"/>
      <c r="JW5" s="334"/>
      <c r="JX5" s="334"/>
      <c r="JY5" s="334"/>
      <c r="JZ5" s="334"/>
      <c r="KA5" s="334"/>
      <c r="KB5" s="334"/>
      <c r="KC5" s="334"/>
      <c r="KD5" s="334"/>
      <c r="KE5" s="334"/>
      <c r="KF5" s="334"/>
      <c r="KG5" s="334"/>
      <c r="KH5" s="334"/>
      <c r="KI5" s="334"/>
      <c r="KJ5" s="334"/>
      <c r="KK5" s="334"/>
      <c r="KL5" s="334"/>
      <c r="KM5" s="334"/>
      <c r="KN5" s="334"/>
      <c r="KO5" s="334"/>
      <c r="KP5" s="334"/>
      <c r="KQ5" s="334"/>
      <c r="KR5" s="334"/>
      <c r="KS5" s="334"/>
      <c r="KT5" s="334"/>
      <c r="KU5" s="334"/>
      <c r="KV5" s="334"/>
      <c r="KW5" s="334"/>
      <c r="KX5" s="334"/>
      <c r="KY5" s="334"/>
      <c r="KZ5" s="334"/>
      <c r="LA5" s="334"/>
      <c r="LB5" s="334"/>
      <c r="LC5" s="334"/>
      <c r="LD5" s="334"/>
      <c r="LE5" s="334"/>
      <c r="LF5" s="334"/>
      <c r="LG5" s="334"/>
      <c r="LH5" s="334"/>
      <c r="LI5" s="334"/>
      <c r="LJ5" s="334"/>
      <c r="LK5" s="334"/>
      <c r="LL5" s="334"/>
      <c r="LM5" s="334"/>
      <c r="LN5" s="334"/>
      <c r="LO5" s="334"/>
      <c r="LP5" s="334"/>
      <c r="LQ5" s="334"/>
      <c r="LR5" s="334"/>
      <c r="LS5" s="334"/>
      <c r="LT5" s="334"/>
      <c r="LU5" s="334"/>
      <c r="LV5" s="334"/>
      <c r="LW5" s="334"/>
      <c r="LX5" s="334"/>
      <c r="LY5" s="334"/>
      <c r="LZ5" s="334"/>
      <c r="MA5" s="334"/>
      <c r="MB5" s="334"/>
      <c r="MC5" s="334"/>
      <c r="MD5" s="334"/>
      <c r="ME5" s="334"/>
      <c r="MF5" s="334"/>
      <c r="MG5" s="334"/>
      <c r="MH5" s="334"/>
      <c r="MI5" s="334"/>
      <c r="MJ5" s="334"/>
      <c r="MK5" s="334"/>
      <c r="ML5" s="334"/>
      <c r="MM5" s="334"/>
      <c r="MN5" s="334"/>
      <c r="MO5" s="334"/>
      <c r="MP5" s="334"/>
      <c r="MQ5" s="334"/>
      <c r="MR5" s="334"/>
      <c r="MS5" s="334"/>
      <c r="MT5" s="334"/>
      <c r="MU5" s="334"/>
      <c r="MV5" s="334"/>
      <c r="MW5" s="334"/>
      <c r="MX5" s="334"/>
      <c r="MY5" s="334"/>
      <c r="MZ5" s="334"/>
      <c r="NA5" s="334"/>
      <c r="NB5" s="334"/>
      <c r="NC5" s="334"/>
      <c r="ND5" s="334"/>
      <c r="NE5" s="334"/>
      <c r="NF5" s="334"/>
      <c r="NG5" s="334"/>
      <c r="NH5" s="334"/>
      <c r="NI5" s="334"/>
      <c r="NJ5" s="334"/>
      <c r="NK5" s="334"/>
      <c r="NL5" s="334"/>
      <c r="NM5" s="334"/>
      <c r="NN5" s="334"/>
      <c r="NO5" s="334"/>
      <c r="NP5" s="334"/>
      <c r="NQ5" s="334"/>
      <c r="NR5" s="334"/>
      <c r="NS5" s="334"/>
      <c r="NT5" s="334"/>
      <c r="NU5" s="334"/>
      <c r="NV5" s="334"/>
      <c r="NW5" s="334"/>
      <c r="NX5" s="334"/>
      <c r="NY5" s="334"/>
      <c r="NZ5" s="334"/>
      <c r="OA5" s="334"/>
      <c r="OB5" s="334"/>
      <c r="OC5" s="334"/>
      <c r="OD5" s="334"/>
      <c r="OE5" s="334"/>
      <c r="OF5" s="334"/>
      <c r="OG5" s="334"/>
      <c r="OH5" s="334"/>
      <c r="OI5" s="334"/>
      <c r="OJ5" s="334"/>
      <c r="OK5" s="334"/>
      <c r="OL5" s="334"/>
      <c r="OM5" s="334"/>
      <c r="ON5" s="334"/>
      <c r="OO5" s="334"/>
      <c r="OP5" s="334"/>
      <c r="OQ5" s="334"/>
      <c r="OR5" s="334"/>
      <c r="OS5" s="334"/>
      <c r="OT5" s="334"/>
      <c r="OU5" s="334"/>
      <c r="OV5" s="334"/>
      <c r="OW5" s="334"/>
      <c r="OX5" s="334"/>
      <c r="OY5" s="334"/>
      <c r="OZ5" s="334"/>
      <c r="PA5" s="334"/>
      <c r="PB5" s="334"/>
      <c r="PC5" s="334"/>
      <c r="PD5" s="334"/>
      <c r="PE5" s="334"/>
      <c r="PF5" s="334"/>
      <c r="PG5" s="334"/>
      <c r="PH5" s="334"/>
      <c r="PI5" s="334"/>
      <c r="PJ5" s="334"/>
      <c r="PK5" s="334"/>
      <c r="PL5" s="334"/>
      <c r="PM5" s="334"/>
      <c r="PN5" s="334"/>
      <c r="PO5" s="334"/>
      <c r="PP5" s="334"/>
      <c r="PQ5" s="334"/>
      <c r="PR5" s="334"/>
      <c r="PS5" s="334"/>
      <c r="PT5" s="334"/>
      <c r="PU5" s="334"/>
      <c r="PV5" s="334"/>
      <c r="PW5" s="334"/>
      <c r="PX5" s="334"/>
      <c r="PY5" s="334"/>
      <c r="PZ5" s="334"/>
      <c r="QA5" s="334"/>
      <c r="QB5" s="334"/>
      <c r="QC5" s="334"/>
      <c r="QD5" s="334"/>
      <c r="QE5" s="334"/>
      <c r="QF5" s="334"/>
      <c r="QG5" s="334"/>
      <c r="QH5" s="334"/>
      <c r="QI5" s="334"/>
      <c r="QJ5" s="334"/>
      <c r="QK5" s="334"/>
      <c r="QL5" s="334"/>
      <c r="QM5" s="334"/>
      <c r="QN5" s="334"/>
      <c r="QO5" s="334"/>
      <c r="QP5" s="335"/>
      <c r="QQ5" s="12"/>
      <c r="QR5" s="10"/>
    </row>
    <row r="6" spans="3:484" s="5" customFormat="1" ht="9.6" customHeight="1" x14ac:dyDescent="0.3">
      <c r="C6" s="6"/>
      <c r="D6" s="11"/>
      <c r="E6" s="336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337"/>
      <c r="BG6" s="337"/>
      <c r="BH6" s="337"/>
      <c r="BI6" s="337"/>
      <c r="BJ6" s="337"/>
      <c r="BK6" s="337"/>
      <c r="BL6" s="337"/>
      <c r="BM6" s="337"/>
      <c r="BN6" s="337"/>
      <c r="BO6" s="337"/>
      <c r="BP6" s="337"/>
      <c r="BQ6" s="337"/>
      <c r="BR6" s="337"/>
      <c r="BS6" s="337"/>
      <c r="BT6" s="337"/>
      <c r="BU6" s="337"/>
      <c r="BV6" s="337"/>
      <c r="BW6" s="337"/>
      <c r="BX6" s="337"/>
      <c r="BY6" s="337"/>
      <c r="BZ6" s="337"/>
      <c r="CA6" s="337"/>
      <c r="CB6" s="337"/>
      <c r="CC6" s="337"/>
      <c r="CD6" s="337"/>
      <c r="CE6" s="337"/>
      <c r="CF6" s="337"/>
      <c r="CG6" s="337"/>
      <c r="CH6" s="337"/>
      <c r="CI6" s="337"/>
      <c r="CJ6" s="337"/>
      <c r="CK6" s="337"/>
      <c r="CL6" s="337"/>
      <c r="CM6" s="337"/>
      <c r="CN6" s="337"/>
      <c r="CO6" s="337"/>
      <c r="CP6" s="337"/>
      <c r="CQ6" s="337"/>
      <c r="CR6" s="337"/>
      <c r="CS6" s="337"/>
      <c r="CT6" s="337"/>
      <c r="CU6" s="337"/>
      <c r="CV6" s="337"/>
      <c r="CW6" s="337"/>
      <c r="CX6" s="337"/>
      <c r="CY6" s="337"/>
      <c r="CZ6" s="337"/>
      <c r="DA6" s="337"/>
      <c r="DB6" s="337"/>
      <c r="DC6" s="337"/>
      <c r="DD6" s="337"/>
      <c r="DE6" s="337"/>
      <c r="DF6" s="337"/>
      <c r="DG6" s="337"/>
      <c r="DH6" s="337"/>
      <c r="DI6" s="337"/>
      <c r="DJ6" s="337"/>
      <c r="DK6" s="337"/>
      <c r="DL6" s="337"/>
      <c r="DM6" s="337"/>
      <c r="DN6" s="337"/>
      <c r="DO6" s="337"/>
      <c r="DP6" s="337"/>
      <c r="DQ6" s="337"/>
      <c r="DR6" s="337"/>
      <c r="DS6" s="337"/>
      <c r="DT6" s="337"/>
      <c r="DU6" s="337"/>
      <c r="DV6" s="337"/>
      <c r="DW6" s="337"/>
      <c r="DX6" s="337"/>
      <c r="DY6" s="337"/>
      <c r="DZ6" s="337"/>
      <c r="EA6" s="337"/>
      <c r="EB6" s="337"/>
      <c r="EC6" s="337"/>
      <c r="ED6" s="337"/>
      <c r="EE6" s="337"/>
      <c r="EF6" s="337"/>
      <c r="EG6" s="337"/>
      <c r="EH6" s="337"/>
      <c r="EI6" s="337"/>
      <c r="EJ6" s="337"/>
      <c r="EK6" s="337"/>
      <c r="EL6" s="337"/>
      <c r="EM6" s="337"/>
      <c r="EN6" s="337"/>
      <c r="EO6" s="337"/>
      <c r="EP6" s="337"/>
      <c r="EQ6" s="337"/>
      <c r="ER6" s="337"/>
      <c r="ES6" s="337"/>
      <c r="ET6" s="337"/>
      <c r="EU6" s="337"/>
      <c r="EV6" s="337"/>
      <c r="EW6" s="337"/>
      <c r="EX6" s="337"/>
      <c r="EY6" s="337"/>
      <c r="EZ6" s="337"/>
      <c r="FA6" s="337"/>
      <c r="FB6" s="337"/>
      <c r="FC6" s="337"/>
      <c r="FD6" s="337"/>
      <c r="FE6" s="337"/>
      <c r="FF6" s="337"/>
      <c r="FG6" s="337"/>
      <c r="FH6" s="337"/>
      <c r="FI6" s="337"/>
      <c r="FJ6" s="337"/>
      <c r="FK6" s="337"/>
      <c r="FL6" s="337"/>
      <c r="FM6" s="337"/>
      <c r="FN6" s="337"/>
      <c r="FO6" s="337"/>
      <c r="FP6" s="337"/>
      <c r="FQ6" s="337"/>
      <c r="FR6" s="337"/>
      <c r="FS6" s="337"/>
      <c r="FT6" s="337"/>
      <c r="FU6" s="337"/>
      <c r="FV6" s="337"/>
      <c r="FW6" s="337"/>
      <c r="FX6" s="337"/>
      <c r="FY6" s="337"/>
      <c r="FZ6" s="337"/>
      <c r="GA6" s="337"/>
      <c r="GB6" s="337"/>
      <c r="GC6" s="337"/>
      <c r="GD6" s="337"/>
      <c r="GE6" s="337"/>
      <c r="GF6" s="337"/>
      <c r="GG6" s="337"/>
      <c r="GH6" s="337"/>
      <c r="GI6" s="337"/>
      <c r="GJ6" s="337"/>
      <c r="GK6" s="337"/>
      <c r="GL6" s="337"/>
      <c r="GM6" s="337"/>
      <c r="GN6" s="337"/>
      <c r="GO6" s="337"/>
      <c r="GP6" s="337"/>
      <c r="GQ6" s="337"/>
      <c r="GR6" s="337"/>
      <c r="GS6" s="337"/>
      <c r="GT6" s="337"/>
      <c r="GU6" s="337"/>
      <c r="GV6" s="337"/>
      <c r="GW6" s="337"/>
      <c r="GX6" s="337"/>
      <c r="GY6" s="337"/>
      <c r="GZ6" s="337"/>
      <c r="HA6" s="337"/>
      <c r="HB6" s="337"/>
      <c r="HC6" s="337"/>
      <c r="HD6" s="337"/>
      <c r="HE6" s="337"/>
      <c r="HF6" s="337"/>
      <c r="HG6" s="337"/>
      <c r="HH6" s="337"/>
      <c r="HI6" s="337"/>
      <c r="HJ6" s="337"/>
      <c r="HK6" s="337"/>
      <c r="HL6" s="337"/>
      <c r="HM6" s="337"/>
      <c r="HN6" s="337"/>
      <c r="HO6" s="337"/>
      <c r="HP6" s="337"/>
      <c r="HQ6" s="337"/>
      <c r="HR6" s="337"/>
      <c r="HS6" s="337"/>
      <c r="HT6" s="337"/>
      <c r="HU6" s="337"/>
      <c r="HV6" s="337"/>
      <c r="HW6" s="337"/>
      <c r="HX6" s="337"/>
      <c r="HY6" s="337"/>
      <c r="HZ6" s="337"/>
      <c r="IA6" s="337"/>
      <c r="IB6" s="337"/>
      <c r="IC6" s="337"/>
      <c r="ID6" s="337"/>
      <c r="IE6" s="337"/>
      <c r="IF6" s="337"/>
      <c r="IG6" s="337"/>
      <c r="IH6" s="337"/>
      <c r="II6" s="337"/>
      <c r="IJ6" s="337"/>
      <c r="IK6" s="337"/>
      <c r="IL6" s="337"/>
      <c r="IM6" s="337"/>
      <c r="IN6" s="337"/>
      <c r="IO6" s="337"/>
      <c r="IP6" s="337"/>
      <c r="IQ6" s="337"/>
      <c r="IR6" s="337"/>
      <c r="IS6" s="337"/>
      <c r="IT6" s="337"/>
      <c r="IU6" s="337"/>
      <c r="IV6" s="337"/>
      <c r="IW6" s="337"/>
      <c r="IX6" s="337"/>
      <c r="IY6" s="337"/>
      <c r="IZ6" s="337"/>
      <c r="JA6" s="337"/>
      <c r="JB6" s="337"/>
      <c r="JC6" s="337"/>
      <c r="JD6" s="337"/>
      <c r="JE6" s="337"/>
      <c r="JF6" s="337"/>
      <c r="JG6" s="337"/>
      <c r="JH6" s="337"/>
      <c r="JI6" s="337"/>
      <c r="JJ6" s="337"/>
      <c r="JK6" s="337"/>
      <c r="JL6" s="337"/>
      <c r="JM6" s="337"/>
      <c r="JN6" s="337"/>
      <c r="JO6" s="337"/>
      <c r="JP6" s="337"/>
      <c r="JQ6" s="337"/>
      <c r="JR6" s="337"/>
      <c r="JS6" s="337"/>
      <c r="JT6" s="337"/>
      <c r="JU6" s="337"/>
      <c r="JV6" s="337"/>
      <c r="JW6" s="337"/>
      <c r="JX6" s="337"/>
      <c r="JY6" s="337"/>
      <c r="JZ6" s="337"/>
      <c r="KA6" s="337"/>
      <c r="KB6" s="337"/>
      <c r="KC6" s="337"/>
      <c r="KD6" s="337"/>
      <c r="KE6" s="337"/>
      <c r="KF6" s="337"/>
      <c r="KG6" s="337"/>
      <c r="KH6" s="337"/>
      <c r="KI6" s="337"/>
      <c r="KJ6" s="337"/>
      <c r="KK6" s="337"/>
      <c r="KL6" s="337"/>
      <c r="KM6" s="337"/>
      <c r="KN6" s="337"/>
      <c r="KO6" s="337"/>
      <c r="KP6" s="337"/>
      <c r="KQ6" s="337"/>
      <c r="KR6" s="337"/>
      <c r="KS6" s="337"/>
      <c r="KT6" s="337"/>
      <c r="KU6" s="337"/>
      <c r="KV6" s="337"/>
      <c r="KW6" s="337"/>
      <c r="KX6" s="337"/>
      <c r="KY6" s="337"/>
      <c r="KZ6" s="337"/>
      <c r="LA6" s="337"/>
      <c r="LB6" s="337"/>
      <c r="LC6" s="337"/>
      <c r="LD6" s="337"/>
      <c r="LE6" s="337"/>
      <c r="LF6" s="337"/>
      <c r="LG6" s="337"/>
      <c r="LH6" s="337"/>
      <c r="LI6" s="337"/>
      <c r="LJ6" s="337"/>
      <c r="LK6" s="337"/>
      <c r="LL6" s="337"/>
      <c r="LM6" s="337"/>
      <c r="LN6" s="337"/>
      <c r="LO6" s="337"/>
      <c r="LP6" s="337"/>
      <c r="LQ6" s="337"/>
      <c r="LR6" s="337"/>
      <c r="LS6" s="337"/>
      <c r="LT6" s="337"/>
      <c r="LU6" s="337"/>
      <c r="LV6" s="337"/>
      <c r="LW6" s="337"/>
      <c r="LX6" s="337"/>
      <c r="LY6" s="337"/>
      <c r="LZ6" s="337"/>
      <c r="MA6" s="337"/>
      <c r="MB6" s="337"/>
      <c r="MC6" s="337"/>
      <c r="MD6" s="337"/>
      <c r="ME6" s="337"/>
      <c r="MF6" s="337"/>
      <c r="MG6" s="337"/>
      <c r="MH6" s="337"/>
      <c r="MI6" s="337"/>
      <c r="MJ6" s="337"/>
      <c r="MK6" s="337"/>
      <c r="ML6" s="337"/>
      <c r="MM6" s="337"/>
      <c r="MN6" s="337"/>
      <c r="MO6" s="337"/>
      <c r="MP6" s="337"/>
      <c r="MQ6" s="337"/>
      <c r="MR6" s="337"/>
      <c r="MS6" s="337"/>
      <c r="MT6" s="337"/>
      <c r="MU6" s="337"/>
      <c r="MV6" s="337"/>
      <c r="MW6" s="337"/>
      <c r="MX6" s="337"/>
      <c r="MY6" s="337"/>
      <c r="MZ6" s="337"/>
      <c r="NA6" s="337"/>
      <c r="NB6" s="337"/>
      <c r="NC6" s="337"/>
      <c r="ND6" s="337"/>
      <c r="NE6" s="337"/>
      <c r="NF6" s="337"/>
      <c r="NG6" s="337"/>
      <c r="NH6" s="337"/>
      <c r="NI6" s="337"/>
      <c r="NJ6" s="337"/>
      <c r="NK6" s="337"/>
      <c r="NL6" s="337"/>
      <c r="NM6" s="337"/>
      <c r="NN6" s="337"/>
      <c r="NO6" s="337"/>
      <c r="NP6" s="337"/>
      <c r="NQ6" s="337"/>
      <c r="NR6" s="337"/>
      <c r="NS6" s="337"/>
      <c r="NT6" s="337"/>
      <c r="NU6" s="337"/>
      <c r="NV6" s="337"/>
      <c r="NW6" s="337"/>
      <c r="NX6" s="337"/>
      <c r="NY6" s="337"/>
      <c r="NZ6" s="337"/>
      <c r="OA6" s="337"/>
      <c r="OB6" s="337"/>
      <c r="OC6" s="337"/>
      <c r="OD6" s="337"/>
      <c r="OE6" s="337"/>
      <c r="OF6" s="337"/>
      <c r="OG6" s="337"/>
      <c r="OH6" s="337"/>
      <c r="OI6" s="337"/>
      <c r="OJ6" s="337"/>
      <c r="OK6" s="337"/>
      <c r="OL6" s="337"/>
      <c r="OM6" s="337"/>
      <c r="ON6" s="337"/>
      <c r="OO6" s="337"/>
      <c r="OP6" s="337"/>
      <c r="OQ6" s="337"/>
      <c r="OR6" s="337"/>
      <c r="OS6" s="337"/>
      <c r="OT6" s="337"/>
      <c r="OU6" s="337"/>
      <c r="OV6" s="337"/>
      <c r="OW6" s="337"/>
      <c r="OX6" s="337"/>
      <c r="OY6" s="337"/>
      <c r="OZ6" s="337"/>
      <c r="PA6" s="337"/>
      <c r="PB6" s="337"/>
      <c r="PC6" s="337"/>
      <c r="PD6" s="337"/>
      <c r="PE6" s="337"/>
      <c r="PF6" s="337"/>
      <c r="PG6" s="337"/>
      <c r="PH6" s="337"/>
      <c r="PI6" s="337"/>
      <c r="PJ6" s="337"/>
      <c r="PK6" s="337"/>
      <c r="PL6" s="337"/>
      <c r="PM6" s="337"/>
      <c r="PN6" s="337"/>
      <c r="PO6" s="337"/>
      <c r="PP6" s="337"/>
      <c r="PQ6" s="337"/>
      <c r="PR6" s="337"/>
      <c r="PS6" s="337"/>
      <c r="PT6" s="337"/>
      <c r="PU6" s="337"/>
      <c r="PV6" s="337"/>
      <c r="PW6" s="337"/>
      <c r="PX6" s="337"/>
      <c r="PY6" s="337"/>
      <c r="PZ6" s="337"/>
      <c r="QA6" s="337"/>
      <c r="QB6" s="337"/>
      <c r="QC6" s="337"/>
      <c r="QD6" s="337"/>
      <c r="QE6" s="337"/>
      <c r="QF6" s="337"/>
      <c r="QG6" s="337"/>
      <c r="QH6" s="337"/>
      <c r="QI6" s="337"/>
      <c r="QJ6" s="337"/>
      <c r="QK6" s="337"/>
      <c r="QL6" s="337"/>
      <c r="QM6" s="337"/>
      <c r="QN6" s="337"/>
      <c r="QO6" s="337"/>
      <c r="QP6" s="338"/>
      <c r="QQ6" s="12"/>
      <c r="QR6" s="10"/>
    </row>
    <row r="7" spans="3:484" s="5" customFormat="1" ht="9.6" customHeight="1" x14ac:dyDescent="0.3">
      <c r="C7" s="6"/>
      <c r="D7" s="11"/>
      <c r="E7" s="336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37"/>
      <c r="AW7" s="337"/>
      <c r="AX7" s="337"/>
      <c r="AY7" s="337"/>
      <c r="AZ7" s="337"/>
      <c r="BA7" s="337"/>
      <c r="BB7" s="337"/>
      <c r="BC7" s="337"/>
      <c r="BD7" s="337"/>
      <c r="BE7" s="337"/>
      <c r="BF7" s="337"/>
      <c r="BG7" s="337"/>
      <c r="BH7" s="337"/>
      <c r="BI7" s="337"/>
      <c r="BJ7" s="337"/>
      <c r="BK7" s="337"/>
      <c r="BL7" s="337"/>
      <c r="BM7" s="337"/>
      <c r="BN7" s="337"/>
      <c r="BO7" s="337"/>
      <c r="BP7" s="337"/>
      <c r="BQ7" s="337"/>
      <c r="BR7" s="337"/>
      <c r="BS7" s="337"/>
      <c r="BT7" s="337"/>
      <c r="BU7" s="337"/>
      <c r="BV7" s="337"/>
      <c r="BW7" s="337"/>
      <c r="BX7" s="337"/>
      <c r="BY7" s="337"/>
      <c r="BZ7" s="337"/>
      <c r="CA7" s="337"/>
      <c r="CB7" s="337"/>
      <c r="CC7" s="337"/>
      <c r="CD7" s="337"/>
      <c r="CE7" s="337"/>
      <c r="CF7" s="337"/>
      <c r="CG7" s="337"/>
      <c r="CH7" s="337"/>
      <c r="CI7" s="337"/>
      <c r="CJ7" s="337"/>
      <c r="CK7" s="337"/>
      <c r="CL7" s="337"/>
      <c r="CM7" s="337"/>
      <c r="CN7" s="337"/>
      <c r="CO7" s="337"/>
      <c r="CP7" s="337"/>
      <c r="CQ7" s="337"/>
      <c r="CR7" s="337"/>
      <c r="CS7" s="337"/>
      <c r="CT7" s="337"/>
      <c r="CU7" s="337"/>
      <c r="CV7" s="337"/>
      <c r="CW7" s="337"/>
      <c r="CX7" s="337"/>
      <c r="CY7" s="337"/>
      <c r="CZ7" s="337"/>
      <c r="DA7" s="337"/>
      <c r="DB7" s="337"/>
      <c r="DC7" s="337"/>
      <c r="DD7" s="337"/>
      <c r="DE7" s="337"/>
      <c r="DF7" s="337"/>
      <c r="DG7" s="337"/>
      <c r="DH7" s="337"/>
      <c r="DI7" s="337"/>
      <c r="DJ7" s="337"/>
      <c r="DK7" s="337"/>
      <c r="DL7" s="337"/>
      <c r="DM7" s="337"/>
      <c r="DN7" s="337"/>
      <c r="DO7" s="337"/>
      <c r="DP7" s="337"/>
      <c r="DQ7" s="337"/>
      <c r="DR7" s="337"/>
      <c r="DS7" s="337"/>
      <c r="DT7" s="337"/>
      <c r="DU7" s="337"/>
      <c r="DV7" s="337"/>
      <c r="DW7" s="337"/>
      <c r="DX7" s="337"/>
      <c r="DY7" s="337"/>
      <c r="DZ7" s="337"/>
      <c r="EA7" s="337"/>
      <c r="EB7" s="337"/>
      <c r="EC7" s="337"/>
      <c r="ED7" s="337"/>
      <c r="EE7" s="337"/>
      <c r="EF7" s="337"/>
      <c r="EG7" s="337"/>
      <c r="EH7" s="337"/>
      <c r="EI7" s="337"/>
      <c r="EJ7" s="337"/>
      <c r="EK7" s="337"/>
      <c r="EL7" s="337"/>
      <c r="EM7" s="337"/>
      <c r="EN7" s="337"/>
      <c r="EO7" s="337"/>
      <c r="EP7" s="337"/>
      <c r="EQ7" s="337"/>
      <c r="ER7" s="337"/>
      <c r="ES7" s="337"/>
      <c r="ET7" s="337"/>
      <c r="EU7" s="337"/>
      <c r="EV7" s="337"/>
      <c r="EW7" s="337"/>
      <c r="EX7" s="337"/>
      <c r="EY7" s="337"/>
      <c r="EZ7" s="337"/>
      <c r="FA7" s="337"/>
      <c r="FB7" s="337"/>
      <c r="FC7" s="337"/>
      <c r="FD7" s="337"/>
      <c r="FE7" s="337"/>
      <c r="FF7" s="337"/>
      <c r="FG7" s="337"/>
      <c r="FH7" s="337"/>
      <c r="FI7" s="337"/>
      <c r="FJ7" s="337"/>
      <c r="FK7" s="337"/>
      <c r="FL7" s="337"/>
      <c r="FM7" s="337"/>
      <c r="FN7" s="337"/>
      <c r="FO7" s="337"/>
      <c r="FP7" s="337"/>
      <c r="FQ7" s="337"/>
      <c r="FR7" s="337"/>
      <c r="FS7" s="337"/>
      <c r="FT7" s="337"/>
      <c r="FU7" s="337"/>
      <c r="FV7" s="337"/>
      <c r="FW7" s="337"/>
      <c r="FX7" s="337"/>
      <c r="FY7" s="337"/>
      <c r="FZ7" s="337"/>
      <c r="GA7" s="337"/>
      <c r="GB7" s="337"/>
      <c r="GC7" s="337"/>
      <c r="GD7" s="337"/>
      <c r="GE7" s="337"/>
      <c r="GF7" s="337"/>
      <c r="GG7" s="337"/>
      <c r="GH7" s="337"/>
      <c r="GI7" s="337"/>
      <c r="GJ7" s="337"/>
      <c r="GK7" s="337"/>
      <c r="GL7" s="337"/>
      <c r="GM7" s="337"/>
      <c r="GN7" s="337"/>
      <c r="GO7" s="337"/>
      <c r="GP7" s="337"/>
      <c r="GQ7" s="337"/>
      <c r="GR7" s="337"/>
      <c r="GS7" s="337"/>
      <c r="GT7" s="337"/>
      <c r="GU7" s="337"/>
      <c r="GV7" s="337"/>
      <c r="GW7" s="337"/>
      <c r="GX7" s="337"/>
      <c r="GY7" s="337"/>
      <c r="GZ7" s="337"/>
      <c r="HA7" s="337"/>
      <c r="HB7" s="337"/>
      <c r="HC7" s="337"/>
      <c r="HD7" s="337"/>
      <c r="HE7" s="337"/>
      <c r="HF7" s="337"/>
      <c r="HG7" s="337"/>
      <c r="HH7" s="337"/>
      <c r="HI7" s="337"/>
      <c r="HJ7" s="337"/>
      <c r="HK7" s="337"/>
      <c r="HL7" s="337"/>
      <c r="HM7" s="337"/>
      <c r="HN7" s="337"/>
      <c r="HO7" s="337"/>
      <c r="HP7" s="337"/>
      <c r="HQ7" s="337"/>
      <c r="HR7" s="337"/>
      <c r="HS7" s="337"/>
      <c r="HT7" s="337"/>
      <c r="HU7" s="337"/>
      <c r="HV7" s="337"/>
      <c r="HW7" s="337"/>
      <c r="HX7" s="337"/>
      <c r="HY7" s="337"/>
      <c r="HZ7" s="337"/>
      <c r="IA7" s="337"/>
      <c r="IB7" s="337"/>
      <c r="IC7" s="337"/>
      <c r="ID7" s="337"/>
      <c r="IE7" s="337"/>
      <c r="IF7" s="337"/>
      <c r="IG7" s="337"/>
      <c r="IH7" s="337"/>
      <c r="II7" s="337"/>
      <c r="IJ7" s="337"/>
      <c r="IK7" s="337"/>
      <c r="IL7" s="337"/>
      <c r="IM7" s="337"/>
      <c r="IN7" s="337"/>
      <c r="IO7" s="337"/>
      <c r="IP7" s="337"/>
      <c r="IQ7" s="337"/>
      <c r="IR7" s="337"/>
      <c r="IS7" s="337"/>
      <c r="IT7" s="337"/>
      <c r="IU7" s="337"/>
      <c r="IV7" s="337"/>
      <c r="IW7" s="337"/>
      <c r="IX7" s="337"/>
      <c r="IY7" s="337"/>
      <c r="IZ7" s="337"/>
      <c r="JA7" s="337"/>
      <c r="JB7" s="337"/>
      <c r="JC7" s="337"/>
      <c r="JD7" s="337"/>
      <c r="JE7" s="337"/>
      <c r="JF7" s="337"/>
      <c r="JG7" s="337"/>
      <c r="JH7" s="337"/>
      <c r="JI7" s="337"/>
      <c r="JJ7" s="337"/>
      <c r="JK7" s="337"/>
      <c r="JL7" s="337"/>
      <c r="JM7" s="337"/>
      <c r="JN7" s="337"/>
      <c r="JO7" s="337"/>
      <c r="JP7" s="337"/>
      <c r="JQ7" s="337"/>
      <c r="JR7" s="337"/>
      <c r="JS7" s="337"/>
      <c r="JT7" s="337"/>
      <c r="JU7" s="337"/>
      <c r="JV7" s="337"/>
      <c r="JW7" s="337"/>
      <c r="JX7" s="337"/>
      <c r="JY7" s="337"/>
      <c r="JZ7" s="337"/>
      <c r="KA7" s="337"/>
      <c r="KB7" s="337"/>
      <c r="KC7" s="337"/>
      <c r="KD7" s="337"/>
      <c r="KE7" s="337"/>
      <c r="KF7" s="337"/>
      <c r="KG7" s="337"/>
      <c r="KH7" s="337"/>
      <c r="KI7" s="337"/>
      <c r="KJ7" s="337"/>
      <c r="KK7" s="337"/>
      <c r="KL7" s="337"/>
      <c r="KM7" s="337"/>
      <c r="KN7" s="337"/>
      <c r="KO7" s="337"/>
      <c r="KP7" s="337"/>
      <c r="KQ7" s="337"/>
      <c r="KR7" s="337"/>
      <c r="KS7" s="337"/>
      <c r="KT7" s="337"/>
      <c r="KU7" s="337"/>
      <c r="KV7" s="337"/>
      <c r="KW7" s="337"/>
      <c r="KX7" s="337"/>
      <c r="KY7" s="337"/>
      <c r="KZ7" s="337"/>
      <c r="LA7" s="337"/>
      <c r="LB7" s="337"/>
      <c r="LC7" s="337"/>
      <c r="LD7" s="337"/>
      <c r="LE7" s="337"/>
      <c r="LF7" s="337"/>
      <c r="LG7" s="337"/>
      <c r="LH7" s="337"/>
      <c r="LI7" s="337"/>
      <c r="LJ7" s="337"/>
      <c r="LK7" s="337"/>
      <c r="LL7" s="337"/>
      <c r="LM7" s="337"/>
      <c r="LN7" s="337"/>
      <c r="LO7" s="337"/>
      <c r="LP7" s="337"/>
      <c r="LQ7" s="337"/>
      <c r="LR7" s="337"/>
      <c r="LS7" s="337"/>
      <c r="LT7" s="337"/>
      <c r="LU7" s="337"/>
      <c r="LV7" s="337"/>
      <c r="LW7" s="337"/>
      <c r="LX7" s="337"/>
      <c r="LY7" s="337"/>
      <c r="LZ7" s="337"/>
      <c r="MA7" s="337"/>
      <c r="MB7" s="337"/>
      <c r="MC7" s="337"/>
      <c r="MD7" s="337"/>
      <c r="ME7" s="337"/>
      <c r="MF7" s="337"/>
      <c r="MG7" s="337"/>
      <c r="MH7" s="337"/>
      <c r="MI7" s="337"/>
      <c r="MJ7" s="337"/>
      <c r="MK7" s="337"/>
      <c r="ML7" s="337"/>
      <c r="MM7" s="337"/>
      <c r="MN7" s="337"/>
      <c r="MO7" s="337"/>
      <c r="MP7" s="337"/>
      <c r="MQ7" s="337"/>
      <c r="MR7" s="337"/>
      <c r="MS7" s="337"/>
      <c r="MT7" s="337"/>
      <c r="MU7" s="337"/>
      <c r="MV7" s="337"/>
      <c r="MW7" s="337"/>
      <c r="MX7" s="337"/>
      <c r="MY7" s="337"/>
      <c r="MZ7" s="337"/>
      <c r="NA7" s="337"/>
      <c r="NB7" s="337"/>
      <c r="NC7" s="337"/>
      <c r="ND7" s="337"/>
      <c r="NE7" s="337"/>
      <c r="NF7" s="337"/>
      <c r="NG7" s="337"/>
      <c r="NH7" s="337"/>
      <c r="NI7" s="337"/>
      <c r="NJ7" s="337"/>
      <c r="NK7" s="337"/>
      <c r="NL7" s="337"/>
      <c r="NM7" s="337"/>
      <c r="NN7" s="337"/>
      <c r="NO7" s="337"/>
      <c r="NP7" s="337"/>
      <c r="NQ7" s="337"/>
      <c r="NR7" s="337"/>
      <c r="NS7" s="337"/>
      <c r="NT7" s="337"/>
      <c r="NU7" s="337"/>
      <c r="NV7" s="337"/>
      <c r="NW7" s="337"/>
      <c r="NX7" s="337"/>
      <c r="NY7" s="337"/>
      <c r="NZ7" s="337"/>
      <c r="OA7" s="337"/>
      <c r="OB7" s="337"/>
      <c r="OC7" s="337"/>
      <c r="OD7" s="337"/>
      <c r="OE7" s="337"/>
      <c r="OF7" s="337"/>
      <c r="OG7" s="337"/>
      <c r="OH7" s="337"/>
      <c r="OI7" s="337"/>
      <c r="OJ7" s="337"/>
      <c r="OK7" s="337"/>
      <c r="OL7" s="337"/>
      <c r="OM7" s="337"/>
      <c r="ON7" s="337"/>
      <c r="OO7" s="337"/>
      <c r="OP7" s="337"/>
      <c r="OQ7" s="337"/>
      <c r="OR7" s="337"/>
      <c r="OS7" s="337"/>
      <c r="OT7" s="337"/>
      <c r="OU7" s="337"/>
      <c r="OV7" s="337"/>
      <c r="OW7" s="337"/>
      <c r="OX7" s="337"/>
      <c r="OY7" s="337"/>
      <c r="OZ7" s="337"/>
      <c r="PA7" s="337"/>
      <c r="PB7" s="337"/>
      <c r="PC7" s="337"/>
      <c r="PD7" s="337"/>
      <c r="PE7" s="337"/>
      <c r="PF7" s="337"/>
      <c r="PG7" s="337"/>
      <c r="PH7" s="337"/>
      <c r="PI7" s="337"/>
      <c r="PJ7" s="337"/>
      <c r="PK7" s="337"/>
      <c r="PL7" s="337"/>
      <c r="PM7" s="337"/>
      <c r="PN7" s="337"/>
      <c r="PO7" s="337"/>
      <c r="PP7" s="337"/>
      <c r="PQ7" s="337"/>
      <c r="PR7" s="337"/>
      <c r="PS7" s="337"/>
      <c r="PT7" s="337"/>
      <c r="PU7" s="337"/>
      <c r="PV7" s="337"/>
      <c r="PW7" s="337"/>
      <c r="PX7" s="337"/>
      <c r="PY7" s="337"/>
      <c r="PZ7" s="337"/>
      <c r="QA7" s="337"/>
      <c r="QB7" s="337"/>
      <c r="QC7" s="337"/>
      <c r="QD7" s="337"/>
      <c r="QE7" s="337"/>
      <c r="QF7" s="337"/>
      <c r="QG7" s="337"/>
      <c r="QH7" s="337"/>
      <c r="QI7" s="337"/>
      <c r="QJ7" s="337"/>
      <c r="QK7" s="337"/>
      <c r="QL7" s="337"/>
      <c r="QM7" s="337"/>
      <c r="QN7" s="337"/>
      <c r="QO7" s="337"/>
      <c r="QP7" s="338"/>
      <c r="QQ7" s="12"/>
      <c r="QR7" s="10"/>
    </row>
    <row r="8" spans="3:484" s="5" customFormat="1" ht="9.6" customHeight="1" x14ac:dyDescent="0.3">
      <c r="C8" s="6"/>
      <c r="D8" s="11"/>
      <c r="E8" s="336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7"/>
      <c r="AH8" s="337"/>
      <c r="AI8" s="337"/>
      <c r="AJ8" s="337"/>
      <c r="AK8" s="337"/>
      <c r="AL8" s="337"/>
      <c r="AM8" s="337"/>
      <c r="AN8" s="337"/>
      <c r="AO8" s="337"/>
      <c r="AP8" s="337"/>
      <c r="AQ8" s="337"/>
      <c r="AR8" s="337"/>
      <c r="AS8" s="337"/>
      <c r="AT8" s="337"/>
      <c r="AU8" s="337"/>
      <c r="AV8" s="337"/>
      <c r="AW8" s="337"/>
      <c r="AX8" s="337"/>
      <c r="AY8" s="337"/>
      <c r="AZ8" s="337"/>
      <c r="BA8" s="337"/>
      <c r="BB8" s="337"/>
      <c r="BC8" s="337"/>
      <c r="BD8" s="337"/>
      <c r="BE8" s="337"/>
      <c r="BF8" s="337"/>
      <c r="BG8" s="337"/>
      <c r="BH8" s="337"/>
      <c r="BI8" s="337"/>
      <c r="BJ8" s="337"/>
      <c r="BK8" s="337"/>
      <c r="BL8" s="337"/>
      <c r="BM8" s="337"/>
      <c r="BN8" s="337"/>
      <c r="BO8" s="337"/>
      <c r="BP8" s="337"/>
      <c r="BQ8" s="337"/>
      <c r="BR8" s="337"/>
      <c r="BS8" s="337"/>
      <c r="BT8" s="337"/>
      <c r="BU8" s="337"/>
      <c r="BV8" s="337"/>
      <c r="BW8" s="337"/>
      <c r="BX8" s="337"/>
      <c r="BY8" s="337"/>
      <c r="BZ8" s="337"/>
      <c r="CA8" s="337"/>
      <c r="CB8" s="337"/>
      <c r="CC8" s="337"/>
      <c r="CD8" s="337"/>
      <c r="CE8" s="337"/>
      <c r="CF8" s="337"/>
      <c r="CG8" s="337"/>
      <c r="CH8" s="337"/>
      <c r="CI8" s="337"/>
      <c r="CJ8" s="337"/>
      <c r="CK8" s="337"/>
      <c r="CL8" s="337"/>
      <c r="CM8" s="337"/>
      <c r="CN8" s="337"/>
      <c r="CO8" s="337"/>
      <c r="CP8" s="337"/>
      <c r="CQ8" s="337"/>
      <c r="CR8" s="337"/>
      <c r="CS8" s="337"/>
      <c r="CT8" s="337"/>
      <c r="CU8" s="337"/>
      <c r="CV8" s="337"/>
      <c r="CW8" s="337"/>
      <c r="CX8" s="337"/>
      <c r="CY8" s="337"/>
      <c r="CZ8" s="337"/>
      <c r="DA8" s="337"/>
      <c r="DB8" s="337"/>
      <c r="DC8" s="337"/>
      <c r="DD8" s="337"/>
      <c r="DE8" s="337"/>
      <c r="DF8" s="337"/>
      <c r="DG8" s="337"/>
      <c r="DH8" s="337"/>
      <c r="DI8" s="337"/>
      <c r="DJ8" s="337"/>
      <c r="DK8" s="337"/>
      <c r="DL8" s="337"/>
      <c r="DM8" s="337"/>
      <c r="DN8" s="337"/>
      <c r="DO8" s="337"/>
      <c r="DP8" s="337"/>
      <c r="DQ8" s="337"/>
      <c r="DR8" s="337"/>
      <c r="DS8" s="337"/>
      <c r="DT8" s="337"/>
      <c r="DU8" s="337"/>
      <c r="DV8" s="337"/>
      <c r="DW8" s="337"/>
      <c r="DX8" s="337"/>
      <c r="DY8" s="337"/>
      <c r="DZ8" s="337"/>
      <c r="EA8" s="337"/>
      <c r="EB8" s="337"/>
      <c r="EC8" s="337"/>
      <c r="ED8" s="337"/>
      <c r="EE8" s="337"/>
      <c r="EF8" s="337"/>
      <c r="EG8" s="337"/>
      <c r="EH8" s="337"/>
      <c r="EI8" s="337"/>
      <c r="EJ8" s="337"/>
      <c r="EK8" s="337"/>
      <c r="EL8" s="337"/>
      <c r="EM8" s="337"/>
      <c r="EN8" s="337"/>
      <c r="EO8" s="337"/>
      <c r="EP8" s="337"/>
      <c r="EQ8" s="337"/>
      <c r="ER8" s="337"/>
      <c r="ES8" s="337"/>
      <c r="ET8" s="337"/>
      <c r="EU8" s="337"/>
      <c r="EV8" s="337"/>
      <c r="EW8" s="337"/>
      <c r="EX8" s="337"/>
      <c r="EY8" s="337"/>
      <c r="EZ8" s="337"/>
      <c r="FA8" s="337"/>
      <c r="FB8" s="337"/>
      <c r="FC8" s="337"/>
      <c r="FD8" s="337"/>
      <c r="FE8" s="337"/>
      <c r="FF8" s="337"/>
      <c r="FG8" s="337"/>
      <c r="FH8" s="337"/>
      <c r="FI8" s="337"/>
      <c r="FJ8" s="337"/>
      <c r="FK8" s="337"/>
      <c r="FL8" s="337"/>
      <c r="FM8" s="337"/>
      <c r="FN8" s="337"/>
      <c r="FO8" s="337"/>
      <c r="FP8" s="337"/>
      <c r="FQ8" s="337"/>
      <c r="FR8" s="337"/>
      <c r="FS8" s="337"/>
      <c r="FT8" s="337"/>
      <c r="FU8" s="337"/>
      <c r="FV8" s="337"/>
      <c r="FW8" s="337"/>
      <c r="FX8" s="337"/>
      <c r="FY8" s="337"/>
      <c r="FZ8" s="337"/>
      <c r="GA8" s="337"/>
      <c r="GB8" s="337"/>
      <c r="GC8" s="337"/>
      <c r="GD8" s="337"/>
      <c r="GE8" s="337"/>
      <c r="GF8" s="337"/>
      <c r="GG8" s="337"/>
      <c r="GH8" s="337"/>
      <c r="GI8" s="337"/>
      <c r="GJ8" s="337"/>
      <c r="GK8" s="337"/>
      <c r="GL8" s="337"/>
      <c r="GM8" s="337"/>
      <c r="GN8" s="337"/>
      <c r="GO8" s="337"/>
      <c r="GP8" s="337"/>
      <c r="GQ8" s="337"/>
      <c r="GR8" s="337"/>
      <c r="GS8" s="337"/>
      <c r="GT8" s="337"/>
      <c r="GU8" s="337"/>
      <c r="GV8" s="337"/>
      <c r="GW8" s="337"/>
      <c r="GX8" s="337"/>
      <c r="GY8" s="337"/>
      <c r="GZ8" s="337"/>
      <c r="HA8" s="337"/>
      <c r="HB8" s="337"/>
      <c r="HC8" s="337"/>
      <c r="HD8" s="337"/>
      <c r="HE8" s="337"/>
      <c r="HF8" s="337"/>
      <c r="HG8" s="337"/>
      <c r="HH8" s="337"/>
      <c r="HI8" s="337"/>
      <c r="HJ8" s="337"/>
      <c r="HK8" s="337"/>
      <c r="HL8" s="337"/>
      <c r="HM8" s="337"/>
      <c r="HN8" s="337"/>
      <c r="HO8" s="337"/>
      <c r="HP8" s="337"/>
      <c r="HQ8" s="337"/>
      <c r="HR8" s="337"/>
      <c r="HS8" s="337"/>
      <c r="HT8" s="337"/>
      <c r="HU8" s="337"/>
      <c r="HV8" s="337"/>
      <c r="HW8" s="337"/>
      <c r="HX8" s="337"/>
      <c r="HY8" s="337"/>
      <c r="HZ8" s="337"/>
      <c r="IA8" s="337"/>
      <c r="IB8" s="337"/>
      <c r="IC8" s="337"/>
      <c r="ID8" s="337"/>
      <c r="IE8" s="337"/>
      <c r="IF8" s="337"/>
      <c r="IG8" s="337"/>
      <c r="IH8" s="337"/>
      <c r="II8" s="337"/>
      <c r="IJ8" s="337"/>
      <c r="IK8" s="337"/>
      <c r="IL8" s="337"/>
      <c r="IM8" s="337"/>
      <c r="IN8" s="337"/>
      <c r="IO8" s="337"/>
      <c r="IP8" s="337"/>
      <c r="IQ8" s="337"/>
      <c r="IR8" s="337"/>
      <c r="IS8" s="337"/>
      <c r="IT8" s="337"/>
      <c r="IU8" s="337"/>
      <c r="IV8" s="337"/>
      <c r="IW8" s="337"/>
      <c r="IX8" s="337"/>
      <c r="IY8" s="337"/>
      <c r="IZ8" s="337"/>
      <c r="JA8" s="337"/>
      <c r="JB8" s="337"/>
      <c r="JC8" s="337"/>
      <c r="JD8" s="337"/>
      <c r="JE8" s="337"/>
      <c r="JF8" s="337"/>
      <c r="JG8" s="337"/>
      <c r="JH8" s="337"/>
      <c r="JI8" s="337"/>
      <c r="JJ8" s="337"/>
      <c r="JK8" s="337"/>
      <c r="JL8" s="337"/>
      <c r="JM8" s="337"/>
      <c r="JN8" s="337"/>
      <c r="JO8" s="337"/>
      <c r="JP8" s="337"/>
      <c r="JQ8" s="337"/>
      <c r="JR8" s="337"/>
      <c r="JS8" s="337"/>
      <c r="JT8" s="337"/>
      <c r="JU8" s="337"/>
      <c r="JV8" s="337"/>
      <c r="JW8" s="337"/>
      <c r="JX8" s="337"/>
      <c r="JY8" s="337"/>
      <c r="JZ8" s="337"/>
      <c r="KA8" s="337"/>
      <c r="KB8" s="337"/>
      <c r="KC8" s="337"/>
      <c r="KD8" s="337"/>
      <c r="KE8" s="337"/>
      <c r="KF8" s="337"/>
      <c r="KG8" s="337"/>
      <c r="KH8" s="337"/>
      <c r="KI8" s="337"/>
      <c r="KJ8" s="337"/>
      <c r="KK8" s="337"/>
      <c r="KL8" s="337"/>
      <c r="KM8" s="337"/>
      <c r="KN8" s="337"/>
      <c r="KO8" s="337"/>
      <c r="KP8" s="337"/>
      <c r="KQ8" s="337"/>
      <c r="KR8" s="337"/>
      <c r="KS8" s="337"/>
      <c r="KT8" s="337"/>
      <c r="KU8" s="337"/>
      <c r="KV8" s="337"/>
      <c r="KW8" s="337"/>
      <c r="KX8" s="337"/>
      <c r="KY8" s="337"/>
      <c r="KZ8" s="337"/>
      <c r="LA8" s="337"/>
      <c r="LB8" s="337"/>
      <c r="LC8" s="337"/>
      <c r="LD8" s="337"/>
      <c r="LE8" s="337"/>
      <c r="LF8" s="337"/>
      <c r="LG8" s="337"/>
      <c r="LH8" s="337"/>
      <c r="LI8" s="337"/>
      <c r="LJ8" s="337"/>
      <c r="LK8" s="337"/>
      <c r="LL8" s="337"/>
      <c r="LM8" s="337"/>
      <c r="LN8" s="337"/>
      <c r="LO8" s="337"/>
      <c r="LP8" s="337"/>
      <c r="LQ8" s="337"/>
      <c r="LR8" s="337"/>
      <c r="LS8" s="337"/>
      <c r="LT8" s="337"/>
      <c r="LU8" s="337"/>
      <c r="LV8" s="337"/>
      <c r="LW8" s="337"/>
      <c r="LX8" s="337"/>
      <c r="LY8" s="337"/>
      <c r="LZ8" s="337"/>
      <c r="MA8" s="337"/>
      <c r="MB8" s="337"/>
      <c r="MC8" s="337"/>
      <c r="MD8" s="337"/>
      <c r="ME8" s="337"/>
      <c r="MF8" s="337"/>
      <c r="MG8" s="337"/>
      <c r="MH8" s="337"/>
      <c r="MI8" s="337"/>
      <c r="MJ8" s="337"/>
      <c r="MK8" s="337"/>
      <c r="ML8" s="337"/>
      <c r="MM8" s="337"/>
      <c r="MN8" s="337"/>
      <c r="MO8" s="337"/>
      <c r="MP8" s="337"/>
      <c r="MQ8" s="337"/>
      <c r="MR8" s="337"/>
      <c r="MS8" s="337"/>
      <c r="MT8" s="337"/>
      <c r="MU8" s="337"/>
      <c r="MV8" s="337"/>
      <c r="MW8" s="337"/>
      <c r="MX8" s="337"/>
      <c r="MY8" s="337"/>
      <c r="MZ8" s="337"/>
      <c r="NA8" s="337"/>
      <c r="NB8" s="337"/>
      <c r="NC8" s="337"/>
      <c r="ND8" s="337"/>
      <c r="NE8" s="337"/>
      <c r="NF8" s="337"/>
      <c r="NG8" s="337"/>
      <c r="NH8" s="337"/>
      <c r="NI8" s="337"/>
      <c r="NJ8" s="337"/>
      <c r="NK8" s="337"/>
      <c r="NL8" s="337"/>
      <c r="NM8" s="337"/>
      <c r="NN8" s="337"/>
      <c r="NO8" s="337"/>
      <c r="NP8" s="337"/>
      <c r="NQ8" s="337"/>
      <c r="NR8" s="337"/>
      <c r="NS8" s="337"/>
      <c r="NT8" s="337"/>
      <c r="NU8" s="337"/>
      <c r="NV8" s="337"/>
      <c r="NW8" s="337"/>
      <c r="NX8" s="337"/>
      <c r="NY8" s="337"/>
      <c r="NZ8" s="337"/>
      <c r="OA8" s="337"/>
      <c r="OB8" s="337"/>
      <c r="OC8" s="337"/>
      <c r="OD8" s="337"/>
      <c r="OE8" s="337"/>
      <c r="OF8" s="337"/>
      <c r="OG8" s="337"/>
      <c r="OH8" s="337"/>
      <c r="OI8" s="337"/>
      <c r="OJ8" s="337"/>
      <c r="OK8" s="337"/>
      <c r="OL8" s="337"/>
      <c r="OM8" s="337"/>
      <c r="ON8" s="337"/>
      <c r="OO8" s="337"/>
      <c r="OP8" s="337"/>
      <c r="OQ8" s="337"/>
      <c r="OR8" s="337"/>
      <c r="OS8" s="337"/>
      <c r="OT8" s="337"/>
      <c r="OU8" s="337"/>
      <c r="OV8" s="337"/>
      <c r="OW8" s="337"/>
      <c r="OX8" s="337"/>
      <c r="OY8" s="337"/>
      <c r="OZ8" s="337"/>
      <c r="PA8" s="337"/>
      <c r="PB8" s="337"/>
      <c r="PC8" s="337"/>
      <c r="PD8" s="337"/>
      <c r="PE8" s="337"/>
      <c r="PF8" s="337"/>
      <c r="PG8" s="337"/>
      <c r="PH8" s="337"/>
      <c r="PI8" s="337"/>
      <c r="PJ8" s="337"/>
      <c r="PK8" s="337"/>
      <c r="PL8" s="337"/>
      <c r="PM8" s="337"/>
      <c r="PN8" s="337"/>
      <c r="PO8" s="337"/>
      <c r="PP8" s="337"/>
      <c r="PQ8" s="337"/>
      <c r="PR8" s="337"/>
      <c r="PS8" s="337"/>
      <c r="PT8" s="337"/>
      <c r="PU8" s="337"/>
      <c r="PV8" s="337"/>
      <c r="PW8" s="337"/>
      <c r="PX8" s="337"/>
      <c r="PY8" s="337"/>
      <c r="PZ8" s="337"/>
      <c r="QA8" s="337"/>
      <c r="QB8" s="337"/>
      <c r="QC8" s="337"/>
      <c r="QD8" s="337"/>
      <c r="QE8" s="337"/>
      <c r="QF8" s="337"/>
      <c r="QG8" s="337"/>
      <c r="QH8" s="337"/>
      <c r="QI8" s="337"/>
      <c r="QJ8" s="337"/>
      <c r="QK8" s="337"/>
      <c r="QL8" s="337"/>
      <c r="QM8" s="337"/>
      <c r="QN8" s="337"/>
      <c r="QO8" s="337"/>
      <c r="QP8" s="338"/>
      <c r="QQ8" s="12"/>
      <c r="QR8" s="10"/>
      <c r="QS8" s="13"/>
      <c r="QT8" s="13"/>
      <c r="QU8" s="13"/>
      <c r="QV8" s="13"/>
      <c r="RK8" s="13"/>
      <c r="RL8" s="13"/>
      <c r="RM8" s="13"/>
      <c r="RN8" s="13"/>
      <c r="RO8" s="13"/>
    </row>
    <row r="9" spans="3:484" s="5" customFormat="1" ht="9.6" customHeight="1" x14ac:dyDescent="0.3">
      <c r="C9" s="6"/>
      <c r="D9" s="11"/>
      <c r="E9" s="336" t="s">
        <v>1</v>
      </c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W9" s="337"/>
      <c r="X9" s="337"/>
      <c r="Y9" s="337"/>
      <c r="Z9" s="337"/>
      <c r="AA9" s="337"/>
      <c r="AB9" s="337"/>
      <c r="AC9" s="337"/>
      <c r="AD9" s="337"/>
      <c r="AE9" s="337"/>
      <c r="AF9" s="337"/>
      <c r="AG9" s="337"/>
      <c r="AH9" s="337"/>
      <c r="AI9" s="337"/>
      <c r="AJ9" s="337"/>
      <c r="AK9" s="337"/>
      <c r="AL9" s="337"/>
      <c r="AM9" s="337"/>
      <c r="AN9" s="337"/>
      <c r="AO9" s="337"/>
      <c r="AP9" s="337"/>
      <c r="AQ9" s="337"/>
      <c r="AR9" s="337"/>
      <c r="AS9" s="337"/>
      <c r="AT9" s="337"/>
      <c r="AU9" s="337"/>
      <c r="AV9" s="337"/>
      <c r="AW9" s="337"/>
      <c r="AX9" s="337"/>
      <c r="AY9" s="337"/>
      <c r="AZ9" s="337"/>
      <c r="BA9" s="337"/>
      <c r="BB9" s="337"/>
      <c r="BC9" s="337"/>
      <c r="BD9" s="337"/>
      <c r="BE9" s="337"/>
      <c r="BF9" s="337"/>
      <c r="BG9" s="337"/>
      <c r="BH9" s="337"/>
      <c r="BI9" s="337"/>
      <c r="BJ9" s="337"/>
      <c r="BK9" s="337"/>
      <c r="BL9" s="337"/>
      <c r="BM9" s="337"/>
      <c r="BN9" s="337"/>
      <c r="BO9" s="337"/>
      <c r="BP9" s="337"/>
      <c r="BQ9" s="337"/>
      <c r="BR9" s="337"/>
      <c r="BS9" s="337"/>
      <c r="BT9" s="337"/>
      <c r="BU9" s="337"/>
      <c r="BV9" s="337"/>
      <c r="BW9" s="337"/>
      <c r="BX9" s="337"/>
      <c r="BY9" s="337"/>
      <c r="BZ9" s="337"/>
      <c r="CA9" s="337"/>
      <c r="CB9" s="337"/>
      <c r="CC9" s="337"/>
      <c r="CD9" s="337"/>
      <c r="CE9" s="337"/>
      <c r="CF9" s="337"/>
      <c r="CG9" s="337"/>
      <c r="CH9" s="337"/>
      <c r="CI9" s="337"/>
      <c r="CJ9" s="337"/>
      <c r="CK9" s="337"/>
      <c r="CL9" s="337"/>
      <c r="CM9" s="337"/>
      <c r="CN9" s="337"/>
      <c r="CO9" s="337"/>
      <c r="CP9" s="337"/>
      <c r="CQ9" s="337"/>
      <c r="CR9" s="337"/>
      <c r="CS9" s="337"/>
      <c r="CT9" s="337"/>
      <c r="CU9" s="337"/>
      <c r="CV9" s="337"/>
      <c r="CW9" s="337"/>
      <c r="CX9" s="337"/>
      <c r="CY9" s="337"/>
      <c r="CZ9" s="337"/>
      <c r="DA9" s="337"/>
      <c r="DB9" s="337"/>
      <c r="DC9" s="337"/>
      <c r="DD9" s="337"/>
      <c r="DE9" s="337"/>
      <c r="DF9" s="337"/>
      <c r="DG9" s="337"/>
      <c r="DH9" s="337"/>
      <c r="DI9" s="337"/>
      <c r="DJ9" s="337"/>
      <c r="DK9" s="337"/>
      <c r="DL9" s="337"/>
      <c r="DM9" s="337"/>
      <c r="DN9" s="337"/>
      <c r="DO9" s="337"/>
      <c r="DP9" s="337"/>
      <c r="DQ9" s="337"/>
      <c r="DR9" s="337"/>
      <c r="DS9" s="337"/>
      <c r="DT9" s="337"/>
      <c r="DU9" s="337"/>
      <c r="DV9" s="337"/>
      <c r="DW9" s="337"/>
      <c r="DX9" s="337"/>
      <c r="DY9" s="337"/>
      <c r="DZ9" s="337"/>
      <c r="EA9" s="337"/>
      <c r="EB9" s="337"/>
      <c r="EC9" s="337"/>
      <c r="ED9" s="337"/>
      <c r="EE9" s="337"/>
      <c r="EF9" s="337"/>
      <c r="EG9" s="337"/>
      <c r="EH9" s="337"/>
      <c r="EI9" s="337"/>
      <c r="EJ9" s="337"/>
      <c r="EK9" s="337"/>
      <c r="EL9" s="337"/>
      <c r="EM9" s="337"/>
      <c r="EN9" s="337"/>
      <c r="EO9" s="337"/>
      <c r="EP9" s="337"/>
      <c r="EQ9" s="337"/>
      <c r="ER9" s="337"/>
      <c r="ES9" s="337"/>
      <c r="ET9" s="337"/>
      <c r="EU9" s="337"/>
      <c r="EV9" s="337"/>
      <c r="EW9" s="337"/>
      <c r="EX9" s="337"/>
      <c r="EY9" s="337"/>
      <c r="EZ9" s="337"/>
      <c r="FA9" s="337"/>
      <c r="FB9" s="337"/>
      <c r="FC9" s="337"/>
      <c r="FD9" s="337"/>
      <c r="FE9" s="337"/>
      <c r="FF9" s="337"/>
      <c r="FG9" s="337"/>
      <c r="FH9" s="337"/>
      <c r="FI9" s="337"/>
      <c r="FJ9" s="337"/>
      <c r="FK9" s="337"/>
      <c r="FL9" s="337"/>
      <c r="FM9" s="337"/>
      <c r="FN9" s="337"/>
      <c r="FO9" s="337"/>
      <c r="FP9" s="337"/>
      <c r="FQ9" s="337"/>
      <c r="FR9" s="337"/>
      <c r="FS9" s="337"/>
      <c r="FT9" s="337"/>
      <c r="FU9" s="337"/>
      <c r="FV9" s="337"/>
      <c r="FW9" s="337"/>
      <c r="FX9" s="337"/>
      <c r="FY9" s="337"/>
      <c r="FZ9" s="337"/>
      <c r="GA9" s="337"/>
      <c r="GB9" s="337"/>
      <c r="GC9" s="337"/>
      <c r="GD9" s="337"/>
      <c r="GE9" s="337"/>
      <c r="GF9" s="337"/>
      <c r="GG9" s="337"/>
      <c r="GH9" s="337"/>
      <c r="GI9" s="337"/>
      <c r="GJ9" s="337"/>
      <c r="GK9" s="337"/>
      <c r="GL9" s="337"/>
      <c r="GM9" s="337"/>
      <c r="GN9" s="337"/>
      <c r="GO9" s="337"/>
      <c r="GP9" s="337"/>
      <c r="GQ9" s="337"/>
      <c r="GR9" s="337"/>
      <c r="GS9" s="337"/>
      <c r="GT9" s="337"/>
      <c r="GU9" s="337"/>
      <c r="GV9" s="337"/>
      <c r="GW9" s="337"/>
      <c r="GX9" s="337"/>
      <c r="GY9" s="337"/>
      <c r="GZ9" s="337"/>
      <c r="HA9" s="337"/>
      <c r="HB9" s="337"/>
      <c r="HC9" s="337"/>
      <c r="HD9" s="337"/>
      <c r="HE9" s="337"/>
      <c r="HF9" s="337"/>
      <c r="HG9" s="337"/>
      <c r="HH9" s="337"/>
      <c r="HI9" s="337"/>
      <c r="HJ9" s="337"/>
      <c r="HK9" s="337"/>
      <c r="HL9" s="337"/>
      <c r="HM9" s="337"/>
      <c r="HN9" s="337"/>
      <c r="HO9" s="337"/>
      <c r="HP9" s="337"/>
      <c r="HQ9" s="337"/>
      <c r="HR9" s="337"/>
      <c r="HS9" s="337"/>
      <c r="HT9" s="337"/>
      <c r="HU9" s="337"/>
      <c r="HV9" s="337"/>
      <c r="HW9" s="337"/>
      <c r="HX9" s="337"/>
      <c r="HY9" s="337"/>
      <c r="HZ9" s="337"/>
      <c r="IA9" s="337"/>
      <c r="IB9" s="337"/>
      <c r="IC9" s="337"/>
      <c r="ID9" s="337"/>
      <c r="IE9" s="337"/>
      <c r="IF9" s="337"/>
      <c r="IG9" s="337"/>
      <c r="IH9" s="337"/>
      <c r="II9" s="337"/>
      <c r="IJ9" s="337"/>
      <c r="IK9" s="337"/>
      <c r="IL9" s="337"/>
      <c r="IM9" s="337"/>
      <c r="IN9" s="337"/>
      <c r="IO9" s="337"/>
      <c r="IP9" s="337"/>
      <c r="IQ9" s="337"/>
      <c r="IR9" s="337"/>
      <c r="IS9" s="337"/>
      <c r="IT9" s="337"/>
      <c r="IU9" s="337"/>
      <c r="IV9" s="337"/>
      <c r="IW9" s="337"/>
      <c r="IX9" s="337"/>
      <c r="IY9" s="337"/>
      <c r="IZ9" s="337"/>
      <c r="JA9" s="337"/>
      <c r="JB9" s="337"/>
      <c r="JC9" s="337"/>
      <c r="JD9" s="337"/>
      <c r="JE9" s="337"/>
      <c r="JF9" s="337"/>
      <c r="JG9" s="337"/>
      <c r="JH9" s="337"/>
      <c r="JI9" s="337"/>
      <c r="JJ9" s="337"/>
      <c r="JK9" s="337"/>
      <c r="JL9" s="337"/>
      <c r="JM9" s="337"/>
      <c r="JN9" s="337"/>
      <c r="JO9" s="337"/>
      <c r="JP9" s="337"/>
      <c r="JQ9" s="337"/>
      <c r="JR9" s="337"/>
      <c r="JS9" s="337"/>
      <c r="JT9" s="337"/>
      <c r="JU9" s="337"/>
      <c r="JV9" s="337"/>
      <c r="JW9" s="337"/>
      <c r="JX9" s="337"/>
      <c r="JY9" s="337"/>
      <c r="JZ9" s="337"/>
      <c r="KA9" s="337"/>
      <c r="KB9" s="337"/>
      <c r="KC9" s="337"/>
      <c r="KD9" s="337"/>
      <c r="KE9" s="337"/>
      <c r="KF9" s="337"/>
      <c r="KG9" s="337"/>
      <c r="KH9" s="337"/>
      <c r="KI9" s="337"/>
      <c r="KJ9" s="337"/>
      <c r="KK9" s="337"/>
      <c r="KL9" s="337"/>
      <c r="KM9" s="337"/>
      <c r="KN9" s="337"/>
      <c r="KO9" s="337"/>
      <c r="KP9" s="337"/>
      <c r="KQ9" s="337"/>
      <c r="KR9" s="337"/>
      <c r="KS9" s="337"/>
      <c r="KT9" s="337"/>
      <c r="KU9" s="337"/>
      <c r="KV9" s="337"/>
      <c r="KW9" s="337"/>
      <c r="KX9" s="337"/>
      <c r="KY9" s="337"/>
      <c r="KZ9" s="337"/>
      <c r="LA9" s="337"/>
      <c r="LB9" s="337"/>
      <c r="LC9" s="337"/>
      <c r="LD9" s="337"/>
      <c r="LE9" s="337"/>
      <c r="LF9" s="337"/>
      <c r="LG9" s="337"/>
      <c r="LH9" s="337"/>
      <c r="LI9" s="337"/>
      <c r="LJ9" s="337"/>
      <c r="LK9" s="337"/>
      <c r="LL9" s="337"/>
      <c r="LM9" s="337"/>
      <c r="LN9" s="337"/>
      <c r="LO9" s="337"/>
      <c r="LP9" s="337"/>
      <c r="LQ9" s="337"/>
      <c r="LR9" s="337"/>
      <c r="LS9" s="337"/>
      <c r="LT9" s="337"/>
      <c r="LU9" s="337"/>
      <c r="LV9" s="337"/>
      <c r="LW9" s="337"/>
      <c r="LX9" s="337"/>
      <c r="LY9" s="337"/>
      <c r="LZ9" s="337"/>
      <c r="MA9" s="337"/>
      <c r="MB9" s="337"/>
      <c r="MC9" s="337"/>
      <c r="MD9" s="337"/>
      <c r="ME9" s="337"/>
      <c r="MF9" s="337"/>
      <c r="MG9" s="337"/>
      <c r="MH9" s="337"/>
      <c r="MI9" s="337"/>
      <c r="MJ9" s="337"/>
      <c r="MK9" s="337"/>
      <c r="ML9" s="337"/>
      <c r="MM9" s="337"/>
      <c r="MN9" s="337"/>
      <c r="MO9" s="337"/>
      <c r="MP9" s="337"/>
      <c r="MQ9" s="337"/>
      <c r="MR9" s="337"/>
      <c r="MS9" s="337"/>
      <c r="MT9" s="337"/>
      <c r="MU9" s="337"/>
      <c r="MV9" s="337"/>
      <c r="MW9" s="337"/>
      <c r="MX9" s="337"/>
      <c r="MY9" s="337"/>
      <c r="MZ9" s="337"/>
      <c r="NA9" s="337"/>
      <c r="NB9" s="337"/>
      <c r="NC9" s="337"/>
      <c r="ND9" s="337"/>
      <c r="NE9" s="337"/>
      <c r="NF9" s="337"/>
      <c r="NG9" s="337"/>
      <c r="NH9" s="337"/>
      <c r="NI9" s="337"/>
      <c r="NJ9" s="337"/>
      <c r="NK9" s="337"/>
      <c r="NL9" s="337"/>
      <c r="NM9" s="337"/>
      <c r="NN9" s="337"/>
      <c r="NO9" s="337"/>
      <c r="NP9" s="337"/>
      <c r="NQ9" s="337"/>
      <c r="NR9" s="337"/>
      <c r="NS9" s="337"/>
      <c r="NT9" s="337"/>
      <c r="NU9" s="337"/>
      <c r="NV9" s="337"/>
      <c r="NW9" s="337"/>
      <c r="NX9" s="337"/>
      <c r="NY9" s="337"/>
      <c r="NZ9" s="337"/>
      <c r="OA9" s="337"/>
      <c r="OB9" s="337"/>
      <c r="OC9" s="337"/>
      <c r="OD9" s="337"/>
      <c r="OE9" s="337"/>
      <c r="OF9" s="337"/>
      <c r="OG9" s="337"/>
      <c r="OH9" s="337"/>
      <c r="OI9" s="337"/>
      <c r="OJ9" s="337"/>
      <c r="OK9" s="337"/>
      <c r="OL9" s="337"/>
      <c r="OM9" s="337"/>
      <c r="ON9" s="337"/>
      <c r="OO9" s="337"/>
      <c r="OP9" s="337"/>
      <c r="OQ9" s="337"/>
      <c r="OR9" s="337"/>
      <c r="OS9" s="337"/>
      <c r="OT9" s="337"/>
      <c r="OU9" s="337"/>
      <c r="OV9" s="337"/>
      <c r="OW9" s="337"/>
      <c r="OX9" s="337"/>
      <c r="OY9" s="337"/>
      <c r="OZ9" s="337"/>
      <c r="PA9" s="337"/>
      <c r="PB9" s="337"/>
      <c r="PC9" s="337"/>
      <c r="PD9" s="337"/>
      <c r="PE9" s="337"/>
      <c r="PF9" s="337"/>
      <c r="PG9" s="337"/>
      <c r="PH9" s="337"/>
      <c r="PI9" s="337"/>
      <c r="PJ9" s="337"/>
      <c r="PK9" s="337"/>
      <c r="PL9" s="337"/>
      <c r="PM9" s="337"/>
      <c r="PN9" s="337"/>
      <c r="PO9" s="337"/>
      <c r="PP9" s="337"/>
      <c r="PQ9" s="337"/>
      <c r="PR9" s="337"/>
      <c r="PS9" s="337"/>
      <c r="PT9" s="337"/>
      <c r="PU9" s="337"/>
      <c r="PV9" s="337"/>
      <c r="PW9" s="337"/>
      <c r="PX9" s="337"/>
      <c r="PY9" s="337"/>
      <c r="PZ9" s="337"/>
      <c r="QA9" s="337"/>
      <c r="QB9" s="337"/>
      <c r="QC9" s="337"/>
      <c r="QD9" s="337"/>
      <c r="QE9" s="337"/>
      <c r="QF9" s="337"/>
      <c r="QG9" s="337"/>
      <c r="QH9" s="337"/>
      <c r="QI9" s="337"/>
      <c r="QJ9" s="337"/>
      <c r="QK9" s="337"/>
      <c r="QL9" s="337"/>
      <c r="QM9" s="337"/>
      <c r="QN9" s="337"/>
      <c r="QO9" s="337"/>
      <c r="QP9" s="338"/>
      <c r="QQ9" s="12"/>
      <c r="QR9" s="10"/>
      <c r="QS9" s="13"/>
      <c r="QT9" s="13"/>
      <c r="QU9" s="13"/>
      <c r="QV9" s="13"/>
      <c r="QW9" s="14"/>
      <c r="RK9" s="13"/>
      <c r="RL9" s="13"/>
      <c r="RM9" s="13"/>
      <c r="RN9" s="13"/>
      <c r="RO9" s="13"/>
      <c r="RP9" s="14"/>
    </row>
    <row r="10" spans="3:484" s="5" customFormat="1" ht="9.6" customHeight="1" x14ac:dyDescent="0.3">
      <c r="C10" s="6"/>
      <c r="D10" s="11"/>
      <c r="E10" s="336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8"/>
      <c r="QQ10" s="12"/>
      <c r="QR10" s="10"/>
      <c r="QS10" s="13"/>
      <c r="QT10" s="13"/>
      <c r="QU10" s="13"/>
      <c r="QV10" s="13"/>
      <c r="QW10" s="14"/>
      <c r="RK10" s="13"/>
      <c r="RL10" s="13"/>
      <c r="RM10" s="13"/>
      <c r="RN10" s="13"/>
      <c r="RO10" s="13"/>
      <c r="RP10" s="14"/>
    </row>
    <row r="11" spans="3:484" s="5" customFormat="1" ht="9.6" customHeight="1" x14ac:dyDescent="0.3">
      <c r="C11" s="6"/>
      <c r="D11" s="11"/>
      <c r="E11" s="336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337"/>
      <c r="AK11" s="337"/>
      <c r="AL11" s="337"/>
      <c r="AM11" s="337"/>
      <c r="AN11" s="337"/>
      <c r="AO11" s="337"/>
      <c r="AP11" s="337"/>
      <c r="AQ11" s="337"/>
      <c r="AR11" s="337"/>
      <c r="AS11" s="337"/>
      <c r="AT11" s="337"/>
      <c r="AU11" s="337"/>
      <c r="AV11" s="337"/>
      <c r="AW11" s="337"/>
      <c r="AX11" s="337"/>
      <c r="AY11" s="337"/>
      <c r="AZ11" s="337"/>
      <c r="BA11" s="337"/>
      <c r="BB11" s="337"/>
      <c r="BC11" s="337"/>
      <c r="BD11" s="337"/>
      <c r="BE11" s="337"/>
      <c r="BF11" s="337"/>
      <c r="BG11" s="337"/>
      <c r="BH11" s="337"/>
      <c r="BI11" s="337"/>
      <c r="BJ11" s="337"/>
      <c r="BK11" s="337"/>
      <c r="BL11" s="337"/>
      <c r="BM11" s="337"/>
      <c r="BN11" s="337"/>
      <c r="BO11" s="337"/>
      <c r="BP11" s="337"/>
      <c r="BQ11" s="337"/>
      <c r="BR11" s="337"/>
      <c r="BS11" s="337"/>
      <c r="BT11" s="337"/>
      <c r="BU11" s="337"/>
      <c r="BV11" s="337"/>
      <c r="BW11" s="337"/>
      <c r="BX11" s="337"/>
      <c r="BY11" s="337"/>
      <c r="BZ11" s="337"/>
      <c r="CA11" s="337"/>
      <c r="CB11" s="337"/>
      <c r="CC11" s="337"/>
      <c r="CD11" s="337"/>
      <c r="CE11" s="337"/>
      <c r="CF11" s="337"/>
      <c r="CG11" s="337"/>
      <c r="CH11" s="337"/>
      <c r="CI11" s="337"/>
      <c r="CJ11" s="337"/>
      <c r="CK11" s="337"/>
      <c r="CL11" s="337"/>
      <c r="CM11" s="337"/>
      <c r="CN11" s="337"/>
      <c r="CO11" s="337"/>
      <c r="CP11" s="337"/>
      <c r="CQ11" s="337"/>
      <c r="CR11" s="337"/>
      <c r="CS11" s="337"/>
      <c r="CT11" s="337"/>
      <c r="CU11" s="337"/>
      <c r="CV11" s="337"/>
      <c r="CW11" s="337"/>
      <c r="CX11" s="337"/>
      <c r="CY11" s="337"/>
      <c r="CZ11" s="337"/>
      <c r="DA11" s="337"/>
      <c r="DB11" s="337"/>
      <c r="DC11" s="337"/>
      <c r="DD11" s="337"/>
      <c r="DE11" s="337"/>
      <c r="DF11" s="337"/>
      <c r="DG11" s="337"/>
      <c r="DH11" s="337"/>
      <c r="DI11" s="337"/>
      <c r="DJ11" s="337"/>
      <c r="DK11" s="337"/>
      <c r="DL11" s="337"/>
      <c r="DM11" s="337"/>
      <c r="DN11" s="337"/>
      <c r="DO11" s="337"/>
      <c r="DP11" s="337"/>
      <c r="DQ11" s="337"/>
      <c r="DR11" s="337"/>
      <c r="DS11" s="337"/>
      <c r="DT11" s="337"/>
      <c r="DU11" s="337"/>
      <c r="DV11" s="337"/>
      <c r="DW11" s="337"/>
      <c r="DX11" s="337"/>
      <c r="DY11" s="337"/>
      <c r="DZ11" s="337"/>
      <c r="EA11" s="337"/>
      <c r="EB11" s="337"/>
      <c r="EC11" s="337"/>
      <c r="ED11" s="337"/>
      <c r="EE11" s="337"/>
      <c r="EF11" s="337"/>
      <c r="EG11" s="337"/>
      <c r="EH11" s="337"/>
      <c r="EI11" s="337"/>
      <c r="EJ11" s="337"/>
      <c r="EK11" s="337"/>
      <c r="EL11" s="337"/>
      <c r="EM11" s="337"/>
      <c r="EN11" s="337"/>
      <c r="EO11" s="337"/>
      <c r="EP11" s="337"/>
      <c r="EQ11" s="337"/>
      <c r="ER11" s="337"/>
      <c r="ES11" s="337"/>
      <c r="ET11" s="337"/>
      <c r="EU11" s="337"/>
      <c r="EV11" s="337"/>
      <c r="EW11" s="337"/>
      <c r="EX11" s="337"/>
      <c r="EY11" s="337"/>
      <c r="EZ11" s="337"/>
      <c r="FA11" s="337"/>
      <c r="FB11" s="337"/>
      <c r="FC11" s="337"/>
      <c r="FD11" s="337"/>
      <c r="FE11" s="337"/>
      <c r="FF11" s="337"/>
      <c r="FG11" s="337"/>
      <c r="FH11" s="337"/>
      <c r="FI11" s="337"/>
      <c r="FJ11" s="337"/>
      <c r="FK11" s="337"/>
      <c r="FL11" s="337"/>
      <c r="FM11" s="337"/>
      <c r="FN11" s="337"/>
      <c r="FO11" s="337"/>
      <c r="FP11" s="337"/>
      <c r="FQ11" s="337"/>
      <c r="FR11" s="337"/>
      <c r="FS11" s="337"/>
      <c r="FT11" s="337"/>
      <c r="FU11" s="337"/>
      <c r="FV11" s="337"/>
      <c r="FW11" s="337"/>
      <c r="FX11" s="337"/>
      <c r="FY11" s="337"/>
      <c r="FZ11" s="337"/>
      <c r="GA11" s="337"/>
      <c r="GB11" s="337"/>
      <c r="GC11" s="337"/>
      <c r="GD11" s="337"/>
      <c r="GE11" s="337"/>
      <c r="GF11" s="337"/>
      <c r="GG11" s="337"/>
      <c r="GH11" s="337"/>
      <c r="GI11" s="337"/>
      <c r="GJ11" s="337"/>
      <c r="GK11" s="337"/>
      <c r="GL11" s="337"/>
      <c r="GM11" s="337"/>
      <c r="GN11" s="337"/>
      <c r="GO11" s="337"/>
      <c r="GP11" s="337"/>
      <c r="GQ11" s="337"/>
      <c r="GR11" s="337"/>
      <c r="GS11" s="337"/>
      <c r="GT11" s="337"/>
      <c r="GU11" s="337"/>
      <c r="GV11" s="337"/>
      <c r="GW11" s="337"/>
      <c r="GX11" s="337"/>
      <c r="GY11" s="337"/>
      <c r="GZ11" s="337"/>
      <c r="HA11" s="337"/>
      <c r="HB11" s="337"/>
      <c r="HC11" s="337"/>
      <c r="HD11" s="337"/>
      <c r="HE11" s="337"/>
      <c r="HF11" s="337"/>
      <c r="HG11" s="337"/>
      <c r="HH11" s="337"/>
      <c r="HI11" s="337"/>
      <c r="HJ11" s="337"/>
      <c r="HK11" s="337"/>
      <c r="HL11" s="337"/>
      <c r="HM11" s="337"/>
      <c r="HN11" s="337"/>
      <c r="HO11" s="337"/>
      <c r="HP11" s="337"/>
      <c r="HQ11" s="337"/>
      <c r="HR11" s="337"/>
      <c r="HS11" s="337"/>
      <c r="HT11" s="337"/>
      <c r="HU11" s="337"/>
      <c r="HV11" s="337"/>
      <c r="HW11" s="337"/>
      <c r="HX11" s="337"/>
      <c r="HY11" s="337"/>
      <c r="HZ11" s="337"/>
      <c r="IA11" s="337"/>
      <c r="IB11" s="337"/>
      <c r="IC11" s="337"/>
      <c r="ID11" s="337"/>
      <c r="IE11" s="337"/>
      <c r="IF11" s="337"/>
      <c r="IG11" s="337"/>
      <c r="IH11" s="337"/>
      <c r="II11" s="337"/>
      <c r="IJ11" s="337"/>
      <c r="IK11" s="337"/>
      <c r="IL11" s="337"/>
      <c r="IM11" s="337"/>
      <c r="IN11" s="337"/>
      <c r="IO11" s="337"/>
      <c r="IP11" s="337"/>
      <c r="IQ11" s="337"/>
      <c r="IR11" s="337"/>
      <c r="IS11" s="337"/>
      <c r="IT11" s="337"/>
      <c r="IU11" s="337"/>
      <c r="IV11" s="337"/>
      <c r="IW11" s="337"/>
      <c r="IX11" s="337"/>
      <c r="IY11" s="337"/>
      <c r="IZ11" s="337"/>
      <c r="JA11" s="337"/>
      <c r="JB11" s="337"/>
      <c r="JC11" s="337"/>
      <c r="JD11" s="337"/>
      <c r="JE11" s="337"/>
      <c r="JF11" s="337"/>
      <c r="JG11" s="337"/>
      <c r="JH11" s="337"/>
      <c r="JI11" s="337"/>
      <c r="JJ11" s="337"/>
      <c r="JK11" s="337"/>
      <c r="JL11" s="337"/>
      <c r="JM11" s="337"/>
      <c r="JN11" s="337"/>
      <c r="JO11" s="337"/>
      <c r="JP11" s="337"/>
      <c r="JQ11" s="337"/>
      <c r="JR11" s="337"/>
      <c r="JS11" s="337"/>
      <c r="JT11" s="337"/>
      <c r="JU11" s="337"/>
      <c r="JV11" s="337"/>
      <c r="JW11" s="337"/>
      <c r="JX11" s="337"/>
      <c r="JY11" s="337"/>
      <c r="JZ11" s="337"/>
      <c r="KA11" s="337"/>
      <c r="KB11" s="337"/>
      <c r="KC11" s="337"/>
      <c r="KD11" s="337"/>
      <c r="KE11" s="337"/>
      <c r="KF11" s="337"/>
      <c r="KG11" s="337"/>
      <c r="KH11" s="337"/>
      <c r="KI11" s="337"/>
      <c r="KJ11" s="337"/>
      <c r="KK11" s="337"/>
      <c r="KL11" s="337"/>
      <c r="KM11" s="337"/>
      <c r="KN11" s="337"/>
      <c r="KO11" s="337"/>
      <c r="KP11" s="337"/>
      <c r="KQ11" s="337"/>
      <c r="KR11" s="337"/>
      <c r="KS11" s="337"/>
      <c r="KT11" s="337"/>
      <c r="KU11" s="337"/>
      <c r="KV11" s="337"/>
      <c r="KW11" s="337"/>
      <c r="KX11" s="337"/>
      <c r="KY11" s="337"/>
      <c r="KZ11" s="337"/>
      <c r="LA11" s="337"/>
      <c r="LB11" s="337"/>
      <c r="LC11" s="337"/>
      <c r="LD11" s="337"/>
      <c r="LE11" s="337"/>
      <c r="LF11" s="337"/>
      <c r="LG11" s="337"/>
      <c r="LH11" s="337"/>
      <c r="LI11" s="337"/>
      <c r="LJ11" s="337"/>
      <c r="LK11" s="337"/>
      <c r="LL11" s="337"/>
      <c r="LM11" s="337"/>
      <c r="LN11" s="337"/>
      <c r="LO11" s="337"/>
      <c r="LP11" s="337"/>
      <c r="LQ11" s="337"/>
      <c r="LR11" s="337"/>
      <c r="LS11" s="337"/>
      <c r="LT11" s="337"/>
      <c r="LU11" s="337"/>
      <c r="LV11" s="337"/>
      <c r="LW11" s="337"/>
      <c r="LX11" s="337"/>
      <c r="LY11" s="337"/>
      <c r="LZ11" s="337"/>
      <c r="MA11" s="337"/>
      <c r="MB11" s="337"/>
      <c r="MC11" s="337"/>
      <c r="MD11" s="337"/>
      <c r="ME11" s="337"/>
      <c r="MF11" s="337"/>
      <c r="MG11" s="337"/>
      <c r="MH11" s="337"/>
      <c r="MI11" s="337"/>
      <c r="MJ11" s="337"/>
      <c r="MK11" s="337"/>
      <c r="ML11" s="337"/>
      <c r="MM11" s="337"/>
      <c r="MN11" s="337"/>
      <c r="MO11" s="337"/>
      <c r="MP11" s="337"/>
      <c r="MQ11" s="337"/>
      <c r="MR11" s="337"/>
      <c r="MS11" s="337"/>
      <c r="MT11" s="337"/>
      <c r="MU11" s="337"/>
      <c r="MV11" s="337"/>
      <c r="MW11" s="337"/>
      <c r="MX11" s="337"/>
      <c r="MY11" s="337"/>
      <c r="MZ11" s="337"/>
      <c r="NA11" s="337"/>
      <c r="NB11" s="337"/>
      <c r="NC11" s="337"/>
      <c r="ND11" s="337"/>
      <c r="NE11" s="337"/>
      <c r="NF11" s="337"/>
      <c r="NG11" s="337"/>
      <c r="NH11" s="337"/>
      <c r="NI11" s="337"/>
      <c r="NJ11" s="337"/>
      <c r="NK11" s="337"/>
      <c r="NL11" s="337"/>
      <c r="NM11" s="337"/>
      <c r="NN11" s="337"/>
      <c r="NO11" s="337"/>
      <c r="NP11" s="337"/>
      <c r="NQ11" s="337"/>
      <c r="NR11" s="337"/>
      <c r="NS11" s="337"/>
      <c r="NT11" s="337"/>
      <c r="NU11" s="337"/>
      <c r="NV11" s="337"/>
      <c r="NW11" s="337"/>
      <c r="NX11" s="337"/>
      <c r="NY11" s="337"/>
      <c r="NZ11" s="337"/>
      <c r="OA11" s="337"/>
      <c r="OB11" s="337"/>
      <c r="OC11" s="337"/>
      <c r="OD11" s="337"/>
      <c r="OE11" s="337"/>
      <c r="OF11" s="337"/>
      <c r="OG11" s="337"/>
      <c r="OH11" s="337"/>
      <c r="OI11" s="337"/>
      <c r="OJ11" s="337"/>
      <c r="OK11" s="337"/>
      <c r="OL11" s="337"/>
      <c r="OM11" s="337"/>
      <c r="ON11" s="337"/>
      <c r="OO11" s="337"/>
      <c r="OP11" s="337"/>
      <c r="OQ11" s="337"/>
      <c r="OR11" s="337"/>
      <c r="OS11" s="337"/>
      <c r="OT11" s="337"/>
      <c r="OU11" s="337"/>
      <c r="OV11" s="337"/>
      <c r="OW11" s="337"/>
      <c r="OX11" s="337"/>
      <c r="OY11" s="337"/>
      <c r="OZ11" s="337"/>
      <c r="PA11" s="337"/>
      <c r="PB11" s="337"/>
      <c r="PC11" s="337"/>
      <c r="PD11" s="337"/>
      <c r="PE11" s="337"/>
      <c r="PF11" s="337"/>
      <c r="PG11" s="337"/>
      <c r="PH11" s="337"/>
      <c r="PI11" s="337"/>
      <c r="PJ11" s="337"/>
      <c r="PK11" s="337"/>
      <c r="PL11" s="337"/>
      <c r="PM11" s="337"/>
      <c r="PN11" s="337"/>
      <c r="PO11" s="337"/>
      <c r="PP11" s="337"/>
      <c r="PQ11" s="337"/>
      <c r="PR11" s="337"/>
      <c r="PS11" s="337"/>
      <c r="PT11" s="337"/>
      <c r="PU11" s="337"/>
      <c r="PV11" s="337"/>
      <c r="PW11" s="337"/>
      <c r="PX11" s="337"/>
      <c r="PY11" s="337"/>
      <c r="PZ11" s="337"/>
      <c r="QA11" s="337"/>
      <c r="QB11" s="337"/>
      <c r="QC11" s="337"/>
      <c r="QD11" s="337"/>
      <c r="QE11" s="337"/>
      <c r="QF11" s="337"/>
      <c r="QG11" s="337"/>
      <c r="QH11" s="337"/>
      <c r="QI11" s="337"/>
      <c r="QJ11" s="337"/>
      <c r="QK11" s="337"/>
      <c r="QL11" s="337"/>
      <c r="QM11" s="337"/>
      <c r="QN11" s="337"/>
      <c r="QO11" s="337"/>
      <c r="QP11" s="338"/>
      <c r="QQ11" s="12"/>
      <c r="QR11" s="10"/>
    </row>
    <row r="12" spans="3:484" s="5" customFormat="1" ht="9.6" customHeight="1" x14ac:dyDescent="0.3">
      <c r="C12" s="6"/>
      <c r="D12" s="11"/>
      <c r="E12" s="336" t="s">
        <v>2</v>
      </c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337"/>
      <c r="AK12" s="337"/>
      <c r="AL12" s="337"/>
      <c r="AM12" s="337"/>
      <c r="AN12" s="337"/>
      <c r="AO12" s="337"/>
      <c r="AP12" s="337"/>
      <c r="AQ12" s="337"/>
      <c r="AR12" s="337"/>
      <c r="AS12" s="337"/>
      <c r="AT12" s="337"/>
      <c r="AU12" s="337"/>
      <c r="AV12" s="337"/>
      <c r="AW12" s="337"/>
      <c r="AX12" s="337"/>
      <c r="AY12" s="337"/>
      <c r="AZ12" s="337"/>
      <c r="BA12" s="337"/>
      <c r="BB12" s="337"/>
      <c r="BC12" s="337"/>
      <c r="BD12" s="337"/>
      <c r="BE12" s="337"/>
      <c r="BF12" s="337"/>
      <c r="BG12" s="337"/>
      <c r="BH12" s="337"/>
      <c r="BI12" s="337"/>
      <c r="BJ12" s="337"/>
      <c r="BK12" s="337"/>
      <c r="BL12" s="337"/>
      <c r="BM12" s="337"/>
      <c r="BN12" s="337"/>
      <c r="BO12" s="337"/>
      <c r="BP12" s="337"/>
      <c r="BQ12" s="337"/>
      <c r="BR12" s="337"/>
      <c r="BS12" s="337"/>
      <c r="BT12" s="337"/>
      <c r="BU12" s="337"/>
      <c r="BV12" s="337"/>
      <c r="BW12" s="337"/>
      <c r="BX12" s="337"/>
      <c r="BY12" s="337"/>
      <c r="BZ12" s="337"/>
      <c r="CA12" s="337"/>
      <c r="CB12" s="337"/>
      <c r="CC12" s="337"/>
      <c r="CD12" s="337"/>
      <c r="CE12" s="337"/>
      <c r="CF12" s="337"/>
      <c r="CG12" s="337"/>
      <c r="CH12" s="337"/>
      <c r="CI12" s="337"/>
      <c r="CJ12" s="337"/>
      <c r="CK12" s="337"/>
      <c r="CL12" s="337"/>
      <c r="CM12" s="337"/>
      <c r="CN12" s="337"/>
      <c r="CO12" s="337"/>
      <c r="CP12" s="337"/>
      <c r="CQ12" s="337"/>
      <c r="CR12" s="337"/>
      <c r="CS12" s="337"/>
      <c r="CT12" s="337"/>
      <c r="CU12" s="337"/>
      <c r="CV12" s="337"/>
      <c r="CW12" s="337"/>
      <c r="CX12" s="337"/>
      <c r="CY12" s="337"/>
      <c r="CZ12" s="337"/>
      <c r="DA12" s="337"/>
      <c r="DB12" s="337"/>
      <c r="DC12" s="337"/>
      <c r="DD12" s="337"/>
      <c r="DE12" s="337"/>
      <c r="DF12" s="337"/>
      <c r="DG12" s="337"/>
      <c r="DH12" s="337"/>
      <c r="DI12" s="337"/>
      <c r="DJ12" s="337"/>
      <c r="DK12" s="337"/>
      <c r="DL12" s="337"/>
      <c r="DM12" s="337"/>
      <c r="DN12" s="337"/>
      <c r="DO12" s="337"/>
      <c r="DP12" s="337"/>
      <c r="DQ12" s="337"/>
      <c r="DR12" s="337"/>
      <c r="DS12" s="337"/>
      <c r="DT12" s="337"/>
      <c r="DU12" s="337"/>
      <c r="DV12" s="337"/>
      <c r="DW12" s="337"/>
      <c r="DX12" s="337"/>
      <c r="DY12" s="337"/>
      <c r="DZ12" s="337"/>
      <c r="EA12" s="337"/>
      <c r="EB12" s="337"/>
      <c r="EC12" s="337"/>
      <c r="ED12" s="337"/>
      <c r="EE12" s="337"/>
      <c r="EF12" s="337"/>
      <c r="EG12" s="337"/>
      <c r="EH12" s="337"/>
      <c r="EI12" s="337"/>
      <c r="EJ12" s="337"/>
      <c r="EK12" s="337"/>
      <c r="EL12" s="337"/>
      <c r="EM12" s="337"/>
      <c r="EN12" s="337"/>
      <c r="EO12" s="337"/>
      <c r="EP12" s="337"/>
      <c r="EQ12" s="337"/>
      <c r="ER12" s="337"/>
      <c r="ES12" s="337"/>
      <c r="ET12" s="337"/>
      <c r="EU12" s="337"/>
      <c r="EV12" s="337"/>
      <c r="EW12" s="337"/>
      <c r="EX12" s="337"/>
      <c r="EY12" s="337"/>
      <c r="EZ12" s="337"/>
      <c r="FA12" s="337"/>
      <c r="FB12" s="337"/>
      <c r="FC12" s="337"/>
      <c r="FD12" s="337"/>
      <c r="FE12" s="337"/>
      <c r="FF12" s="337"/>
      <c r="FG12" s="337"/>
      <c r="FH12" s="337"/>
      <c r="FI12" s="337"/>
      <c r="FJ12" s="337"/>
      <c r="FK12" s="337"/>
      <c r="FL12" s="337"/>
      <c r="FM12" s="337"/>
      <c r="FN12" s="337"/>
      <c r="FO12" s="337"/>
      <c r="FP12" s="337"/>
      <c r="FQ12" s="337"/>
      <c r="FR12" s="337"/>
      <c r="FS12" s="337"/>
      <c r="FT12" s="337"/>
      <c r="FU12" s="337"/>
      <c r="FV12" s="337"/>
      <c r="FW12" s="337"/>
      <c r="FX12" s="337"/>
      <c r="FY12" s="337"/>
      <c r="FZ12" s="337"/>
      <c r="GA12" s="337"/>
      <c r="GB12" s="337"/>
      <c r="GC12" s="337"/>
      <c r="GD12" s="337"/>
      <c r="GE12" s="337"/>
      <c r="GF12" s="337"/>
      <c r="GG12" s="337"/>
      <c r="GH12" s="337"/>
      <c r="GI12" s="337"/>
      <c r="GJ12" s="337"/>
      <c r="GK12" s="337"/>
      <c r="GL12" s="337"/>
      <c r="GM12" s="337"/>
      <c r="GN12" s="337"/>
      <c r="GO12" s="337"/>
      <c r="GP12" s="337"/>
      <c r="GQ12" s="337"/>
      <c r="GR12" s="337"/>
      <c r="GS12" s="337"/>
      <c r="GT12" s="337"/>
      <c r="GU12" s="337"/>
      <c r="GV12" s="337"/>
      <c r="GW12" s="337"/>
      <c r="GX12" s="337"/>
      <c r="GY12" s="337"/>
      <c r="GZ12" s="337"/>
      <c r="HA12" s="337"/>
      <c r="HB12" s="337"/>
      <c r="HC12" s="337"/>
      <c r="HD12" s="337"/>
      <c r="HE12" s="337"/>
      <c r="HF12" s="337"/>
      <c r="HG12" s="337"/>
      <c r="HH12" s="337"/>
      <c r="HI12" s="337"/>
      <c r="HJ12" s="337"/>
      <c r="HK12" s="337"/>
      <c r="HL12" s="337"/>
      <c r="HM12" s="337"/>
      <c r="HN12" s="337"/>
      <c r="HO12" s="337"/>
      <c r="HP12" s="337"/>
      <c r="HQ12" s="337"/>
      <c r="HR12" s="337"/>
      <c r="HS12" s="337"/>
      <c r="HT12" s="337"/>
      <c r="HU12" s="337"/>
      <c r="HV12" s="337"/>
      <c r="HW12" s="337"/>
      <c r="HX12" s="337"/>
      <c r="HY12" s="337"/>
      <c r="HZ12" s="337"/>
      <c r="IA12" s="337"/>
      <c r="IB12" s="337"/>
      <c r="IC12" s="337"/>
      <c r="ID12" s="337"/>
      <c r="IE12" s="337"/>
      <c r="IF12" s="337"/>
      <c r="IG12" s="337"/>
      <c r="IH12" s="337"/>
      <c r="II12" s="337"/>
      <c r="IJ12" s="337"/>
      <c r="IK12" s="337"/>
      <c r="IL12" s="337"/>
      <c r="IM12" s="337"/>
      <c r="IN12" s="337"/>
      <c r="IO12" s="337"/>
      <c r="IP12" s="337"/>
      <c r="IQ12" s="337"/>
      <c r="IR12" s="337"/>
      <c r="IS12" s="337"/>
      <c r="IT12" s="337"/>
      <c r="IU12" s="337"/>
      <c r="IV12" s="337"/>
      <c r="IW12" s="337"/>
      <c r="IX12" s="337"/>
      <c r="IY12" s="337"/>
      <c r="IZ12" s="337"/>
      <c r="JA12" s="337"/>
      <c r="JB12" s="337"/>
      <c r="JC12" s="337"/>
      <c r="JD12" s="337"/>
      <c r="JE12" s="337"/>
      <c r="JF12" s="337"/>
      <c r="JG12" s="337"/>
      <c r="JH12" s="337"/>
      <c r="JI12" s="337"/>
      <c r="JJ12" s="337"/>
      <c r="JK12" s="337"/>
      <c r="JL12" s="337"/>
      <c r="JM12" s="337"/>
      <c r="JN12" s="337"/>
      <c r="JO12" s="337"/>
      <c r="JP12" s="337"/>
      <c r="JQ12" s="337"/>
      <c r="JR12" s="337"/>
      <c r="JS12" s="337"/>
      <c r="JT12" s="337"/>
      <c r="JU12" s="337"/>
      <c r="JV12" s="337"/>
      <c r="JW12" s="337"/>
      <c r="JX12" s="337"/>
      <c r="JY12" s="337"/>
      <c r="JZ12" s="337"/>
      <c r="KA12" s="337"/>
      <c r="KB12" s="337"/>
      <c r="KC12" s="337"/>
      <c r="KD12" s="337"/>
      <c r="KE12" s="337"/>
      <c r="KF12" s="337"/>
      <c r="KG12" s="337"/>
      <c r="KH12" s="337"/>
      <c r="KI12" s="337"/>
      <c r="KJ12" s="337"/>
      <c r="KK12" s="337"/>
      <c r="KL12" s="337"/>
      <c r="KM12" s="337"/>
      <c r="KN12" s="337"/>
      <c r="KO12" s="337"/>
      <c r="KP12" s="337"/>
      <c r="KQ12" s="337"/>
      <c r="KR12" s="337"/>
      <c r="KS12" s="337"/>
      <c r="KT12" s="337"/>
      <c r="KU12" s="337"/>
      <c r="KV12" s="337"/>
      <c r="KW12" s="337"/>
      <c r="KX12" s="337"/>
      <c r="KY12" s="337"/>
      <c r="KZ12" s="337"/>
      <c r="LA12" s="337"/>
      <c r="LB12" s="337"/>
      <c r="LC12" s="337"/>
      <c r="LD12" s="337"/>
      <c r="LE12" s="337"/>
      <c r="LF12" s="337"/>
      <c r="LG12" s="337"/>
      <c r="LH12" s="337"/>
      <c r="LI12" s="337"/>
      <c r="LJ12" s="337"/>
      <c r="LK12" s="337"/>
      <c r="LL12" s="337"/>
      <c r="LM12" s="337"/>
      <c r="LN12" s="337"/>
      <c r="LO12" s="337"/>
      <c r="LP12" s="337"/>
      <c r="LQ12" s="337"/>
      <c r="LR12" s="337"/>
      <c r="LS12" s="337"/>
      <c r="LT12" s="337"/>
      <c r="LU12" s="337"/>
      <c r="LV12" s="337"/>
      <c r="LW12" s="337"/>
      <c r="LX12" s="337"/>
      <c r="LY12" s="337"/>
      <c r="LZ12" s="337"/>
      <c r="MA12" s="337"/>
      <c r="MB12" s="337"/>
      <c r="MC12" s="337"/>
      <c r="MD12" s="337"/>
      <c r="ME12" s="337"/>
      <c r="MF12" s="337"/>
      <c r="MG12" s="337"/>
      <c r="MH12" s="337"/>
      <c r="MI12" s="337"/>
      <c r="MJ12" s="337"/>
      <c r="MK12" s="337"/>
      <c r="ML12" s="337"/>
      <c r="MM12" s="337"/>
      <c r="MN12" s="337"/>
      <c r="MO12" s="337"/>
      <c r="MP12" s="337"/>
      <c r="MQ12" s="337"/>
      <c r="MR12" s="337"/>
      <c r="MS12" s="337"/>
      <c r="MT12" s="337"/>
      <c r="MU12" s="337"/>
      <c r="MV12" s="337"/>
      <c r="MW12" s="337"/>
      <c r="MX12" s="337"/>
      <c r="MY12" s="337"/>
      <c r="MZ12" s="337"/>
      <c r="NA12" s="337"/>
      <c r="NB12" s="337"/>
      <c r="NC12" s="337"/>
      <c r="ND12" s="337"/>
      <c r="NE12" s="337"/>
      <c r="NF12" s="337"/>
      <c r="NG12" s="337"/>
      <c r="NH12" s="337"/>
      <c r="NI12" s="337"/>
      <c r="NJ12" s="337"/>
      <c r="NK12" s="337"/>
      <c r="NL12" s="337"/>
      <c r="NM12" s="337"/>
      <c r="NN12" s="337"/>
      <c r="NO12" s="337"/>
      <c r="NP12" s="337"/>
      <c r="NQ12" s="337"/>
      <c r="NR12" s="337"/>
      <c r="NS12" s="337"/>
      <c r="NT12" s="337"/>
      <c r="NU12" s="337"/>
      <c r="NV12" s="337"/>
      <c r="NW12" s="337"/>
      <c r="NX12" s="337"/>
      <c r="NY12" s="337"/>
      <c r="NZ12" s="337"/>
      <c r="OA12" s="337"/>
      <c r="OB12" s="337"/>
      <c r="OC12" s="337"/>
      <c r="OD12" s="337"/>
      <c r="OE12" s="337"/>
      <c r="OF12" s="337"/>
      <c r="OG12" s="337"/>
      <c r="OH12" s="337"/>
      <c r="OI12" s="337"/>
      <c r="OJ12" s="337"/>
      <c r="OK12" s="337"/>
      <c r="OL12" s="337"/>
      <c r="OM12" s="337"/>
      <c r="ON12" s="337"/>
      <c r="OO12" s="337"/>
      <c r="OP12" s="337"/>
      <c r="OQ12" s="337"/>
      <c r="OR12" s="337"/>
      <c r="OS12" s="337"/>
      <c r="OT12" s="337"/>
      <c r="OU12" s="337"/>
      <c r="OV12" s="337"/>
      <c r="OW12" s="337"/>
      <c r="OX12" s="337"/>
      <c r="OY12" s="337"/>
      <c r="OZ12" s="337"/>
      <c r="PA12" s="337"/>
      <c r="PB12" s="337"/>
      <c r="PC12" s="337"/>
      <c r="PD12" s="337"/>
      <c r="PE12" s="337"/>
      <c r="PF12" s="337"/>
      <c r="PG12" s="337"/>
      <c r="PH12" s="337"/>
      <c r="PI12" s="337"/>
      <c r="PJ12" s="337"/>
      <c r="PK12" s="337"/>
      <c r="PL12" s="337"/>
      <c r="PM12" s="337"/>
      <c r="PN12" s="337"/>
      <c r="PO12" s="337"/>
      <c r="PP12" s="337"/>
      <c r="PQ12" s="337"/>
      <c r="PR12" s="337"/>
      <c r="PS12" s="337"/>
      <c r="PT12" s="337"/>
      <c r="PU12" s="337"/>
      <c r="PV12" s="337"/>
      <c r="PW12" s="337"/>
      <c r="PX12" s="337"/>
      <c r="PY12" s="337"/>
      <c r="PZ12" s="337"/>
      <c r="QA12" s="337"/>
      <c r="QB12" s="337"/>
      <c r="QC12" s="337"/>
      <c r="QD12" s="337"/>
      <c r="QE12" s="337"/>
      <c r="QF12" s="337"/>
      <c r="QG12" s="337"/>
      <c r="QH12" s="337"/>
      <c r="QI12" s="337"/>
      <c r="QJ12" s="337"/>
      <c r="QK12" s="337"/>
      <c r="QL12" s="337"/>
      <c r="QM12" s="337"/>
      <c r="QN12" s="337"/>
      <c r="QO12" s="337"/>
      <c r="QP12" s="338"/>
      <c r="QQ12" s="12"/>
      <c r="QR12" s="10"/>
    </row>
    <row r="13" spans="3:484" s="5" customFormat="1" ht="9.6" customHeight="1" x14ac:dyDescent="0.3">
      <c r="C13" s="6"/>
      <c r="D13" s="11"/>
      <c r="E13" s="336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337"/>
      <c r="AK13" s="337"/>
      <c r="AL13" s="337"/>
      <c r="AM13" s="337"/>
      <c r="AN13" s="337"/>
      <c r="AO13" s="337"/>
      <c r="AP13" s="337"/>
      <c r="AQ13" s="337"/>
      <c r="AR13" s="337"/>
      <c r="AS13" s="337"/>
      <c r="AT13" s="337"/>
      <c r="AU13" s="337"/>
      <c r="AV13" s="337"/>
      <c r="AW13" s="337"/>
      <c r="AX13" s="337"/>
      <c r="AY13" s="337"/>
      <c r="AZ13" s="337"/>
      <c r="BA13" s="337"/>
      <c r="BB13" s="337"/>
      <c r="BC13" s="337"/>
      <c r="BD13" s="337"/>
      <c r="BE13" s="337"/>
      <c r="BF13" s="337"/>
      <c r="BG13" s="337"/>
      <c r="BH13" s="337"/>
      <c r="BI13" s="337"/>
      <c r="BJ13" s="337"/>
      <c r="BK13" s="337"/>
      <c r="BL13" s="337"/>
      <c r="BM13" s="337"/>
      <c r="BN13" s="337"/>
      <c r="BO13" s="337"/>
      <c r="BP13" s="337"/>
      <c r="BQ13" s="337"/>
      <c r="BR13" s="337"/>
      <c r="BS13" s="337"/>
      <c r="BT13" s="337"/>
      <c r="BU13" s="337"/>
      <c r="BV13" s="337"/>
      <c r="BW13" s="337"/>
      <c r="BX13" s="337"/>
      <c r="BY13" s="337"/>
      <c r="BZ13" s="337"/>
      <c r="CA13" s="337"/>
      <c r="CB13" s="337"/>
      <c r="CC13" s="337"/>
      <c r="CD13" s="337"/>
      <c r="CE13" s="337"/>
      <c r="CF13" s="337"/>
      <c r="CG13" s="337"/>
      <c r="CH13" s="337"/>
      <c r="CI13" s="337"/>
      <c r="CJ13" s="337"/>
      <c r="CK13" s="337"/>
      <c r="CL13" s="337"/>
      <c r="CM13" s="337"/>
      <c r="CN13" s="337"/>
      <c r="CO13" s="337"/>
      <c r="CP13" s="337"/>
      <c r="CQ13" s="337"/>
      <c r="CR13" s="337"/>
      <c r="CS13" s="337"/>
      <c r="CT13" s="337"/>
      <c r="CU13" s="337"/>
      <c r="CV13" s="337"/>
      <c r="CW13" s="337"/>
      <c r="CX13" s="337"/>
      <c r="CY13" s="337"/>
      <c r="CZ13" s="337"/>
      <c r="DA13" s="337"/>
      <c r="DB13" s="337"/>
      <c r="DC13" s="337"/>
      <c r="DD13" s="337"/>
      <c r="DE13" s="337"/>
      <c r="DF13" s="337"/>
      <c r="DG13" s="337"/>
      <c r="DH13" s="337"/>
      <c r="DI13" s="337"/>
      <c r="DJ13" s="337"/>
      <c r="DK13" s="337"/>
      <c r="DL13" s="337"/>
      <c r="DM13" s="337"/>
      <c r="DN13" s="337"/>
      <c r="DO13" s="337"/>
      <c r="DP13" s="337"/>
      <c r="DQ13" s="337"/>
      <c r="DR13" s="337"/>
      <c r="DS13" s="337"/>
      <c r="DT13" s="337"/>
      <c r="DU13" s="337"/>
      <c r="DV13" s="337"/>
      <c r="DW13" s="337"/>
      <c r="DX13" s="337"/>
      <c r="DY13" s="337"/>
      <c r="DZ13" s="337"/>
      <c r="EA13" s="337"/>
      <c r="EB13" s="337"/>
      <c r="EC13" s="337"/>
      <c r="ED13" s="337"/>
      <c r="EE13" s="337"/>
      <c r="EF13" s="337"/>
      <c r="EG13" s="337"/>
      <c r="EH13" s="337"/>
      <c r="EI13" s="337"/>
      <c r="EJ13" s="337"/>
      <c r="EK13" s="337"/>
      <c r="EL13" s="337"/>
      <c r="EM13" s="337"/>
      <c r="EN13" s="337"/>
      <c r="EO13" s="337"/>
      <c r="EP13" s="337"/>
      <c r="EQ13" s="337"/>
      <c r="ER13" s="337"/>
      <c r="ES13" s="337"/>
      <c r="ET13" s="337"/>
      <c r="EU13" s="337"/>
      <c r="EV13" s="337"/>
      <c r="EW13" s="337"/>
      <c r="EX13" s="337"/>
      <c r="EY13" s="337"/>
      <c r="EZ13" s="337"/>
      <c r="FA13" s="337"/>
      <c r="FB13" s="337"/>
      <c r="FC13" s="337"/>
      <c r="FD13" s="337"/>
      <c r="FE13" s="337"/>
      <c r="FF13" s="337"/>
      <c r="FG13" s="337"/>
      <c r="FH13" s="337"/>
      <c r="FI13" s="337"/>
      <c r="FJ13" s="337"/>
      <c r="FK13" s="337"/>
      <c r="FL13" s="337"/>
      <c r="FM13" s="337"/>
      <c r="FN13" s="337"/>
      <c r="FO13" s="337"/>
      <c r="FP13" s="337"/>
      <c r="FQ13" s="337"/>
      <c r="FR13" s="337"/>
      <c r="FS13" s="337"/>
      <c r="FT13" s="337"/>
      <c r="FU13" s="337"/>
      <c r="FV13" s="337"/>
      <c r="FW13" s="337"/>
      <c r="FX13" s="337"/>
      <c r="FY13" s="337"/>
      <c r="FZ13" s="337"/>
      <c r="GA13" s="337"/>
      <c r="GB13" s="337"/>
      <c r="GC13" s="337"/>
      <c r="GD13" s="337"/>
      <c r="GE13" s="337"/>
      <c r="GF13" s="337"/>
      <c r="GG13" s="337"/>
      <c r="GH13" s="337"/>
      <c r="GI13" s="337"/>
      <c r="GJ13" s="337"/>
      <c r="GK13" s="337"/>
      <c r="GL13" s="337"/>
      <c r="GM13" s="337"/>
      <c r="GN13" s="337"/>
      <c r="GO13" s="337"/>
      <c r="GP13" s="337"/>
      <c r="GQ13" s="337"/>
      <c r="GR13" s="337"/>
      <c r="GS13" s="337"/>
      <c r="GT13" s="337"/>
      <c r="GU13" s="337"/>
      <c r="GV13" s="337"/>
      <c r="GW13" s="337"/>
      <c r="GX13" s="337"/>
      <c r="GY13" s="337"/>
      <c r="GZ13" s="337"/>
      <c r="HA13" s="337"/>
      <c r="HB13" s="337"/>
      <c r="HC13" s="337"/>
      <c r="HD13" s="337"/>
      <c r="HE13" s="337"/>
      <c r="HF13" s="337"/>
      <c r="HG13" s="337"/>
      <c r="HH13" s="337"/>
      <c r="HI13" s="337"/>
      <c r="HJ13" s="337"/>
      <c r="HK13" s="337"/>
      <c r="HL13" s="337"/>
      <c r="HM13" s="337"/>
      <c r="HN13" s="337"/>
      <c r="HO13" s="337"/>
      <c r="HP13" s="337"/>
      <c r="HQ13" s="337"/>
      <c r="HR13" s="337"/>
      <c r="HS13" s="337"/>
      <c r="HT13" s="337"/>
      <c r="HU13" s="337"/>
      <c r="HV13" s="337"/>
      <c r="HW13" s="337"/>
      <c r="HX13" s="337"/>
      <c r="HY13" s="337"/>
      <c r="HZ13" s="337"/>
      <c r="IA13" s="337"/>
      <c r="IB13" s="337"/>
      <c r="IC13" s="337"/>
      <c r="ID13" s="337"/>
      <c r="IE13" s="337"/>
      <c r="IF13" s="337"/>
      <c r="IG13" s="337"/>
      <c r="IH13" s="337"/>
      <c r="II13" s="337"/>
      <c r="IJ13" s="337"/>
      <c r="IK13" s="337"/>
      <c r="IL13" s="337"/>
      <c r="IM13" s="337"/>
      <c r="IN13" s="337"/>
      <c r="IO13" s="337"/>
      <c r="IP13" s="337"/>
      <c r="IQ13" s="337"/>
      <c r="IR13" s="337"/>
      <c r="IS13" s="337"/>
      <c r="IT13" s="337"/>
      <c r="IU13" s="337"/>
      <c r="IV13" s="337"/>
      <c r="IW13" s="337"/>
      <c r="IX13" s="337"/>
      <c r="IY13" s="337"/>
      <c r="IZ13" s="337"/>
      <c r="JA13" s="337"/>
      <c r="JB13" s="337"/>
      <c r="JC13" s="337"/>
      <c r="JD13" s="337"/>
      <c r="JE13" s="337"/>
      <c r="JF13" s="337"/>
      <c r="JG13" s="337"/>
      <c r="JH13" s="337"/>
      <c r="JI13" s="337"/>
      <c r="JJ13" s="337"/>
      <c r="JK13" s="337"/>
      <c r="JL13" s="337"/>
      <c r="JM13" s="337"/>
      <c r="JN13" s="337"/>
      <c r="JO13" s="337"/>
      <c r="JP13" s="337"/>
      <c r="JQ13" s="337"/>
      <c r="JR13" s="337"/>
      <c r="JS13" s="337"/>
      <c r="JT13" s="337"/>
      <c r="JU13" s="337"/>
      <c r="JV13" s="337"/>
      <c r="JW13" s="337"/>
      <c r="JX13" s="337"/>
      <c r="JY13" s="337"/>
      <c r="JZ13" s="337"/>
      <c r="KA13" s="337"/>
      <c r="KB13" s="337"/>
      <c r="KC13" s="337"/>
      <c r="KD13" s="337"/>
      <c r="KE13" s="337"/>
      <c r="KF13" s="337"/>
      <c r="KG13" s="337"/>
      <c r="KH13" s="337"/>
      <c r="KI13" s="337"/>
      <c r="KJ13" s="337"/>
      <c r="KK13" s="337"/>
      <c r="KL13" s="337"/>
      <c r="KM13" s="337"/>
      <c r="KN13" s="337"/>
      <c r="KO13" s="337"/>
      <c r="KP13" s="337"/>
      <c r="KQ13" s="337"/>
      <c r="KR13" s="337"/>
      <c r="KS13" s="337"/>
      <c r="KT13" s="337"/>
      <c r="KU13" s="337"/>
      <c r="KV13" s="337"/>
      <c r="KW13" s="337"/>
      <c r="KX13" s="337"/>
      <c r="KY13" s="337"/>
      <c r="KZ13" s="337"/>
      <c r="LA13" s="337"/>
      <c r="LB13" s="337"/>
      <c r="LC13" s="337"/>
      <c r="LD13" s="337"/>
      <c r="LE13" s="337"/>
      <c r="LF13" s="337"/>
      <c r="LG13" s="337"/>
      <c r="LH13" s="337"/>
      <c r="LI13" s="337"/>
      <c r="LJ13" s="337"/>
      <c r="LK13" s="337"/>
      <c r="LL13" s="337"/>
      <c r="LM13" s="337"/>
      <c r="LN13" s="337"/>
      <c r="LO13" s="337"/>
      <c r="LP13" s="337"/>
      <c r="LQ13" s="337"/>
      <c r="LR13" s="337"/>
      <c r="LS13" s="337"/>
      <c r="LT13" s="337"/>
      <c r="LU13" s="337"/>
      <c r="LV13" s="337"/>
      <c r="LW13" s="337"/>
      <c r="LX13" s="337"/>
      <c r="LY13" s="337"/>
      <c r="LZ13" s="337"/>
      <c r="MA13" s="337"/>
      <c r="MB13" s="337"/>
      <c r="MC13" s="337"/>
      <c r="MD13" s="337"/>
      <c r="ME13" s="337"/>
      <c r="MF13" s="337"/>
      <c r="MG13" s="337"/>
      <c r="MH13" s="337"/>
      <c r="MI13" s="337"/>
      <c r="MJ13" s="337"/>
      <c r="MK13" s="337"/>
      <c r="ML13" s="337"/>
      <c r="MM13" s="337"/>
      <c r="MN13" s="337"/>
      <c r="MO13" s="337"/>
      <c r="MP13" s="337"/>
      <c r="MQ13" s="337"/>
      <c r="MR13" s="337"/>
      <c r="MS13" s="337"/>
      <c r="MT13" s="337"/>
      <c r="MU13" s="337"/>
      <c r="MV13" s="337"/>
      <c r="MW13" s="337"/>
      <c r="MX13" s="337"/>
      <c r="MY13" s="337"/>
      <c r="MZ13" s="337"/>
      <c r="NA13" s="337"/>
      <c r="NB13" s="337"/>
      <c r="NC13" s="337"/>
      <c r="ND13" s="337"/>
      <c r="NE13" s="337"/>
      <c r="NF13" s="337"/>
      <c r="NG13" s="337"/>
      <c r="NH13" s="337"/>
      <c r="NI13" s="337"/>
      <c r="NJ13" s="337"/>
      <c r="NK13" s="337"/>
      <c r="NL13" s="337"/>
      <c r="NM13" s="337"/>
      <c r="NN13" s="337"/>
      <c r="NO13" s="337"/>
      <c r="NP13" s="337"/>
      <c r="NQ13" s="337"/>
      <c r="NR13" s="337"/>
      <c r="NS13" s="337"/>
      <c r="NT13" s="337"/>
      <c r="NU13" s="337"/>
      <c r="NV13" s="337"/>
      <c r="NW13" s="337"/>
      <c r="NX13" s="337"/>
      <c r="NY13" s="337"/>
      <c r="NZ13" s="337"/>
      <c r="OA13" s="337"/>
      <c r="OB13" s="337"/>
      <c r="OC13" s="337"/>
      <c r="OD13" s="337"/>
      <c r="OE13" s="337"/>
      <c r="OF13" s="337"/>
      <c r="OG13" s="337"/>
      <c r="OH13" s="337"/>
      <c r="OI13" s="337"/>
      <c r="OJ13" s="337"/>
      <c r="OK13" s="337"/>
      <c r="OL13" s="337"/>
      <c r="OM13" s="337"/>
      <c r="ON13" s="337"/>
      <c r="OO13" s="337"/>
      <c r="OP13" s="337"/>
      <c r="OQ13" s="337"/>
      <c r="OR13" s="337"/>
      <c r="OS13" s="337"/>
      <c r="OT13" s="337"/>
      <c r="OU13" s="337"/>
      <c r="OV13" s="337"/>
      <c r="OW13" s="337"/>
      <c r="OX13" s="337"/>
      <c r="OY13" s="337"/>
      <c r="OZ13" s="337"/>
      <c r="PA13" s="337"/>
      <c r="PB13" s="337"/>
      <c r="PC13" s="337"/>
      <c r="PD13" s="337"/>
      <c r="PE13" s="337"/>
      <c r="PF13" s="337"/>
      <c r="PG13" s="337"/>
      <c r="PH13" s="337"/>
      <c r="PI13" s="337"/>
      <c r="PJ13" s="337"/>
      <c r="PK13" s="337"/>
      <c r="PL13" s="337"/>
      <c r="PM13" s="337"/>
      <c r="PN13" s="337"/>
      <c r="PO13" s="337"/>
      <c r="PP13" s="337"/>
      <c r="PQ13" s="337"/>
      <c r="PR13" s="337"/>
      <c r="PS13" s="337"/>
      <c r="PT13" s="337"/>
      <c r="PU13" s="337"/>
      <c r="PV13" s="337"/>
      <c r="PW13" s="337"/>
      <c r="PX13" s="337"/>
      <c r="PY13" s="337"/>
      <c r="PZ13" s="337"/>
      <c r="QA13" s="337"/>
      <c r="QB13" s="337"/>
      <c r="QC13" s="337"/>
      <c r="QD13" s="337"/>
      <c r="QE13" s="337"/>
      <c r="QF13" s="337"/>
      <c r="QG13" s="337"/>
      <c r="QH13" s="337"/>
      <c r="QI13" s="337"/>
      <c r="QJ13" s="337"/>
      <c r="QK13" s="337"/>
      <c r="QL13" s="337"/>
      <c r="QM13" s="337"/>
      <c r="QN13" s="337"/>
      <c r="QO13" s="337"/>
      <c r="QP13" s="338"/>
      <c r="QQ13" s="12"/>
      <c r="QR13" s="10"/>
    </row>
    <row r="14" spans="3:484" s="5" customFormat="1" ht="9.6" customHeight="1" x14ac:dyDescent="0.3">
      <c r="C14" s="6"/>
      <c r="D14" s="11"/>
      <c r="E14" s="336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337"/>
      <c r="AK14" s="337"/>
      <c r="AL14" s="337"/>
      <c r="AM14" s="337"/>
      <c r="AN14" s="337"/>
      <c r="AO14" s="337"/>
      <c r="AP14" s="337"/>
      <c r="AQ14" s="337"/>
      <c r="AR14" s="337"/>
      <c r="AS14" s="337"/>
      <c r="AT14" s="337"/>
      <c r="AU14" s="337"/>
      <c r="AV14" s="337"/>
      <c r="AW14" s="337"/>
      <c r="AX14" s="337"/>
      <c r="AY14" s="337"/>
      <c r="AZ14" s="337"/>
      <c r="BA14" s="337"/>
      <c r="BB14" s="337"/>
      <c r="BC14" s="337"/>
      <c r="BD14" s="337"/>
      <c r="BE14" s="337"/>
      <c r="BF14" s="337"/>
      <c r="BG14" s="337"/>
      <c r="BH14" s="337"/>
      <c r="BI14" s="337"/>
      <c r="BJ14" s="337"/>
      <c r="BK14" s="337"/>
      <c r="BL14" s="337"/>
      <c r="BM14" s="337"/>
      <c r="BN14" s="337"/>
      <c r="BO14" s="337"/>
      <c r="BP14" s="337"/>
      <c r="BQ14" s="337"/>
      <c r="BR14" s="337"/>
      <c r="BS14" s="337"/>
      <c r="BT14" s="337"/>
      <c r="BU14" s="337"/>
      <c r="BV14" s="337"/>
      <c r="BW14" s="337"/>
      <c r="BX14" s="337"/>
      <c r="BY14" s="337"/>
      <c r="BZ14" s="337"/>
      <c r="CA14" s="337"/>
      <c r="CB14" s="337"/>
      <c r="CC14" s="337"/>
      <c r="CD14" s="337"/>
      <c r="CE14" s="337"/>
      <c r="CF14" s="337"/>
      <c r="CG14" s="337"/>
      <c r="CH14" s="337"/>
      <c r="CI14" s="337"/>
      <c r="CJ14" s="337"/>
      <c r="CK14" s="337"/>
      <c r="CL14" s="337"/>
      <c r="CM14" s="337"/>
      <c r="CN14" s="337"/>
      <c r="CO14" s="337"/>
      <c r="CP14" s="337"/>
      <c r="CQ14" s="337"/>
      <c r="CR14" s="337"/>
      <c r="CS14" s="337"/>
      <c r="CT14" s="337"/>
      <c r="CU14" s="337"/>
      <c r="CV14" s="337"/>
      <c r="CW14" s="337"/>
      <c r="CX14" s="337"/>
      <c r="CY14" s="337"/>
      <c r="CZ14" s="337"/>
      <c r="DA14" s="337"/>
      <c r="DB14" s="337"/>
      <c r="DC14" s="337"/>
      <c r="DD14" s="337"/>
      <c r="DE14" s="337"/>
      <c r="DF14" s="337"/>
      <c r="DG14" s="337"/>
      <c r="DH14" s="337"/>
      <c r="DI14" s="337"/>
      <c r="DJ14" s="337"/>
      <c r="DK14" s="337"/>
      <c r="DL14" s="337"/>
      <c r="DM14" s="337"/>
      <c r="DN14" s="337"/>
      <c r="DO14" s="337"/>
      <c r="DP14" s="337"/>
      <c r="DQ14" s="337"/>
      <c r="DR14" s="337"/>
      <c r="DS14" s="337"/>
      <c r="DT14" s="337"/>
      <c r="DU14" s="337"/>
      <c r="DV14" s="337"/>
      <c r="DW14" s="337"/>
      <c r="DX14" s="337"/>
      <c r="DY14" s="337"/>
      <c r="DZ14" s="337"/>
      <c r="EA14" s="337"/>
      <c r="EB14" s="337"/>
      <c r="EC14" s="337"/>
      <c r="ED14" s="337"/>
      <c r="EE14" s="337"/>
      <c r="EF14" s="337"/>
      <c r="EG14" s="337"/>
      <c r="EH14" s="337"/>
      <c r="EI14" s="337"/>
      <c r="EJ14" s="337"/>
      <c r="EK14" s="337"/>
      <c r="EL14" s="337"/>
      <c r="EM14" s="337"/>
      <c r="EN14" s="337"/>
      <c r="EO14" s="337"/>
      <c r="EP14" s="337"/>
      <c r="EQ14" s="337"/>
      <c r="ER14" s="337"/>
      <c r="ES14" s="337"/>
      <c r="ET14" s="337"/>
      <c r="EU14" s="337"/>
      <c r="EV14" s="337"/>
      <c r="EW14" s="337"/>
      <c r="EX14" s="337"/>
      <c r="EY14" s="337"/>
      <c r="EZ14" s="337"/>
      <c r="FA14" s="337"/>
      <c r="FB14" s="337"/>
      <c r="FC14" s="337"/>
      <c r="FD14" s="337"/>
      <c r="FE14" s="337"/>
      <c r="FF14" s="337"/>
      <c r="FG14" s="337"/>
      <c r="FH14" s="337"/>
      <c r="FI14" s="337"/>
      <c r="FJ14" s="337"/>
      <c r="FK14" s="337"/>
      <c r="FL14" s="337"/>
      <c r="FM14" s="337"/>
      <c r="FN14" s="337"/>
      <c r="FO14" s="337"/>
      <c r="FP14" s="337"/>
      <c r="FQ14" s="337"/>
      <c r="FR14" s="337"/>
      <c r="FS14" s="337"/>
      <c r="FT14" s="337"/>
      <c r="FU14" s="337"/>
      <c r="FV14" s="337"/>
      <c r="FW14" s="337"/>
      <c r="FX14" s="337"/>
      <c r="FY14" s="337"/>
      <c r="FZ14" s="337"/>
      <c r="GA14" s="337"/>
      <c r="GB14" s="337"/>
      <c r="GC14" s="337"/>
      <c r="GD14" s="337"/>
      <c r="GE14" s="337"/>
      <c r="GF14" s="337"/>
      <c r="GG14" s="337"/>
      <c r="GH14" s="337"/>
      <c r="GI14" s="337"/>
      <c r="GJ14" s="337"/>
      <c r="GK14" s="337"/>
      <c r="GL14" s="337"/>
      <c r="GM14" s="337"/>
      <c r="GN14" s="337"/>
      <c r="GO14" s="337"/>
      <c r="GP14" s="337"/>
      <c r="GQ14" s="337"/>
      <c r="GR14" s="337"/>
      <c r="GS14" s="337"/>
      <c r="GT14" s="337"/>
      <c r="GU14" s="337"/>
      <c r="GV14" s="337"/>
      <c r="GW14" s="337"/>
      <c r="GX14" s="337"/>
      <c r="GY14" s="337"/>
      <c r="GZ14" s="337"/>
      <c r="HA14" s="337"/>
      <c r="HB14" s="337"/>
      <c r="HC14" s="337"/>
      <c r="HD14" s="337"/>
      <c r="HE14" s="337"/>
      <c r="HF14" s="337"/>
      <c r="HG14" s="337"/>
      <c r="HH14" s="337"/>
      <c r="HI14" s="337"/>
      <c r="HJ14" s="337"/>
      <c r="HK14" s="337"/>
      <c r="HL14" s="337"/>
      <c r="HM14" s="337"/>
      <c r="HN14" s="337"/>
      <c r="HO14" s="337"/>
      <c r="HP14" s="337"/>
      <c r="HQ14" s="337"/>
      <c r="HR14" s="337"/>
      <c r="HS14" s="337"/>
      <c r="HT14" s="337"/>
      <c r="HU14" s="337"/>
      <c r="HV14" s="337"/>
      <c r="HW14" s="337"/>
      <c r="HX14" s="337"/>
      <c r="HY14" s="337"/>
      <c r="HZ14" s="337"/>
      <c r="IA14" s="337"/>
      <c r="IB14" s="337"/>
      <c r="IC14" s="337"/>
      <c r="ID14" s="337"/>
      <c r="IE14" s="337"/>
      <c r="IF14" s="337"/>
      <c r="IG14" s="337"/>
      <c r="IH14" s="337"/>
      <c r="II14" s="337"/>
      <c r="IJ14" s="337"/>
      <c r="IK14" s="337"/>
      <c r="IL14" s="337"/>
      <c r="IM14" s="337"/>
      <c r="IN14" s="337"/>
      <c r="IO14" s="337"/>
      <c r="IP14" s="337"/>
      <c r="IQ14" s="337"/>
      <c r="IR14" s="337"/>
      <c r="IS14" s="337"/>
      <c r="IT14" s="337"/>
      <c r="IU14" s="337"/>
      <c r="IV14" s="337"/>
      <c r="IW14" s="337"/>
      <c r="IX14" s="337"/>
      <c r="IY14" s="337"/>
      <c r="IZ14" s="337"/>
      <c r="JA14" s="337"/>
      <c r="JB14" s="337"/>
      <c r="JC14" s="337"/>
      <c r="JD14" s="337"/>
      <c r="JE14" s="337"/>
      <c r="JF14" s="337"/>
      <c r="JG14" s="337"/>
      <c r="JH14" s="337"/>
      <c r="JI14" s="337"/>
      <c r="JJ14" s="337"/>
      <c r="JK14" s="337"/>
      <c r="JL14" s="337"/>
      <c r="JM14" s="337"/>
      <c r="JN14" s="337"/>
      <c r="JO14" s="337"/>
      <c r="JP14" s="337"/>
      <c r="JQ14" s="337"/>
      <c r="JR14" s="337"/>
      <c r="JS14" s="337"/>
      <c r="JT14" s="337"/>
      <c r="JU14" s="337"/>
      <c r="JV14" s="337"/>
      <c r="JW14" s="337"/>
      <c r="JX14" s="337"/>
      <c r="JY14" s="337"/>
      <c r="JZ14" s="337"/>
      <c r="KA14" s="337"/>
      <c r="KB14" s="337"/>
      <c r="KC14" s="337"/>
      <c r="KD14" s="337"/>
      <c r="KE14" s="337"/>
      <c r="KF14" s="337"/>
      <c r="KG14" s="337"/>
      <c r="KH14" s="337"/>
      <c r="KI14" s="337"/>
      <c r="KJ14" s="337"/>
      <c r="KK14" s="337"/>
      <c r="KL14" s="337"/>
      <c r="KM14" s="337"/>
      <c r="KN14" s="337"/>
      <c r="KO14" s="337"/>
      <c r="KP14" s="337"/>
      <c r="KQ14" s="337"/>
      <c r="KR14" s="337"/>
      <c r="KS14" s="337"/>
      <c r="KT14" s="337"/>
      <c r="KU14" s="337"/>
      <c r="KV14" s="337"/>
      <c r="KW14" s="337"/>
      <c r="KX14" s="337"/>
      <c r="KY14" s="337"/>
      <c r="KZ14" s="337"/>
      <c r="LA14" s="337"/>
      <c r="LB14" s="337"/>
      <c r="LC14" s="337"/>
      <c r="LD14" s="337"/>
      <c r="LE14" s="337"/>
      <c r="LF14" s="337"/>
      <c r="LG14" s="337"/>
      <c r="LH14" s="337"/>
      <c r="LI14" s="337"/>
      <c r="LJ14" s="337"/>
      <c r="LK14" s="337"/>
      <c r="LL14" s="337"/>
      <c r="LM14" s="337"/>
      <c r="LN14" s="337"/>
      <c r="LO14" s="337"/>
      <c r="LP14" s="337"/>
      <c r="LQ14" s="337"/>
      <c r="LR14" s="337"/>
      <c r="LS14" s="337"/>
      <c r="LT14" s="337"/>
      <c r="LU14" s="337"/>
      <c r="LV14" s="337"/>
      <c r="LW14" s="337"/>
      <c r="LX14" s="337"/>
      <c r="LY14" s="337"/>
      <c r="LZ14" s="337"/>
      <c r="MA14" s="337"/>
      <c r="MB14" s="337"/>
      <c r="MC14" s="337"/>
      <c r="MD14" s="337"/>
      <c r="ME14" s="337"/>
      <c r="MF14" s="337"/>
      <c r="MG14" s="337"/>
      <c r="MH14" s="337"/>
      <c r="MI14" s="337"/>
      <c r="MJ14" s="337"/>
      <c r="MK14" s="337"/>
      <c r="ML14" s="337"/>
      <c r="MM14" s="337"/>
      <c r="MN14" s="337"/>
      <c r="MO14" s="337"/>
      <c r="MP14" s="337"/>
      <c r="MQ14" s="337"/>
      <c r="MR14" s="337"/>
      <c r="MS14" s="337"/>
      <c r="MT14" s="337"/>
      <c r="MU14" s="337"/>
      <c r="MV14" s="337"/>
      <c r="MW14" s="337"/>
      <c r="MX14" s="337"/>
      <c r="MY14" s="337"/>
      <c r="MZ14" s="337"/>
      <c r="NA14" s="337"/>
      <c r="NB14" s="337"/>
      <c r="NC14" s="337"/>
      <c r="ND14" s="337"/>
      <c r="NE14" s="337"/>
      <c r="NF14" s="337"/>
      <c r="NG14" s="337"/>
      <c r="NH14" s="337"/>
      <c r="NI14" s="337"/>
      <c r="NJ14" s="337"/>
      <c r="NK14" s="337"/>
      <c r="NL14" s="337"/>
      <c r="NM14" s="337"/>
      <c r="NN14" s="337"/>
      <c r="NO14" s="337"/>
      <c r="NP14" s="337"/>
      <c r="NQ14" s="337"/>
      <c r="NR14" s="337"/>
      <c r="NS14" s="337"/>
      <c r="NT14" s="337"/>
      <c r="NU14" s="337"/>
      <c r="NV14" s="337"/>
      <c r="NW14" s="337"/>
      <c r="NX14" s="337"/>
      <c r="NY14" s="337"/>
      <c r="NZ14" s="337"/>
      <c r="OA14" s="337"/>
      <c r="OB14" s="337"/>
      <c r="OC14" s="337"/>
      <c r="OD14" s="337"/>
      <c r="OE14" s="337"/>
      <c r="OF14" s="337"/>
      <c r="OG14" s="337"/>
      <c r="OH14" s="337"/>
      <c r="OI14" s="337"/>
      <c r="OJ14" s="337"/>
      <c r="OK14" s="337"/>
      <c r="OL14" s="337"/>
      <c r="OM14" s="337"/>
      <c r="ON14" s="337"/>
      <c r="OO14" s="337"/>
      <c r="OP14" s="337"/>
      <c r="OQ14" s="337"/>
      <c r="OR14" s="337"/>
      <c r="OS14" s="337"/>
      <c r="OT14" s="337"/>
      <c r="OU14" s="337"/>
      <c r="OV14" s="337"/>
      <c r="OW14" s="337"/>
      <c r="OX14" s="337"/>
      <c r="OY14" s="337"/>
      <c r="OZ14" s="337"/>
      <c r="PA14" s="337"/>
      <c r="PB14" s="337"/>
      <c r="PC14" s="337"/>
      <c r="PD14" s="337"/>
      <c r="PE14" s="337"/>
      <c r="PF14" s="337"/>
      <c r="PG14" s="337"/>
      <c r="PH14" s="337"/>
      <c r="PI14" s="337"/>
      <c r="PJ14" s="337"/>
      <c r="PK14" s="337"/>
      <c r="PL14" s="337"/>
      <c r="PM14" s="337"/>
      <c r="PN14" s="337"/>
      <c r="PO14" s="337"/>
      <c r="PP14" s="337"/>
      <c r="PQ14" s="337"/>
      <c r="PR14" s="337"/>
      <c r="PS14" s="337"/>
      <c r="PT14" s="337"/>
      <c r="PU14" s="337"/>
      <c r="PV14" s="337"/>
      <c r="PW14" s="337"/>
      <c r="PX14" s="337"/>
      <c r="PY14" s="337"/>
      <c r="PZ14" s="337"/>
      <c r="QA14" s="337"/>
      <c r="QB14" s="337"/>
      <c r="QC14" s="337"/>
      <c r="QD14" s="337"/>
      <c r="QE14" s="337"/>
      <c r="QF14" s="337"/>
      <c r="QG14" s="337"/>
      <c r="QH14" s="337"/>
      <c r="QI14" s="337"/>
      <c r="QJ14" s="337"/>
      <c r="QK14" s="337"/>
      <c r="QL14" s="337"/>
      <c r="QM14" s="337"/>
      <c r="QN14" s="337"/>
      <c r="QO14" s="337"/>
      <c r="QP14" s="338"/>
      <c r="QQ14" s="12"/>
      <c r="QR14" s="10"/>
    </row>
    <row r="15" spans="3:484" s="5" customFormat="1" ht="9.6" customHeight="1" thickBot="1" x14ac:dyDescent="0.35">
      <c r="C15" s="6"/>
      <c r="D15" s="11"/>
      <c r="E15" s="339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340"/>
      <c r="AU15" s="340"/>
      <c r="AV15" s="340"/>
      <c r="AW15" s="340"/>
      <c r="AX15" s="340"/>
      <c r="AY15" s="340"/>
      <c r="AZ15" s="340"/>
      <c r="BA15" s="340"/>
      <c r="BB15" s="340"/>
      <c r="BC15" s="340"/>
      <c r="BD15" s="340"/>
      <c r="BE15" s="340"/>
      <c r="BF15" s="340"/>
      <c r="BG15" s="340"/>
      <c r="BH15" s="340"/>
      <c r="BI15" s="340"/>
      <c r="BJ15" s="340"/>
      <c r="BK15" s="340"/>
      <c r="BL15" s="340"/>
      <c r="BM15" s="340"/>
      <c r="BN15" s="340"/>
      <c r="BO15" s="340"/>
      <c r="BP15" s="340"/>
      <c r="BQ15" s="340"/>
      <c r="BR15" s="340"/>
      <c r="BS15" s="340"/>
      <c r="BT15" s="340"/>
      <c r="BU15" s="340"/>
      <c r="BV15" s="340"/>
      <c r="BW15" s="340"/>
      <c r="BX15" s="340"/>
      <c r="BY15" s="340"/>
      <c r="BZ15" s="340"/>
      <c r="CA15" s="340"/>
      <c r="CB15" s="340"/>
      <c r="CC15" s="340"/>
      <c r="CD15" s="340"/>
      <c r="CE15" s="340"/>
      <c r="CF15" s="340"/>
      <c r="CG15" s="340"/>
      <c r="CH15" s="340"/>
      <c r="CI15" s="340"/>
      <c r="CJ15" s="340"/>
      <c r="CK15" s="340"/>
      <c r="CL15" s="340"/>
      <c r="CM15" s="340"/>
      <c r="CN15" s="340"/>
      <c r="CO15" s="340"/>
      <c r="CP15" s="340"/>
      <c r="CQ15" s="340"/>
      <c r="CR15" s="340"/>
      <c r="CS15" s="340"/>
      <c r="CT15" s="340"/>
      <c r="CU15" s="340"/>
      <c r="CV15" s="340"/>
      <c r="CW15" s="340"/>
      <c r="CX15" s="340"/>
      <c r="CY15" s="340"/>
      <c r="CZ15" s="340"/>
      <c r="DA15" s="340"/>
      <c r="DB15" s="340"/>
      <c r="DC15" s="340"/>
      <c r="DD15" s="340"/>
      <c r="DE15" s="340"/>
      <c r="DF15" s="340"/>
      <c r="DG15" s="340"/>
      <c r="DH15" s="340"/>
      <c r="DI15" s="340"/>
      <c r="DJ15" s="340"/>
      <c r="DK15" s="340"/>
      <c r="DL15" s="340"/>
      <c r="DM15" s="340"/>
      <c r="DN15" s="340"/>
      <c r="DO15" s="340"/>
      <c r="DP15" s="340"/>
      <c r="DQ15" s="340"/>
      <c r="DR15" s="340"/>
      <c r="DS15" s="340"/>
      <c r="DT15" s="340"/>
      <c r="DU15" s="340"/>
      <c r="DV15" s="340"/>
      <c r="DW15" s="340"/>
      <c r="DX15" s="340"/>
      <c r="DY15" s="340"/>
      <c r="DZ15" s="340"/>
      <c r="EA15" s="340"/>
      <c r="EB15" s="340"/>
      <c r="EC15" s="340"/>
      <c r="ED15" s="340"/>
      <c r="EE15" s="340"/>
      <c r="EF15" s="340"/>
      <c r="EG15" s="340"/>
      <c r="EH15" s="340"/>
      <c r="EI15" s="340"/>
      <c r="EJ15" s="340"/>
      <c r="EK15" s="340"/>
      <c r="EL15" s="340"/>
      <c r="EM15" s="340"/>
      <c r="EN15" s="340"/>
      <c r="EO15" s="340"/>
      <c r="EP15" s="340"/>
      <c r="EQ15" s="340"/>
      <c r="ER15" s="340"/>
      <c r="ES15" s="340"/>
      <c r="ET15" s="340"/>
      <c r="EU15" s="340"/>
      <c r="EV15" s="340"/>
      <c r="EW15" s="340"/>
      <c r="EX15" s="340"/>
      <c r="EY15" s="340"/>
      <c r="EZ15" s="340"/>
      <c r="FA15" s="340"/>
      <c r="FB15" s="340"/>
      <c r="FC15" s="340"/>
      <c r="FD15" s="340"/>
      <c r="FE15" s="340"/>
      <c r="FF15" s="340"/>
      <c r="FG15" s="340"/>
      <c r="FH15" s="340"/>
      <c r="FI15" s="340"/>
      <c r="FJ15" s="340"/>
      <c r="FK15" s="340"/>
      <c r="FL15" s="340"/>
      <c r="FM15" s="340"/>
      <c r="FN15" s="340"/>
      <c r="FO15" s="340"/>
      <c r="FP15" s="340"/>
      <c r="FQ15" s="340"/>
      <c r="FR15" s="340"/>
      <c r="FS15" s="340"/>
      <c r="FT15" s="340"/>
      <c r="FU15" s="340"/>
      <c r="FV15" s="340"/>
      <c r="FW15" s="340"/>
      <c r="FX15" s="340"/>
      <c r="FY15" s="340"/>
      <c r="FZ15" s="340"/>
      <c r="GA15" s="340"/>
      <c r="GB15" s="340"/>
      <c r="GC15" s="340"/>
      <c r="GD15" s="340"/>
      <c r="GE15" s="340"/>
      <c r="GF15" s="340"/>
      <c r="GG15" s="340"/>
      <c r="GH15" s="340"/>
      <c r="GI15" s="340"/>
      <c r="GJ15" s="340"/>
      <c r="GK15" s="340"/>
      <c r="GL15" s="340"/>
      <c r="GM15" s="340"/>
      <c r="GN15" s="340"/>
      <c r="GO15" s="340"/>
      <c r="GP15" s="340"/>
      <c r="GQ15" s="340"/>
      <c r="GR15" s="340"/>
      <c r="GS15" s="340"/>
      <c r="GT15" s="340"/>
      <c r="GU15" s="340"/>
      <c r="GV15" s="340"/>
      <c r="GW15" s="340"/>
      <c r="GX15" s="340"/>
      <c r="GY15" s="340"/>
      <c r="GZ15" s="340"/>
      <c r="HA15" s="340"/>
      <c r="HB15" s="340"/>
      <c r="HC15" s="340"/>
      <c r="HD15" s="340"/>
      <c r="HE15" s="340"/>
      <c r="HF15" s="340"/>
      <c r="HG15" s="340"/>
      <c r="HH15" s="340"/>
      <c r="HI15" s="340"/>
      <c r="HJ15" s="340"/>
      <c r="HK15" s="340"/>
      <c r="HL15" s="340"/>
      <c r="HM15" s="340"/>
      <c r="HN15" s="340"/>
      <c r="HO15" s="340"/>
      <c r="HP15" s="340"/>
      <c r="HQ15" s="340"/>
      <c r="HR15" s="340"/>
      <c r="HS15" s="340"/>
      <c r="HT15" s="340"/>
      <c r="HU15" s="340"/>
      <c r="HV15" s="340"/>
      <c r="HW15" s="340"/>
      <c r="HX15" s="340"/>
      <c r="HY15" s="340"/>
      <c r="HZ15" s="340"/>
      <c r="IA15" s="340"/>
      <c r="IB15" s="340"/>
      <c r="IC15" s="340"/>
      <c r="ID15" s="340"/>
      <c r="IE15" s="340"/>
      <c r="IF15" s="340"/>
      <c r="IG15" s="340"/>
      <c r="IH15" s="340"/>
      <c r="II15" s="340"/>
      <c r="IJ15" s="340"/>
      <c r="IK15" s="340"/>
      <c r="IL15" s="340"/>
      <c r="IM15" s="340"/>
      <c r="IN15" s="340"/>
      <c r="IO15" s="340"/>
      <c r="IP15" s="340"/>
      <c r="IQ15" s="340"/>
      <c r="IR15" s="340"/>
      <c r="IS15" s="340"/>
      <c r="IT15" s="340"/>
      <c r="IU15" s="340"/>
      <c r="IV15" s="340"/>
      <c r="IW15" s="340"/>
      <c r="IX15" s="340"/>
      <c r="IY15" s="340"/>
      <c r="IZ15" s="340"/>
      <c r="JA15" s="340"/>
      <c r="JB15" s="340"/>
      <c r="JC15" s="340"/>
      <c r="JD15" s="340"/>
      <c r="JE15" s="340"/>
      <c r="JF15" s="340"/>
      <c r="JG15" s="340"/>
      <c r="JH15" s="340"/>
      <c r="JI15" s="340"/>
      <c r="JJ15" s="340"/>
      <c r="JK15" s="340"/>
      <c r="JL15" s="340"/>
      <c r="JM15" s="340"/>
      <c r="JN15" s="340"/>
      <c r="JO15" s="340"/>
      <c r="JP15" s="340"/>
      <c r="JQ15" s="340"/>
      <c r="JR15" s="340"/>
      <c r="JS15" s="340"/>
      <c r="JT15" s="340"/>
      <c r="JU15" s="340"/>
      <c r="JV15" s="340"/>
      <c r="JW15" s="340"/>
      <c r="JX15" s="340"/>
      <c r="JY15" s="340"/>
      <c r="JZ15" s="340"/>
      <c r="KA15" s="340"/>
      <c r="KB15" s="340"/>
      <c r="KC15" s="340"/>
      <c r="KD15" s="340"/>
      <c r="KE15" s="340"/>
      <c r="KF15" s="340"/>
      <c r="KG15" s="340"/>
      <c r="KH15" s="340"/>
      <c r="KI15" s="340"/>
      <c r="KJ15" s="340"/>
      <c r="KK15" s="340"/>
      <c r="KL15" s="340"/>
      <c r="KM15" s="340"/>
      <c r="KN15" s="340"/>
      <c r="KO15" s="340"/>
      <c r="KP15" s="340"/>
      <c r="KQ15" s="340"/>
      <c r="KR15" s="340"/>
      <c r="KS15" s="340"/>
      <c r="KT15" s="340"/>
      <c r="KU15" s="340"/>
      <c r="KV15" s="340"/>
      <c r="KW15" s="340"/>
      <c r="KX15" s="340"/>
      <c r="KY15" s="340"/>
      <c r="KZ15" s="340"/>
      <c r="LA15" s="340"/>
      <c r="LB15" s="340"/>
      <c r="LC15" s="340"/>
      <c r="LD15" s="340"/>
      <c r="LE15" s="340"/>
      <c r="LF15" s="340"/>
      <c r="LG15" s="340"/>
      <c r="LH15" s="340"/>
      <c r="LI15" s="340"/>
      <c r="LJ15" s="340"/>
      <c r="LK15" s="340"/>
      <c r="LL15" s="340"/>
      <c r="LM15" s="340"/>
      <c r="LN15" s="340"/>
      <c r="LO15" s="340"/>
      <c r="LP15" s="340"/>
      <c r="LQ15" s="340"/>
      <c r="LR15" s="340"/>
      <c r="LS15" s="340"/>
      <c r="LT15" s="340"/>
      <c r="LU15" s="340"/>
      <c r="LV15" s="340"/>
      <c r="LW15" s="340"/>
      <c r="LX15" s="340"/>
      <c r="LY15" s="340"/>
      <c r="LZ15" s="340"/>
      <c r="MA15" s="340"/>
      <c r="MB15" s="340"/>
      <c r="MC15" s="340"/>
      <c r="MD15" s="340"/>
      <c r="ME15" s="340"/>
      <c r="MF15" s="340"/>
      <c r="MG15" s="340"/>
      <c r="MH15" s="340"/>
      <c r="MI15" s="340"/>
      <c r="MJ15" s="340"/>
      <c r="MK15" s="340"/>
      <c r="ML15" s="340"/>
      <c r="MM15" s="340"/>
      <c r="MN15" s="340"/>
      <c r="MO15" s="340"/>
      <c r="MP15" s="340"/>
      <c r="MQ15" s="340"/>
      <c r="MR15" s="340"/>
      <c r="MS15" s="340"/>
      <c r="MT15" s="340"/>
      <c r="MU15" s="340"/>
      <c r="MV15" s="340"/>
      <c r="MW15" s="340"/>
      <c r="MX15" s="340"/>
      <c r="MY15" s="340"/>
      <c r="MZ15" s="340"/>
      <c r="NA15" s="340"/>
      <c r="NB15" s="340"/>
      <c r="NC15" s="340"/>
      <c r="ND15" s="340"/>
      <c r="NE15" s="340"/>
      <c r="NF15" s="340"/>
      <c r="NG15" s="340"/>
      <c r="NH15" s="340"/>
      <c r="NI15" s="340"/>
      <c r="NJ15" s="340"/>
      <c r="NK15" s="340"/>
      <c r="NL15" s="340"/>
      <c r="NM15" s="340"/>
      <c r="NN15" s="340"/>
      <c r="NO15" s="340"/>
      <c r="NP15" s="340"/>
      <c r="NQ15" s="340"/>
      <c r="NR15" s="340"/>
      <c r="NS15" s="340"/>
      <c r="NT15" s="340"/>
      <c r="NU15" s="340"/>
      <c r="NV15" s="340"/>
      <c r="NW15" s="340"/>
      <c r="NX15" s="340"/>
      <c r="NY15" s="340"/>
      <c r="NZ15" s="340"/>
      <c r="OA15" s="340"/>
      <c r="OB15" s="340"/>
      <c r="OC15" s="340"/>
      <c r="OD15" s="340"/>
      <c r="OE15" s="340"/>
      <c r="OF15" s="340"/>
      <c r="OG15" s="340"/>
      <c r="OH15" s="340"/>
      <c r="OI15" s="340"/>
      <c r="OJ15" s="340"/>
      <c r="OK15" s="340"/>
      <c r="OL15" s="340"/>
      <c r="OM15" s="340"/>
      <c r="ON15" s="340"/>
      <c r="OO15" s="340"/>
      <c r="OP15" s="340"/>
      <c r="OQ15" s="340"/>
      <c r="OR15" s="340"/>
      <c r="OS15" s="340"/>
      <c r="OT15" s="340"/>
      <c r="OU15" s="340"/>
      <c r="OV15" s="340"/>
      <c r="OW15" s="340"/>
      <c r="OX15" s="340"/>
      <c r="OY15" s="340"/>
      <c r="OZ15" s="340"/>
      <c r="PA15" s="340"/>
      <c r="PB15" s="340"/>
      <c r="PC15" s="340"/>
      <c r="PD15" s="340"/>
      <c r="PE15" s="340"/>
      <c r="PF15" s="340"/>
      <c r="PG15" s="340"/>
      <c r="PH15" s="340"/>
      <c r="PI15" s="340"/>
      <c r="PJ15" s="340"/>
      <c r="PK15" s="340"/>
      <c r="PL15" s="340"/>
      <c r="PM15" s="340"/>
      <c r="PN15" s="340"/>
      <c r="PO15" s="340"/>
      <c r="PP15" s="340"/>
      <c r="PQ15" s="340"/>
      <c r="PR15" s="340"/>
      <c r="PS15" s="340"/>
      <c r="PT15" s="340"/>
      <c r="PU15" s="340"/>
      <c r="PV15" s="340"/>
      <c r="PW15" s="340"/>
      <c r="PX15" s="340"/>
      <c r="PY15" s="340"/>
      <c r="PZ15" s="340"/>
      <c r="QA15" s="340"/>
      <c r="QB15" s="340"/>
      <c r="QC15" s="340"/>
      <c r="QD15" s="340"/>
      <c r="QE15" s="340"/>
      <c r="QF15" s="340"/>
      <c r="QG15" s="340"/>
      <c r="QH15" s="340"/>
      <c r="QI15" s="340"/>
      <c r="QJ15" s="340"/>
      <c r="QK15" s="340"/>
      <c r="QL15" s="340"/>
      <c r="QM15" s="340"/>
      <c r="QN15" s="340"/>
      <c r="QO15" s="340"/>
      <c r="QP15" s="341"/>
      <c r="QQ15" s="12"/>
      <c r="QR15" s="10"/>
    </row>
    <row r="16" spans="3:484" ht="5.0999999999999996" customHeight="1" x14ac:dyDescent="0.3"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8"/>
      <c r="QR16" s="19"/>
    </row>
    <row r="17" spans="3:460" ht="5.0999999999999996" customHeight="1" x14ac:dyDescent="0.3"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8"/>
      <c r="QR17" s="19"/>
    </row>
    <row r="18" spans="3:460" ht="5.0999999999999996" customHeight="1" x14ac:dyDescent="0.3">
      <c r="C18" s="15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QK18" s="17"/>
      <c r="QL18" s="17"/>
      <c r="QM18" s="17"/>
      <c r="QN18" s="17"/>
      <c r="QO18" s="17"/>
      <c r="QP18" s="17"/>
      <c r="QQ18" s="18"/>
      <c r="QR18" s="19"/>
    </row>
    <row r="19" spans="3:460" ht="5.0999999999999996" customHeight="1" x14ac:dyDescent="0.3"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C19" s="324" t="s">
        <v>3</v>
      </c>
      <c r="HD19" s="325"/>
      <c r="HE19" s="325"/>
      <c r="HF19" s="325"/>
      <c r="HG19" s="325"/>
      <c r="HH19" s="325"/>
      <c r="HI19" s="325"/>
      <c r="HJ19" s="325"/>
      <c r="HK19" s="325"/>
      <c r="HL19" s="325"/>
      <c r="HM19" s="325"/>
      <c r="HN19" s="325"/>
      <c r="HO19" s="325"/>
      <c r="HP19" s="325"/>
      <c r="HQ19" s="325"/>
      <c r="HR19" s="325"/>
      <c r="HS19" s="325"/>
      <c r="HT19" s="325"/>
      <c r="HU19" s="325"/>
      <c r="HV19" s="325"/>
      <c r="HW19" s="325"/>
      <c r="HX19" s="325"/>
      <c r="HY19" s="325"/>
      <c r="HZ19" s="325"/>
      <c r="IA19" s="325"/>
      <c r="IB19" s="325"/>
      <c r="IC19" s="325"/>
      <c r="ID19" s="325"/>
      <c r="IE19" s="325"/>
      <c r="IF19" s="325"/>
      <c r="IG19" s="325"/>
      <c r="IH19" s="325"/>
      <c r="II19" s="325"/>
      <c r="IJ19" s="325"/>
      <c r="IK19" s="325"/>
      <c r="IL19" s="325"/>
      <c r="IM19" s="325"/>
      <c r="IN19" s="325"/>
      <c r="IO19" s="325"/>
      <c r="IP19" s="325"/>
      <c r="IQ19" s="342"/>
      <c r="IR19" s="345">
        <v>1</v>
      </c>
      <c r="IS19" s="345"/>
      <c r="IT19" s="345"/>
      <c r="IU19" s="345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QK19" s="17"/>
      <c r="QL19" s="17"/>
      <c r="QM19" s="17"/>
      <c r="QN19" s="17"/>
      <c r="QO19" s="17"/>
      <c r="QP19" s="17"/>
      <c r="QQ19" s="18"/>
      <c r="QR19" s="19"/>
    </row>
    <row r="20" spans="3:460" ht="5.0999999999999996" customHeight="1" x14ac:dyDescent="0.3">
      <c r="C20" s="15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C20" s="327"/>
      <c r="HD20" s="328"/>
      <c r="HE20" s="328"/>
      <c r="HF20" s="328"/>
      <c r="HG20" s="328"/>
      <c r="HH20" s="328"/>
      <c r="HI20" s="328"/>
      <c r="HJ20" s="328"/>
      <c r="HK20" s="328"/>
      <c r="HL20" s="328"/>
      <c r="HM20" s="328"/>
      <c r="HN20" s="328"/>
      <c r="HO20" s="328"/>
      <c r="HP20" s="328"/>
      <c r="HQ20" s="328"/>
      <c r="HR20" s="328"/>
      <c r="HS20" s="328"/>
      <c r="HT20" s="328"/>
      <c r="HU20" s="328"/>
      <c r="HV20" s="328"/>
      <c r="HW20" s="328"/>
      <c r="HX20" s="328"/>
      <c r="HY20" s="328"/>
      <c r="HZ20" s="328"/>
      <c r="IA20" s="328"/>
      <c r="IB20" s="328"/>
      <c r="IC20" s="328"/>
      <c r="ID20" s="328"/>
      <c r="IE20" s="328"/>
      <c r="IF20" s="328"/>
      <c r="IG20" s="328"/>
      <c r="IH20" s="328"/>
      <c r="II20" s="328"/>
      <c r="IJ20" s="328"/>
      <c r="IK20" s="328"/>
      <c r="IL20" s="328"/>
      <c r="IM20" s="328"/>
      <c r="IN20" s="328"/>
      <c r="IO20" s="328"/>
      <c r="IP20" s="328"/>
      <c r="IQ20" s="343"/>
      <c r="IR20" s="345"/>
      <c r="IS20" s="345"/>
      <c r="IT20" s="345"/>
      <c r="IU20" s="345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QK20" s="17"/>
      <c r="QL20" s="17"/>
      <c r="QM20" s="17"/>
      <c r="QN20" s="17"/>
      <c r="QO20" s="17"/>
      <c r="QP20" s="17"/>
      <c r="QQ20" s="18"/>
      <c r="QR20" s="19"/>
    </row>
    <row r="21" spans="3:460" ht="5.0999999999999996" customHeight="1" x14ac:dyDescent="0.3"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C21" s="327"/>
      <c r="HD21" s="328"/>
      <c r="HE21" s="328"/>
      <c r="HF21" s="328"/>
      <c r="HG21" s="328"/>
      <c r="HH21" s="328"/>
      <c r="HI21" s="328"/>
      <c r="HJ21" s="328"/>
      <c r="HK21" s="328"/>
      <c r="HL21" s="328"/>
      <c r="HM21" s="328"/>
      <c r="HN21" s="328"/>
      <c r="HO21" s="328"/>
      <c r="HP21" s="328"/>
      <c r="HQ21" s="328"/>
      <c r="HR21" s="328"/>
      <c r="HS21" s="328"/>
      <c r="HT21" s="328"/>
      <c r="HU21" s="328"/>
      <c r="HV21" s="328"/>
      <c r="HW21" s="328"/>
      <c r="HX21" s="328"/>
      <c r="HY21" s="328"/>
      <c r="HZ21" s="328"/>
      <c r="IA21" s="328"/>
      <c r="IB21" s="328"/>
      <c r="IC21" s="328"/>
      <c r="ID21" s="328"/>
      <c r="IE21" s="328"/>
      <c r="IF21" s="328"/>
      <c r="IG21" s="328"/>
      <c r="IH21" s="328"/>
      <c r="II21" s="328"/>
      <c r="IJ21" s="328"/>
      <c r="IK21" s="328"/>
      <c r="IL21" s="328"/>
      <c r="IM21" s="328"/>
      <c r="IN21" s="328"/>
      <c r="IO21" s="328"/>
      <c r="IP21" s="328"/>
      <c r="IQ21" s="343"/>
      <c r="IR21" s="345"/>
      <c r="IS21" s="345"/>
      <c r="IT21" s="345"/>
      <c r="IU21" s="345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QK21" s="17"/>
      <c r="QL21" s="17"/>
      <c r="QM21" s="17"/>
      <c r="QN21" s="17"/>
      <c r="QO21" s="17"/>
      <c r="QP21" s="17"/>
      <c r="QQ21" s="18"/>
      <c r="QR21" s="19"/>
    </row>
    <row r="22" spans="3:460" ht="5.0999999999999996" customHeight="1" x14ac:dyDescent="0.3">
      <c r="C22" s="15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C22" s="327"/>
      <c r="HD22" s="328"/>
      <c r="HE22" s="328"/>
      <c r="HF22" s="328"/>
      <c r="HG22" s="328"/>
      <c r="HH22" s="328"/>
      <c r="HI22" s="328"/>
      <c r="HJ22" s="328"/>
      <c r="HK22" s="328"/>
      <c r="HL22" s="328"/>
      <c r="HM22" s="328"/>
      <c r="HN22" s="328"/>
      <c r="HO22" s="328"/>
      <c r="HP22" s="328"/>
      <c r="HQ22" s="328"/>
      <c r="HR22" s="328"/>
      <c r="HS22" s="328"/>
      <c r="HT22" s="328"/>
      <c r="HU22" s="328"/>
      <c r="HV22" s="328"/>
      <c r="HW22" s="328"/>
      <c r="HX22" s="328"/>
      <c r="HY22" s="328"/>
      <c r="HZ22" s="328"/>
      <c r="IA22" s="328"/>
      <c r="IB22" s="328"/>
      <c r="IC22" s="328"/>
      <c r="ID22" s="328"/>
      <c r="IE22" s="328"/>
      <c r="IF22" s="328"/>
      <c r="IG22" s="328"/>
      <c r="IH22" s="328"/>
      <c r="II22" s="328"/>
      <c r="IJ22" s="328"/>
      <c r="IK22" s="328"/>
      <c r="IL22" s="328"/>
      <c r="IM22" s="328"/>
      <c r="IN22" s="328"/>
      <c r="IO22" s="328"/>
      <c r="IP22" s="328"/>
      <c r="IQ22" s="343"/>
      <c r="IR22" s="345"/>
      <c r="IS22" s="345"/>
      <c r="IT22" s="345"/>
      <c r="IU22" s="345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QK22" s="17"/>
      <c r="QL22" s="17"/>
      <c r="QM22" s="17"/>
      <c r="QN22" s="17"/>
      <c r="QO22" s="17"/>
      <c r="QP22" s="17"/>
      <c r="QQ22" s="18"/>
      <c r="QR22" s="19"/>
    </row>
    <row r="23" spans="3:460" ht="5.0999999999999996" customHeight="1" x14ac:dyDescent="0.3">
      <c r="C23" s="15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C23" s="327"/>
      <c r="HD23" s="328"/>
      <c r="HE23" s="328"/>
      <c r="HF23" s="328"/>
      <c r="HG23" s="328"/>
      <c r="HH23" s="328"/>
      <c r="HI23" s="328"/>
      <c r="HJ23" s="328"/>
      <c r="HK23" s="328"/>
      <c r="HL23" s="328"/>
      <c r="HM23" s="328"/>
      <c r="HN23" s="328"/>
      <c r="HO23" s="328"/>
      <c r="HP23" s="328"/>
      <c r="HQ23" s="328"/>
      <c r="HR23" s="328"/>
      <c r="HS23" s="328"/>
      <c r="HT23" s="328"/>
      <c r="HU23" s="328"/>
      <c r="HV23" s="328"/>
      <c r="HW23" s="328"/>
      <c r="HX23" s="328"/>
      <c r="HY23" s="328"/>
      <c r="HZ23" s="328"/>
      <c r="IA23" s="328"/>
      <c r="IB23" s="328"/>
      <c r="IC23" s="328"/>
      <c r="ID23" s="328"/>
      <c r="IE23" s="328"/>
      <c r="IF23" s="328"/>
      <c r="IG23" s="328"/>
      <c r="IH23" s="328"/>
      <c r="II23" s="328"/>
      <c r="IJ23" s="328"/>
      <c r="IK23" s="328"/>
      <c r="IL23" s="328"/>
      <c r="IM23" s="328"/>
      <c r="IN23" s="328"/>
      <c r="IO23" s="328"/>
      <c r="IP23" s="328"/>
      <c r="IQ23" s="343"/>
      <c r="IR23" s="345"/>
      <c r="IS23" s="345"/>
      <c r="IT23" s="345"/>
      <c r="IU23" s="345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QK23" s="17"/>
      <c r="QL23" s="17"/>
      <c r="QM23" s="17"/>
      <c r="QN23" s="17"/>
      <c r="QO23" s="17"/>
      <c r="QP23" s="17"/>
      <c r="QQ23" s="18"/>
      <c r="QR23" s="19"/>
    </row>
    <row r="24" spans="3:460" ht="5.0999999999999996" customHeight="1" x14ac:dyDescent="0.3"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C24" s="327"/>
      <c r="HD24" s="328"/>
      <c r="HE24" s="328"/>
      <c r="HF24" s="328"/>
      <c r="HG24" s="328"/>
      <c r="HH24" s="328"/>
      <c r="HI24" s="328"/>
      <c r="HJ24" s="328"/>
      <c r="HK24" s="328"/>
      <c r="HL24" s="328"/>
      <c r="HM24" s="328"/>
      <c r="HN24" s="328"/>
      <c r="HO24" s="328"/>
      <c r="HP24" s="328"/>
      <c r="HQ24" s="328"/>
      <c r="HR24" s="328"/>
      <c r="HS24" s="328"/>
      <c r="HT24" s="328"/>
      <c r="HU24" s="328"/>
      <c r="HV24" s="328"/>
      <c r="HW24" s="328"/>
      <c r="HX24" s="328"/>
      <c r="HY24" s="328"/>
      <c r="HZ24" s="328"/>
      <c r="IA24" s="328"/>
      <c r="IB24" s="328"/>
      <c r="IC24" s="328"/>
      <c r="ID24" s="328"/>
      <c r="IE24" s="328"/>
      <c r="IF24" s="328"/>
      <c r="IG24" s="328"/>
      <c r="IH24" s="328"/>
      <c r="II24" s="328"/>
      <c r="IJ24" s="328"/>
      <c r="IK24" s="328"/>
      <c r="IL24" s="328"/>
      <c r="IM24" s="328"/>
      <c r="IN24" s="328"/>
      <c r="IO24" s="328"/>
      <c r="IP24" s="328"/>
      <c r="IQ24" s="343"/>
      <c r="IR24" s="345"/>
      <c r="IS24" s="345"/>
      <c r="IT24" s="345"/>
      <c r="IU24" s="345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QK24" s="17"/>
      <c r="QL24" s="17"/>
      <c r="QM24" s="17"/>
      <c r="QN24" s="17"/>
      <c r="QO24" s="17"/>
      <c r="QP24" s="17"/>
      <c r="QQ24" s="18"/>
      <c r="QR24" s="19"/>
    </row>
    <row r="25" spans="3:460" ht="5.0999999999999996" customHeight="1" x14ac:dyDescent="0.3">
      <c r="C25" s="15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C25" s="327"/>
      <c r="HD25" s="328"/>
      <c r="HE25" s="328"/>
      <c r="HF25" s="328"/>
      <c r="HG25" s="328"/>
      <c r="HH25" s="328"/>
      <c r="HI25" s="328"/>
      <c r="HJ25" s="328"/>
      <c r="HK25" s="328"/>
      <c r="HL25" s="328"/>
      <c r="HM25" s="328"/>
      <c r="HN25" s="328"/>
      <c r="HO25" s="328"/>
      <c r="HP25" s="328"/>
      <c r="HQ25" s="328"/>
      <c r="HR25" s="328"/>
      <c r="HS25" s="328"/>
      <c r="HT25" s="328"/>
      <c r="HU25" s="328"/>
      <c r="HV25" s="328"/>
      <c r="HW25" s="328"/>
      <c r="HX25" s="328"/>
      <c r="HY25" s="328"/>
      <c r="HZ25" s="328"/>
      <c r="IA25" s="328"/>
      <c r="IB25" s="328"/>
      <c r="IC25" s="328"/>
      <c r="ID25" s="328"/>
      <c r="IE25" s="328"/>
      <c r="IF25" s="328"/>
      <c r="IG25" s="328"/>
      <c r="IH25" s="328"/>
      <c r="II25" s="328"/>
      <c r="IJ25" s="328"/>
      <c r="IK25" s="328"/>
      <c r="IL25" s="328"/>
      <c r="IM25" s="328"/>
      <c r="IN25" s="328"/>
      <c r="IO25" s="328"/>
      <c r="IP25" s="328"/>
      <c r="IQ25" s="343"/>
      <c r="IR25" s="345"/>
      <c r="IS25" s="345"/>
      <c r="IT25" s="345"/>
      <c r="IU25" s="345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QK25" s="17"/>
      <c r="QL25" s="17"/>
      <c r="QM25" s="17"/>
      <c r="QN25" s="17"/>
      <c r="QO25" s="17"/>
      <c r="QP25" s="17"/>
      <c r="QQ25" s="18"/>
      <c r="QR25" s="19"/>
    </row>
    <row r="26" spans="3:460" ht="5.0999999999999996" customHeight="1" x14ac:dyDescent="0.3">
      <c r="C26" s="15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HC26" s="327"/>
      <c r="HD26" s="328"/>
      <c r="HE26" s="328"/>
      <c r="HF26" s="328"/>
      <c r="HG26" s="328"/>
      <c r="HH26" s="328"/>
      <c r="HI26" s="328"/>
      <c r="HJ26" s="328"/>
      <c r="HK26" s="328"/>
      <c r="HL26" s="328"/>
      <c r="HM26" s="328"/>
      <c r="HN26" s="328"/>
      <c r="HO26" s="328"/>
      <c r="HP26" s="328"/>
      <c r="HQ26" s="328"/>
      <c r="HR26" s="328"/>
      <c r="HS26" s="328"/>
      <c r="HT26" s="328"/>
      <c r="HU26" s="328"/>
      <c r="HV26" s="328"/>
      <c r="HW26" s="328"/>
      <c r="HX26" s="328"/>
      <c r="HY26" s="328"/>
      <c r="HZ26" s="328"/>
      <c r="IA26" s="328"/>
      <c r="IB26" s="328"/>
      <c r="IC26" s="328"/>
      <c r="ID26" s="328"/>
      <c r="IE26" s="328"/>
      <c r="IF26" s="328"/>
      <c r="IG26" s="328"/>
      <c r="IH26" s="328"/>
      <c r="II26" s="328"/>
      <c r="IJ26" s="328"/>
      <c r="IK26" s="328"/>
      <c r="IL26" s="328"/>
      <c r="IM26" s="328"/>
      <c r="IN26" s="328"/>
      <c r="IO26" s="328"/>
      <c r="IP26" s="328"/>
      <c r="IQ26" s="343"/>
      <c r="IR26" s="345"/>
      <c r="IS26" s="345"/>
      <c r="IT26" s="345"/>
      <c r="IU26" s="345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QK26" s="17"/>
      <c r="QL26" s="17"/>
      <c r="QM26" s="17"/>
      <c r="QN26" s="17"/>
      <c r="QO26" s="17"/>
      <c r="QP26" s="17"/>
      <c r="QQ26" s="18"/>
      <c r="QR26" s="19"/>
    </row>
    <row r="27" spans="3:460" ht="5.0999999999999996" customHeight="1" x14ac:dyDescent="0.3">
      <c r="C27" s="15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HC27" s="330"/>
      <c r="HD27" s="331"/>
      <c r="HE27" s="331"/>
      <c r="HF27" s="331"/>
      <c r="HG27" s="331"/>
      <c r="HH27" s="331"/>
      <c r="HI27" s="331"/>
      <c r="HJ27" s="331"/>
      <c r="HK27" s="331"/>
      <c r="HL27" s="331"/>
      <c r="HM27" s="331"/>
      <c r="HN27" s="331"/>
      <c r="HO27" s="331"/>
      <c r="HP27" s="331"/>
      <c r="HQ27" s="331"/>
      <c r="HR27" s="331"/>
      <c r="HS27" s="331"/>
      <c r="HT27" s="331"/>
      <c r="HU27" s="331"/>
      <c r="HV27" s="331"/>
      <c r="HW27" s="331"/>
      <c r="HX27" s="331"/>
      <c r="HY27" s="331"/>
      <c r="HZ27" s="331"/>
      <c r="IA27" s="331"/>
      <c r="IB27" s="331"/>
      <c r="IC27" s="331"/>
      <c r="ID27" s="331"/>
      <c r="IE27" s="331"/>
      <c r="IF27" s="331"/>
      <c r="IG27" s="331"/>
      <c r="IH27" s="331"/>
      <c r="II27" s="331"/>
      <c r="IJ27" s="331"/>
      <c r="IK27" s="331"/>
      <c r="IL27" s="331"/>
      <c r="IM27" s="331"/>
      <c r="IN27" s="331"/>
      <c r="IO27" s="331"/>
      <c r="IP27" s="331"/>
      <c r="IQ27" s="344"/>
      <c r="IR27" s="345"/>
      <c r="IS27" s="345"/>
      <c r="IT27" s="345"/>
      <c r="IU27" s="345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QK27" s="17"/>
      <c r="QL27" s="17"/>
      <c r="QM27" s="17"/>
      <c r="QN27" s="17"/>
      <c r="QO27" s="17"/>
      <c r="QP27" s="17"/>
      <c r="QQ27" s="18"/>
      <c r="QR27" s="19"/>
    </row>
    <row r="28" spans="3:460" ht="5.0999999999999996" customHeight="1" x14ac:dyDescent="0.3">
      <c r="C28" s="15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20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QK28" s="17"/>
      <c r="QL28" s="17"/>
      <c r="QM28" s="17"/>
      <c r="QN28" s="17"/>
      <c r="QO28" s="17"/>
      <c r="QP28" s="17"/>
      <c r="QQ28" s="18"/>
      <c r="QR28" s="19"/>
    </row>
    <row r="29" spans="3:460" ht="5.0999999999999996" customHeight="1" x14ac:dyDescent="0.3">
      <c r="C29" s="15"/>
      <c r="D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20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QQ29" s="18"/>
      <c r="QR29" s="19"/>
    </row>
    <row r="30" spans="3:460" ht="5.0999999999999996" customHeight="1" x14ac:dyDescent="0.3">
      <c r="C30" s="15"/>
      <c r="D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HW30" s="21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J30" s="22"/>
      <c r="JK30" s="22"/>
      <c r="QQ30" s="18"/>
      <c r="QR30" s="19"/>
    </row>
    <row r="31" spans="3:460" ht="5.0999999999999996" customHeight="1" x14ac:dyDescent="0.3">
      <c r="C31" s="15"/>
      <c r="D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HW31" s="21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J31" s="22"/>
      <c r="JK31" s="22"/>
      <c r="QQ31" s="18"/>
      <c r="QR31" s="19"/>
    </row>
    <row r="32" spans="3:460" ht="5.0999999999999996" customHeight="1" x14ac:dyDescent="0.3">
      <c r="C32" s="15"/>
      <c r="D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HW32" s="21"/>
      <c r="QQ32" s="18"/>
      <c r="QR32" s="19"/>
    </row>
    <row r="33" spans="3:460" ht="5.0999999999999996" customHeight="1" thickBot="1" x14ac:dyDescent="0.35">
      <c r="C33" s="15"/>
      <c r="D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HV33" s="24"/>
      <c r="HW33" s="21"/>
      <c r="QQ33" s="18"/>
      <c r="QR33" s="19"/>
    </row>
    <row r="34" spans="3:460" ht="5.0999999999999996" customHeight="1" x14ac:dyDescent="0.3">
      <c r="C34" s="15"/>
      <c r="D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AF34" s="25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EH34" s="25"/>
      <c r="EI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5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  <c r="KY34" s="26"/>
      <c r="KZ34" s="26"/>
      <c r="LA34" s="26"/>
      <c r="LB34" s="26"/>
      <c r="LC34" s="26"/>
      <c r="LD34" s="26"/>
      <c r="LE34" s="26"/>
      <c r="LF34" s="26"/>
      <c r="LG34" s="26"/>
      <c r="LH34" s="26"/>
      <c r="LI34" s="26"/>
      <c r="LJ34" s="26"/>
      <c r="LK34" s="26"/>
      <c r="LL34" s="26"/>
      <c r="LM34" s="26"/>
      <c r="LN34" s="26"/>
      <c r="LO34" s="26"/>
      <c r="LP34" s="26"/>
      <c r="LQ34" s="26"/>
      <c r="LR34" s="26"/>
      <c r="LS34" s="26"/>
      <c r="LT34" s="26"/>
      <c r="LU34" s="26"/>
      <c r="LV34" s="26"/>
      <c r="LW34" s="26"/>
      <c r="LX34" s="27"/>
      <c r="LY34" s="27"/>
      <c r="LZ34" s="27"/>
      <c r="MA34" s="27"/>
      <c r="MB34" s="27"/>
      <c r="MC34" s="27"/>
      <c r="MD34" s="27"/>
      <c r="ME34" s="26"/>
      <c r="MF34" s="26"/>
      <c r="MG34" s="26"/>
      <c r="MH34" s="26"/>
      <c r="MI34" s="26"/>
      <c r="MJ34" s="26"/>
      <c r="MK34" s="26"/>
      <c r="ML34" s="26"/>
      <c r="MM34" s="26"/>
      <c r="MN34" s="26"/>
      <c r="MO34" s="26"/>
      <c r="MP34" s="26"/>
      <c r="MQ34" s="26"/>
      <c r="MR34" s="26"/>
      <c r="MS34" s="26"/>
      <c r="MT34" s="26"/>
      <c r="MU34" s="26"/>
      <c r="MV34" s="26"/>
      <c r="MW34" s="26"/>
      <c r="MX34" s="26"/>
      <c r="MY34" s="26"/>
      <c r="MZ34" s="26"/>
      <c r="NA34" s="26"/>
      <c r="NB34" s="26"/>
      <c r="NC34" s="26"/>
      <c r="ND34" s="26"/>
      <c r="NE34" s="26"/>
      <c r="NF34" s="26"/>
      <c r="NG34" s="26"/>
      <c r="NH34" s="26"/>
      <c r="NI34" s="26"/>
      <c r="NJ34" s="26"/>
      <c r="NK34" s="26"/>
      <c r="NL34" s="26"/>
      <c r="NM34" s="26"/>
      <c r="NN34" s="26"/>
      <c r="NO34" s="26"/>
      <c r="NP34" s="26"/>
      <c r="NQ34" s="26"/>
      <c r="NR34" s="26"/>
      <c r="NS34" s="26"/>
      <c r="NT34" s="26"/>
      <c r="NU34" s="26"/>
      <c r="NV34" s="26"/>
      <c r="NW34" s="26"/>
      <c r="NX34" s="26"/>
      <c r="NY34" s="26"/>
      <c r="NZ34" s="26"/>
      <c r="OA34" s="26"/>
      <c r="OB34" s="26"/>
      <c r="OC34" s="26"/>
      <c r="OD34" s="26"/>
      <c r="OE34" s="26"/>
      <c r="OF34" s="26"/>
      <c r="OG34" s="26"/>
      <c r="OH34" s="26"/>
      <c r="OI34" s="26"/>
      <c r="OJ34" s="26"/>
      <c r="OK34" s="26"/>
      <c r="OL34" s="26"/>
      <c r="OM34" s="26"/>
      <c r="ON34" s="26"/>
      <c r="OO34" s="28"/>
      <c r="QQ34" s="18"/>
      <c r="QR34" s="19"/>
    </row>
    <row r="35" spans="3:460" ht="5.0999999999999996" customHeight="1" x14ac:dyDescent="0.3">
      <c r="C35" s="15"/>
      <c r="D35" s="16"/>
      <c r="F35" s="17"/>
      <c r="G35" s="17"/>
      <c r="H35" s="17"/>
      <c r="I35" s="17"/>
      <c r="J35" s="17"/>
      <c r="K35" s="17"/>
      <c r="L35" s="17"/>
      <c r="M35" s="17"/>
      <c r="N35" s="17"/>
      <c r="O35" s="17"/>
      <c r="W35" s="17"/>
      <c r="AC35" s="17"/>
      <c r="AD35" s="17"/>
      <c r="AF35" s="21"/>
      <c r="EH35" s="21"/>
      <c r="KC35" s="21"/>
      <c r="OO35" s="24"/>
      <c r="QQ35" s="18"/>
      <c r="QR35" s="19"/>
    </row>
    <row r="36" spans="3:460" ht="5.0999999999999996" customHeight="1" x14ac:dyDescent="0.3">
      <c r="C36" s="15"/>
      <c r="D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AC36" s="17"/>
      <c r="AD36" s="17"/>
      <c r="AE36" s="17"/>
      <c r="AF36" s="29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I36" s="17"/>
      <c r="BJ36" s="17"/>
      <c r="EH36" s="21"/>
      <c r="KC36" s="21"/>
      <c r="NS36" s="324" t="s">
        <v>4</v>
      </c>
      <c r="NT36" s="325"/>
      <c r="NU36" s="325"/>
      <c r="NV36" s="325"/>
      <c r="NW36" s="325"/>
      <c r="NX36" s="325"/>
      <c r="NY36" s="325"/>
      <c r="NZ36" s="325"/>
      <c r="OA36" s="325"/>
      <c r="OB36" s="325"/>
      <c r="OC36" s="325"/>
      <c r="OD36" s="325"/>
      <c r="OE36" s="325"/>
      <c r="OF36" s="325"/>
      <c r="OG36" s="325"/>
      <c r="OH36" s="325"/>
      <c r="OI36" s="325"/>
      <c r="OJ36" s="325"/>
      <c r="OK36" s="325"/>
      <c r="OL36" s="325"/>
      <c r="OM36" s="325"/>
      <c r="ON36" s="325"/>
      <c r="OO36" s="325"/>
      <c r="OP36" s="325"/>
      <c r="OQ36" s="325"/>
      <c r="OR36" s="325"/>
      <c r="OS36" s="325"/>
      <c r="OT36" s="325"/>
      <c r="OU36" s="325"/>
      <c r="OV36" s="325"/>
      <c r="OW36" s="325"/>
      <c r="OX36" s="325"/>
      <c r="OY36" s="325"/>
      <c r="OZ36" s="325"/>
      <c r="PA36" s="325"/>
      <c r="PB36" s="325"/>
      <c r="PC36" s="325"/>
      <c r="PD36" s="325"/>
      <c r="PE36" s="325"/>
      <c r="PF36" s="325"/>
      <c r="PG36" s="342"/>
      <c r="PH36" s="346">
        <f>SUM(OI50,QK50,OJ64)</f>
        <v>3</v>
      </c>
      <c r="PI36" s="325"/>
      <c r="PJ36" s="325"/>
      <c r="PK36" s="325"/>
      <c r="PL36" s="325"/>
      <c r="PM36" s="326"/>
      <c r="QQ36" s="18"/>
      <c r="QR36" s="19"/>
    </row>
    <row r="37" spans="3:460" ht="5.0999999999999996" customHeight="1" x14ac:dyDescent="0.3">
      <c r="C37" s="15"/>
      <c r="D37" s="16"/>
      <c r="F37" s="17"/>
      <c r="G37" s="17"/>
      <c r="H37" s="17"/>
      <c r="I37" s="345" t="s">
        <v>5</v>
      </c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345"/>
      <c r="AB37" s="345"/>
      <c r="AC37" s="345"/>
      <c r="AD37" s="345"/>
      <c r="AE37" s="345"/>
      <c r="AF37" s="345"/>
      <c r="AG37" s="345"/>
      <c r="AH37" s="345"/>
      <c r="AI37" s="345"/>
      <c r="AJ37" s="345"/>
      <c r="AK37" s="345"/>
      <c r="AL37" s="345"/>
      <c r="AM37" s="345"/>
      <c r="AN37" s="345"/>
      <c r="AO37" s="345"/>
      <c r="AP37" s="345"/>
      <c r="AQ37" s="345"/>
      <c r="AR37" s="345"/>
      <c r="AS37" s="345"/>
      <c r="AT37" s="345"/>
      <c r="AU37" s="345"/>
      <c r="AV37" s="345"/>
      <c r="AW37" s="345"/>
      <c r="AX37" s="345">
        <f>SUM(AX48:BB87)</f>
        <v>12</v>
      </c>
      <c r="AY37" s="345"/>
      <c r="AZ37" s="345"/>
      <c r="BA37" s="345"/>
      <c r="BB37" s="345"/>
      <c r="BC37" s="17"/>
      <c r="BD37" s="17"/>
      <c r="BI37" s="17"/>
      <c r="BJ37" s="17"/>
      <c r="BK37" s="17"/>
      <c r="BL37" s="17"/>
      <c r="BM37" s="17"/>
      <c r="CA37" s="1" t="s">
        <v>6</v>
      </c>
      <c r="DP37" s="1">
        <v>2</v>
      </c>
      <c r="EH37" s="21"/>
      <c r="KC37" s="21"/>
      <c r="NS37" s="327"/>
      <c r="NT37" s="328"/>
      <c r="NU37" s="328"/>
      <c r="NV37" s="328"/>
      <c r="NW37" s="328"/>
      <c r="NX37" s="328"/>
      <c r="NY37" s="328"/>
      <c r="NZ37" s="328"/>
      <c r="OA37" s="328"/>
      <c r="OB37" s="328"/>
      <c r="OC37" s="328"/>
      <c r="OD37" s="328"/>
      <c r="OE37" s="328"/>
      <c r="OF37" s="328"/>
      <c r="OG37" s="328"/>
      <c r="OH37" s="328"/>
      <c r="OI37" s="328"/>
      <c r="OJ37" s="328"/>
      <c r="OK37" s="328"/>
      <c r="OL37" s="328"/>
      <c r="OM37" s="328"/>
      <c r="ON37" s="328"/>
      <c r="OO37" s="328"/>
      <c r="OP37" s="328"/>
      <c r="OQ37" s="328"/>
      <c r="OR37" s="328"/>
      <c r="OS37" s="328"/>
      <c r="OT37" s="328"/>
      <c r="OU37" s="328"/>
      <c r="OV37" s="328"/>
      <c r="OW37" s="328"/>
      <c r="OX37" s="328"/>
      <c r="OY37" s="328"/>
      <c r="OZ37" s="328"/>
      <c r="PA37" s="328"/>
      <c r="PB37" s="328"/>
      <c r="PC37" s="328"/>
      <c r="PD37" s="328"/>
      <c r="PE37" s="328"/>
      <c r="PF37" s="328"/>
      <c r="PG37" s="343"/>
      <c r="PH37" s="347"/>
      <c r="PI37" s="328"/>
      <c r="PJ37" s="328"/>
      <c r="PK37" s="328"/>
      <c r="PL37" s="328"/>
      <c r="PM37" s="329"/>
      <c r="QQ37" s="18"/>
      <c r="QR37" s="19"/>
    </row>
    <row r="38" spans="3:460" ht="5.0999999999999996" customHeight="1" x14ac:dyDescent="0.3">
      <c r="C38" s="15"/>
      <c r="D38" s="16"/>
      <c r="F38" s="17"/>
      <c r="G38" s="17"/>
      <c r="H38" s="17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345"/>
      <c r="AT38" s="345"/>
      <c r="AU38" s="345"/>
      <c r="AV38" s="345"/>
      <c r="AW38" s="345"/>
      <c r="AX38" s="345"/>
      <c r="AY38" s="345"/>
      <c r="AZ38" s="345"/>
      <c r="BA38" s="345"/>
      <c r="BB38" s="345"/>
      <c r="BC38" s="17"/>
      <c r="BD38" s="17"/>
      <c r="BI38" s="17"/>
      <c r="BJ38" s="17"/>
      <c r="BK38" s="17"/>
      <c r="BL38" s="17"/>
      <c r="BM38" s="17"/>
      <c r="EH38" s="21"/>
      <c r="KC38" s="21"/>
      <c r="NS38" s="327"/>
      <c r="NT38" s="328"/>
      <c r="NU38" s="328"/>
      <c r="NV38" s="328"/>
      <c r="NW38" s="328"/>
      <c r="NX38" s="328"/>
      <c r="NY38" s="328"/>
      <c r="NZ38" s="328"/>
      <c r="OA38" s="328"/>
      <c r="OB38" s="328"/>
      <c r="OC38" s="328"/>
      <c r="OD38" s="328"/>
      <c r="OE38" s="328"/>
      <c r="OF38" s="328"/>
      <c r="OG38" s="328"/>
      <c r="OH38" s="328"/>
      <c r="OI38" s="328"/>
      <c r="OJ38" s="328"/>
      <c r="OK38" s="328"/>
      <c r="OL38" s="328"/>
      <c r="OM38" s="328"/>
      <c r="ON38" s="328"/>
      <c r="OO38" s="328"/>
      <c r="OP38" s="328"/>
      <c r="OQ38" s="328"/>
      <c r="OR38" s="328"/>
      <c r="OS38" s="328"/>
      <c r="OT38" s="328"/>
      <c r="OU38" s="328"/>
      <c r="OV38" s="328"/>
      <c r="OW38" s="328"/>
      <c r="OX38" s="328"/>
      <c r="OY38" s="328"/>
      <c r="OZ38" s="328"/>
      <c r="PA38" s="328"/>
      <c r="PB38" s="328"/>
      <c r="PC38" s="328"/>
      <c r="PD38" s="328"/>
      <c r="PE38" s="328"/>
      <c r="PF38" s="328"/>
      <c r="PG38" s="343"/>
      <c r="PH38" s="347"/>
      <c r="PI38" s="328"/>
      <c r="PJ38" s="328"/>
      <c r="PK38" s="328"/>
      <c r="PL38" s="328"/>
      <c r="PM38" s="329"/>
      <c r="QQ38" s="18"/>
      <c r="QR38" s="19"/>
    </row>
    <row r="39" spans="3:460" ht="5.0999999999999996" customHeight="1" x14ac:dyDescent="0.3">
      <c r="C39" s="15"/>
      <c r="D39" s="16"/>
      <c r="F39" s="17"/>
      <c r="G39" s="17"/>
      <c r="H39" s="17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5"/>
      <c r="AF39" s="345"/>
      <c r="AG39" s="345"/>
      <c r="AH39" s="345"/>
      <c r="AI39" s="345"/>
      <c r="AJ39" s="345"/>
      <c r="AK39" s="345"/>
      <c r="AL39" s="345"/>
      <c r="AM39" s="345"/>
      <c r="AN39" s="345"/>
      <c r="AO39" s="345"/>
      <c r="AP39" s="345"/>
      <c r="AQ39" s="345"/>
      <c r="AR39" s="345"/>
      <c r="AS39" s="345"/>
      <c r="AT39" s="345"/>
      <c r="AU39" s="345"/>
      <c r="AV39" s="345"/>
      <c r="AW39" s="345"/>
      <c r="AX39" s="345"/>
      <c r="AY39" s="345"/>
      <c r="AZ39" s="345"/>
      <c r="BA39" s="345"/>
      <c r="BB39" s="345"/>
      <c r="BC39" s="17"/>
      <c r="BD39" s="17"/>
      <c r="BI39" s="17"/>
      <c r="BJ39" s="17"/>
      <c r="BK39" s="17"/>
      <c r="BL39" s="17"/>
      <c r="BM39" s="17"/>
      <c r="EH39" s="21"/>
      <c r="KC39" s="21"/>
      <c r="NS39" s="327"/>
      <c r="NT39" s="328"/>
      <c r="NU39" s="328"/>
      <c r="NV39" s="328"/>
      <c r="NW39" s="328"/>
      <c r="NX39" s="328"/>
      <c r="NY39" s="328"/>
      <c r="NZ39" s="328"/>
      <c r="OA39" s="328"/>
      <c r="OB39" s="328"/>
      <c r="OC39" s="328"/>
      <c r="OD39" s="328"/>
      <c r="OE39" s="328"/>
      <c r="OF39" s="328"/>
      <c r="OG39" s="328"/>
      <c r="OH39" s="328"/>
      <c r="OI39" s="328"/>
      <c r="OJ39" s="328"/>
      <c r="OK39" s="328"/>
      <c r="OL39" s="328"/>
      <c r="OM39" s="328"/>
      <c r="ON39" s="328"/>
      <c r="OO39" s="328"/>
      <c r="OP39" s="328"/>
      <c r="OQ39" s="328"/>
      <c r="OR39" s="328"/>
      <c r="OS39" s="328"/>
      <c r="OT39" s="328"/>
      <c r="OU39" s="328"/>
      <c r="OV39" s="328"/>
      <c r="OW39" s="328"/>
      <c r="OX39" s="328"/>
      <c r="OY39" s="328"/>
      <c r="OZ39" s="328"/>
      <c r="PA39" s="328"/>
      <c r="PB39" s="328"/>
      <c r="PC39" s="328"/>
      <c r="PD39" s="328"/>
      <c r="PE39" s="328"/>
      <c r="PF39" s="328"/>
      <c r="PG39" s="343"/>
      <c r="PH39" s="347"/>
      <c r="PI39" s="328"/>
      <c r="PJ39" s="328"/>
      <c r="PK39" s="328"/>
      <c r="PL39" s="328"/>
      <c r="PM39" s="329"/>
      <c r="QQ39" s="18"/>
      <c r="QR39" s="19"/>
    </row>
    <row r="40" spans="3:460" ht="5.0999999999999996" customHeight="1" x14ac:dyDescent="0.3">
      <c r="C40" s="15"/>
      <c r="D40" s="16"/>
      <c r="F40" s="17"/>
      <c r="G40" s="17"/>
      <c r="H40" s="17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5"/>
      <c r="AF40" s="345"/>
      <c r="AG40" s="345"/>
      <c r="AH40" s="345"/>
      <c r="AI40" s="345"/>
      <c r="AJ40" s="345"/>
      <c r="AK40" s="345"/>
      <c r="AL40" s="345"/>
      <c r="AM40" s="345"/>
      <c r="AN40" s="345"/>
      <c r="AO40" s="345"/>
      <c r="AP40" s="345"/>
      <c r="AQ40" s="345"/>
      <c r="AR40" s="345"/>
      <c r="AS40" s="345"/>
      <c r="AT40" s="345"/>
      <c r="AU40" s="345"/>
      <c r="AV40" s="345"/>
      <c r="AW40" s="345"/>
      <c r="AX40" s="345"/>
      <c r="AY40" s="345"/>
      <c r="AZ40" s="345"/>
      <c r="BA40" s="345"/>
      <c r="BB40" s="345"/>
      <c r="BC40" s="17"/>
      <c r="BD40" s="17"/>
      <c r="BI40" s="17"/>
      <c r="BJ40" s="17"/>
      <c r="BK40" s="17"/>
      <c r="BL40" s="17"/>
      <c r="BM40" s="17"/>
      <c r="EH40" s="21"/>
      <c r="KC40" s="21"/>
      <c r="NS40" s="327"/>
      <c r="NT40" s="328"/>
      <c r="NU40" s="328"/>
      <c r="NV40" s="328"/>
      <c r="NW40" s="328"/>
      <c r="NX40" s="328"/>
      <c r="NY40" s="328"/>
      <c r="NZ40" s="328"/>
      <c r="OA40" s="328"/>
      <c r="OB40" s="328"/>
      <c r="OC40" s="328"/>
      <c r="OD40" s="328"/>
      <c r="OE40" s="328"/>
      <c r="OF40" s="328"/>
      <c r="OG40" s="328"/>
      <c r="OH40" s="328"/>
      <c r="OI40" s="328"/>
      <c r="OJ40" s="328"/>
      <c r="OK40" s="328"/>
      <c r="OL40" s="328"/>
      <c r="OM40" s="328"/>
      <c r="ON40" s="328"/>
      <c r="OO40" s="328"/>
      <c r="OP40" s="328"/>
      <c r="OQ40" s="328"/>
      <c r="OR40" s="328"/>
      <c r="OS40" s="328"/>
      <c r="OT40" s="328"/>
      <c r="OU40" s="328"/>
      <c r="OV40" s="328"/>
      <c r="OW40" s="328"/>
      <c r="OX40" s="328"/>
      <c r="OY40" s="328"/>
      <c r="OZ40" s="328"/>
      <c r="PA40" s="328"/>
      <c r="PB40" s="328"/>
      <c r="PC40" s="328"/>
      <c r="PD40" s="328"/>
      <c r="PE40" s="328"/>
      <c r="PF40" s="328"/>
      <c r="PG40" s="343"/>
      <c r="PH40" s="347"/>
      <c r="PI40" s="328"/>
      <c r="PJ40" s="328"/>
      <c r="PK40" s="328"/>
      <c r="PL40" s="328"/>
      <c r="PM40" s="329"/>
      <c r="QQ40" s="18"/>
      <c r="QR40" s="19"/>
    </row>
    <row r="41" spans="3:460" ht="5.0999999999999996" customHeight="1" x14ac:dyDescent="0.3">
      <c r="C41" s="15"/>
      <c r="D41" s="16"/>
      <c r="F41" s="17"/>
      <c r="G41" s="17"/>
      <c r="H41" s="17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5"/>
      <c r="AH41" s="345"/>
      <c r="AI41" s="345"/>
      <c r="AJ41" s="345"/>
      <c r="AK41" s="345"/>
      <c r="AL41" s="345"/>
      <c r="AM41" s="345"/>
      <c r="AN41" s="345"/>
      <c r="AO41" s="345"/>
      <c r="AP41" s="345"/>
      <c r="AQ41" s="345"/>
      <c r="AR41" s="345"/>
      <c r="AS41" s="345"/>
      <c r="AT41" s="345"/>
      <c r="AU41" s="345"/>
      <c r="AV41" s="345"/>
      <c r="AW41" s="345"/>
      <c r="AX41" s="345"/>
      <c r="AY41" s="345"/>
      <c r="AZ41" s="345"/>
      <c r="BA41" s="345"/>
      <c r="BB41" s="345"/>
      <c r="BC41" s="17"/>
      <c r="BD41" s="17"/>
      <c r="BI41" s="17"/>
      <c r="BJ41" s="17"/>
      <c r="BK41" s="17"/>
      <c r="BL41" s="17"/>
      <c r="BM41" s="17"/>
      <c r="EH41" s="21"/>
      <c r="KC41" s="21"/>
      <c r="NS41" s="327"/>
      <c r="NT41" s="328"/>
      <c r="NU41" s="328"/>
      <c r="NV41" s="328"/>
      <c r="NW41" s="328"/>
      <c r="NX41" s="328"/>
      <c r="NY41" s="328"/>
      <c r="NZ41" s="328"/>
      <c r="OA41" s="328"/>
      <c r="OB41" s="328"/>
      <c r="OC41" s="328"/>
      <c r="OD41" s="328"/>
      <c r="OE41" s="328"/>
      <c r="OF41" s="328"/>
      <c r="OG41" s="328"/>
      <c r="OH41" s="328"/>
      <c r="OI41" s="328"/>
      <c r="OJ41" s="328"/>
      <c r="OK41" s="328"/>
      <c r="OL41" s="328"/>
      <c r="OM41" s="328"/>
      <c r="ON41" s="328"/>
      <c r="OO41" s="328"/>
      <c r="OP41" s="328"/>
      <c r="OQ41" s="328"/>
      <c r="OR41" s="328"/>
      <c r="OS41" s="328"/>
      <c r="OT41" s="328"/>
      <c r="OU41" s="328"/>
      <c r="OV41" s="328"/>
      <c r="OW41" s="328"/>
      <c r="OX41" s="328"/>
      <c r="OY41" s="328"/>
      <c r="OZ41" s="328"/>
      <c r="PA41" s="328"/>
      <c r="PB41" s="328"/>
      <c r="PC41" s="328"/>
      <c r="PD41" s="328"/>
      <c r="PE41" s="328"/>
      <c r="PF41" s="328"/>
      <c r="PG41" s="343"/>
      <c r="PH41" s="347"/>
      <c r="PI41" s="328"/>
      <c r="PJ41" s="328"/>
      <c r="PK41" s="328"/>
      <c r="PL41" s="328"/>
      <c r="PM41" s="329"/>
      <c r="QQ41" s="18"/>
      <c r="QR41" s="19"/>
    </row>
    <row r="42" spans="3:460" ht="5.0999999999999996" customHeight="1" x14ac:dyDescent="0.3">
      <c r="C42" s="15"/>
      <c r="D42" s="16"/>
      <c r="F42" s="17"/>
      <c r="G42" s="17"/>
      <c r="H42" s="17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5"/>
      <c r="AH42" s="345"/>
      <c r="AI42" s="345"/>
      <c r="AJ42" s="345"/>
      <c r="AK42" s="345"/>
      <c r="AL42" s="345"/>
      <c r="AM42" s="345"/>
      <c r="AN42" s="345"/>
      <c r="AO42" s="345"/>
      <c r="AP42" s="345"/>
      <c r="AQ42" s="345"/>
      <c r="AR42" s="345"/>
      <c r="AS42" s="345"/>
      <c r="AT42" s="345"/>
      <c r="AU42" s="345"/>
      <c r="AV42" s="345"/>
      <c r="AW42" s="345"/>
      <c r="AX42" s="345"/>
      <c r="AY42" s="345"/>
      <c r="AZ42" s="345"/>
      <c r="BA42" s="345"/>
      <c r="BB42" s="345"/>
      <c r="BC42" s="17"/>
      <c r="BD42" s="17"/>
      <c r="BI42" s="17"/>
      <c r="BJ42" s="17"/>
      <c r="BK42" s="17"/>
      <c r="BL42" s="17"/>
      <c r="BM42" s="17"/>
      <c r="EH42" s="21"/>
      <c r="KC42" s="21"/>
      <c r="NS42" s="327"/>
      <c r="NT42" s="328"/>
      <c r="NU42" s="328"/>
      <c r="NV42" s="328"/>
      <c r="NW42" s="328"/>
      <c r="NX42" s="328"/>
      <c r="NY42" s="328"/>
      <c r="NZ42" s="328"/>
      <c r="OA42" s="328"/>
      <c r="OB42" s="328"/>
      <c r="OC42" s="328"/>
      <c r="OD42" s="328"/>
      <c r="OE42" s="328"/>
      <c r="OF42" s="328"/>
      <c r="OG42" s="328"/>
      <c r="OH42" s="328"/>
      <c r="OI42" s="328"/>
      <c r="OJ42" s="328"/>
      <c r="OK42" s="328"/>
      <c r="OL42" s="328"/>
      <c r="OM42" s="328"/>
      <c r="ON42" s="328"/>
      <c r="OO42" s="328"/>
      <c r="OP42" s="328"/>
      <c r="OQ42" s="328"/>
      <c r="OR42" s="328"/>
      <c r="OS42" s="328"/>
      <c r="OT42" s="328"/>
      <c r="OU42" s="328"/>
      <c r="OV42" s="328"/>
      <c r="OW42" s="328"/>
      <c r="OX42" s="328"/>
      <c r="OY42" s="328"/>
      <c r="OZ42" s="328"/>
      <c r="PA42" s="328"/>
      <c r="PB42" s="328"/>
      <c r="PC42" s="328"/>
      <c r="PD42" s="328"/>
      <c r="PE42" s="328"/>
      <c r="PF42" s="328"/>
      <c r="PG42" s="343"/>
      <c r="PH42" s="347"/>
      <c r="PI42" s="328"/>
      <c r="PJ42" s="328"/>
      <c r="PK42" s="328"/>
      <c r="PL42" s="328"/>
      <c r="PM42" s="329"/>
      <c r="QQ42" s="18"/>
      <c r="QR42" s="19"/>
    </row>
    <row r="43" spans="3:460" ht="5.0999999999999996" customHeight="1" x14ac:dyDescent="0.3">
      <c r="C43" s="15"/>
      <c r="D43" s="16"/>
      <c r="F43" s="17"/>
      <c r="G43" s="17"/>
      <c r="H43" s="17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5"/>
      <c r="AH43" s="345"/>
      <c r="AI43" s="345"/>
      <c r="AJ43" s="345"/>
      <c r="AK43" s="345"/>
      <c r="AL43" s="345"/>
      <c r="AM43" s="345"/>
      <c r="AN43" s="345"/>
      <c r="AO43" s="345"/>
      <c r="AP43" s="345"/>
      <c r="AQ43" s="345"/>
      <c r="AR43" s="345"/>
      <c r="AS43" s="345"/>
      <c r="AT43" s="345"/>
      <c r="AU43" s="345"/>
      <c r="AV43" s="345"/>
      <c r="AW43" s="345"/>
      <c r="AX43" s="345"/>
      <c r="AY43" s="345"/>
      <c r="AZ43" s="345"/>
      <c r="BA43" s="345"/>
      <c r="BB43" s="345"/>
      <c r="BC43" s="17"/>
      <c r="BD43" s="17"/>
      <c r="BI43" s="17"/>
      <c r="BJ43" s="17"/>
      <c r="BK43" s="17"/>
      <c r="BL43" s="17"/>
      <c r="BM43" s="17"/>
      <c r="EH43" s="21"/>
      <c r="KC43" s="21"/>
      <c r="NS43" s="327"/>
      <c r="NT43" s="328"/>
      <c r="NU43" s="328"/>
      <c r="NV43" s="328"/>
      <c r="NW43" s="328"/>
      <c r="NX43" s="328"/>
      <c r="NY43" s="328"/>
      <c r="NZ43" s="328"/>
      <c r="OA43" s="328"/>
      <c r="OB43" s="328"/>
      <c r="OC43" s="328"/>
      <c r="OD43" s="328"/>
      <c r="OE43" s="328"/>
      <c r="OF43" s="328"/>
      <c r="OG43" s="328"/>
      <c r="OH43" s="328"/>
      <c r="OI43" s="328"/>
      <c r="OJ43" s="328"/>
      <c r="OK43" s="328"/>
      <c r="OL43" s="328"/>
      <c r="OM43" s="328"/>
      <c r="ON43" s="328"/>
      <c r="OO43" s="328"/>
      <c r="OP43" s="328"/>
      <c r="OQ43" s="328"/>
      <c r="OR43" s="328"/>
      <c r="OS43" s="328"/>
      <c r="OT43" s="328"/>
      <c r="OU43" s="328"/>
      <c r="OV43" s="328"/>
      <c r="OW43" s="328"/>
      <c r="OX43" s="328"/>
      <c r="OY43" s="328"/>
      <c r="OZ43" s="328"/>
      <c r="PA43" s="328"/>
      <c r="PB43" s="328"/>
      <c r="PC43" s="328"/>
      <c r="PD43" s="328"/>
      <c r="PE43" s="328"/>
      <c r="PF43" s="328"/>
      <c r="PG43" s="343"/>
      <c r="PH43" s="347"/>
      <c r="PI43" s="328"/>
      <c r="PJ43" s="328"/>
      <c r="PK43" s="328"/>
      <c r="PL43" s="328"/>
      <c r="PM43" s="329"/>
      <c r="QQ43" s="18"/>
      <c r="QR43" s="19"/>
    </row>
    <row r="44" spans="3:460" ht="5.0999999999999996" customHeight="1" x14ac:dyDescent="0.3">
      <c r="C44" s="15"/>
      <c r="D44" s="16"/>
      <c r="F44" s="17"/>
      <c r="G44" s="17"/>
      <c r="H44" s="17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5"/>
      <c r="AW44" s="345"/>
      <c r="AX44" s="345"/>
      <c r="AY44" s="345"/>
      <c r="AZ44" s="345"/>
      <c r="BA44" s="345"/>
      <c r="BB44" s="345"/>
      <c r="BC44" s="17"/>
      <c r="BD44" s="17"/>
      <c r="BI44" s="17"/>
      <c r="BJ44" s="17"/>
      <c r="BK44" s="17"/>
      <c r="BL44" s="17"/>
      <c r="BM44" s="17"/>
      <c r="EH44" s="21"/>
      <c r="KC44" s="21"/>
      <c r="NS44" s="327"/>
      <c r="NT44" s="328"/>
      <c r="NU44" s="328"/>
      <c r="NV44" s="328"/>
      <c r="NW44" s="328"/>
      <c r="NX44" s="328"/>
      <c r="NY44" s="328"/>
      <c r="NZ44" s="328"/>
      <c r="OA44" s="328"/>
      <c r="OB44" s="328"/>
      <c r="OC44" s="328"/>
      <c r="OD44" s="328"/>
      <c r="OE44" s="328"/>
      <c r="OF44" s="328"/>
      <c r="OG44" s="328"/>
      <c r="OH44" s="328"/>
      <c r="OI44" s="328"/>
      <c r="OJ44" s="328"/>
      <c r="OK44" s="328"/>
      <c r="OL44" s="328"/>
      <c r="OM44" s="328"/>
      <c r="ON44" s="328"/>
      <c r="OO44" s="328"/>
      <c r="OP44" s="328"/>
      <c r="OQ44" s="328"/>
      <c r="OR44" s="328"/>
      <c r="OS44" s="328"/>
      <c r="OT44" s="328"/>
      <c r="OU44" s="328"/>
      <c r="OV44" s="328"/>
      <c r="OW44" s="328"/>
      <c r="OX44" s="328"/>
      <c r="OY44" s="328"/>
      <c r="OZ44" s="328"/>
      <c r="PA44" s="328"/>
      <c r="PB44" s="328"/>
      <c r="PC44" s="328"/>
      <c r="PD44" s="328"/>
      <c r="PE44" s="328"/>
      <c r="PF44" s="328"/>
      <c r="PG44" s="343"/>
      <c r="PH44" s="347"/>
      <c r="PI44" s="328"/>
      <c r="PJ44" s="328"/>
      <c r="PK44" s="328"/>
      <c r="PL44" s="328"/>
      <c r="PM44" s="329"/>
      <c r="QQ44" s="18"/>
      <c r="QR44" s="19"/>
    </row>
    <row r="45" spans="3:460" ht="5.0999999999999996" customHeight="1" x14ac:dyDescent="0.3">
      <c r="C45" s="15"/>
      <c r="D45" s="16"/>
      <c r="F45" s="17"/>
      <c r="G45" s="17"/>
      <c r="H45" s="17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EH45" s="30"/>
      <c r="EI45" s="31"/>
      <c r="KC45" s="30"/>
      <c r="KD45" s="31"/>
      <c r="KE45" s="31"/>
      <c r="NS45" s="330"/>
      <c r="NT45" s="331"/>
      <c r="NU45" s="331"/>
      <c r="NV45" s="331"/>
      <c r="NW45" s="331"/>
      <c r="NX45" s="331"/>
      <c r="NY45" s="331"/>
      <c r="NZ45" s="331"/>
      <c r="OA45" s="331"/>
      <c r="OB45" s="331"/>
      <c r="OC45" s="331"/>
      <c r="OD45" s="331"/>
      <c r="OE45" s="331"/>
      <c r="OF45" s="331"/>
      <c r="OG45" s="331"/>
      <c r="OH45" s="331"/>
      <c r="OI45" s="331"/>
      <c r="OJ45" s="331"/>
      <c r="OK45" s="331"/>
      <c r="OL45" s="331"/>
      <c r="OM45" s="331"/>
      <c r="ON45" s="331"/>
      <c r="OO45" s="331"/>
      <c r="OP45" s="331"/>
      <c r="OQ45" s="331"/>
      <c r="OR45" s="331"/>
      <c r="OS45" s="331"/>
      <c r="OT45" s="331"/>
      <c r="OU45" s="331"/>
      <c r="OV45" s="331"/>
      <c r="OW45" s="331"/>
      <c r="OX45" s="331"/>
      <c r="OY45" s="331"/>
      <c r="OZ45" s="331"/>
      <c r="PA45" s="331"/>
      <c r="PB45" s="331"/>
      <c r="PC45" s="331"/>
      <c r="PD45" s="331"/>
      <c r="PE45" s="331"/>
      <c r="PF45" s="331"/>
      <c r="PG45" s="344"/>
      <c r="PH45" s="348"/>
      <c r="PI45" s="331"/>
      <c r="PJ45" s="331"/>
      <c r="PK45" s="331"/>
      <c r="PL45" s="331"/>
      <c r="PM45" s="332"/>
      <c r="QQ45" s="18"/>
      <c r="QR45" s="19"/>
    </row>
    <row r="46" spans="3:460" ht="5.0999999999999996" customHeight="1" x14ac:dyDescent="0.3">
      <c r="C46" s="15"/>
      <c r="D46" s="16"/>
      <c r="F46" s="17"/>
      <c r="G46" s="17"/>
      <c r="H46" s="17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  <c r="AK46" s="345"/>
      <c r="AL46" s="345"/>
      <c r="AM46" s="345"/>
      <c r="AN46" s="345"/>
      <c r="AO46" s="345"/>
      <c r="AP46" s="345"/>
      <c r="AQ46" s="345"/>
      <c r="AR46" s="345"/>
      <c r="AS46" s="345"/>
      <c r="AT46" s="345"/>
      <c r="AU46" s="345"/>
      <c r="AV46" s="345"/>
      <c r="AW46" s="345"/>
      <c r="AX46" s="345"/>
      <c r="AY46" s="345"/>
      <c r="AZ46" s="345"/>
      <c r="BA46" s="345"/>
      <c r="BB46" s="345"/>
      <c r="DL46" s="247" t="s">
        <v>7</v>
      </c>
      <c r="DM46" s="248"/>
      <c r="DN46" s="248"/>
      <c r="DO46" s="248"/>
      <c r="DP46" s="248"/>
      <c r="DQ46" s="248"/>
      <c r="DR46" s="248"/>
      <c r="DS46" s="248"/>
      <c r="DT46" s="248"/>
      <c r="DU46" s="248"/>
      <c r="DV46" s="248"/>
      <c r="DW46" s="248"/>
      <c r="DX46" s="248"/>
      <c r="DY46" s="248"/>
      <c r="DZ46" s="248"/>
      <c r="EA46" s="248"/>
      <c r="EB46" s="248"/>
      <c r="EC46" s="248"/>
      <c r="ED46" s="248"/>
      <c r="EE46" s="248"/>
      <c r="EF46" s="248"/>
      <c r="EG46" s="248"/>
      <c r="EH46" s="248"/>
      <c r="EI46" s="248"/>
      <c r="EJ46" s="248"/>
      <c r="EK46" s="248"/>
      <c r="EL46" s="248"/>
      <c r="EM46" s="248"/>
      <c r="EN46" s="248"/>
      <c r="EO46" s="248"/>
      <c r="EP46" s="248"/>
      <c r="EQ46" s="248"/>
      <c r="ER46" s="248"/>
      <c r="ES46" s="248"/>
      <c r="ET46" s="248"/>
      <c r="EU46" s="248"/>
      <c r="EV46" s="248"/>
      <c r="EW46" s="248"/>
      <c r="EX46" s="248"/>
      <c r="EY46" s="248"/>
      <c r="EZ46" s="249"/>
      <c r="FA46" s="351">
        <v>1</v>
      </c>
      <c r="FB46" s="287"/>
      <c r="FC46" s="287"/>
      <c r="FD46" s="287"/>
      <c r="JF46" s="352" t="s">
        <v>8</v>
      </c>
      <c r="JG46" s="352"/>
      <c r="JH46" s="352"/>
      <c r="JI46" s="352"/>
      <c r="JJ46" s="352"/>
      <c r="JK46" s="352"/>
      <c r="JL46" s="352"/>
      <c r="JM46" s="352"/>
      <c r="JN46" s="352"/>
      <c r="JO46" s="352"/>
      <c r="JP46" s="352"/>
      <c r="JQ46" s="352"/>
      <c r="JR46" s="352"/>
      <c r="JS46" s="352"/>
      <c r="JT46" s="352"/>
      <c r="JU46" s="352"/>
      <c r="JV46" s="352"/>
      <c r="JW46" s="352"/>
      <c r="JX46" s="352"/>
      <c r="JY46" s="352"/>
      <c r="JZ46" s="352"/>
      <c r="KA46" s="352"/>
      <c r="KB46" s="352"/>
      <c r="KC46" s="352"/>
      <c r="KD46" s="352"/>
      <c r="KE46" s="352"/>
      <c r="KF46" s="352"/>
      <c r="KG46" s="352"/>
      <c r="KH46" s="352"/>
      <c r="KI46" s="352"/>
      <c r="KJ46" s="352"/>
      <c r="KK46" s="352"/>
      <c r="KL46" s="352"/>
      <c r="KM46" s="352"/>
      <c r="KN46" s="352"/>
      <c r="KO46" s="352"/>
      <c r="KP46" s="352"/>
      <c r="KQ46" s="352"/>
      <c r="KR46" s="352"/>
      <c r="KS46" s="353">
        <f>KS58+IT82+KY81+NA81</f>
        <v>92</v>
      </c>
      <c r="KT46" s="353"/>
      <c r="KU46" s="353"/>
      <c r="KV46" s="353"/>
      <c r="KW46" s="353"/>
      <c r="KX46" s="353"/>
      <c r="KY46" s="353"/>
      <c r="KZ46" s="353"/>
      <c r="OR46" s="32"/>
      <c r="QQ46" s="18"/>
      <c r="QR46" s="19"/>
    </row>
    <row r="47" spans="3:460" ht="5.0999999999999996" customHeight="1" x14ac:dyDescent="0.3">
      <c r="C47" s="15"/>
      <c r="D47" s="16"/>
      <c r="F47" s="17"/>
      <c r="G47" s="17"/>
      <c r="H47" s="17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4"/>
      <c r="DL47" s="250"/>
      <c r="DM47" s="251"/>
      <c r="DN47" s="251"/>
      <c r="DO47" s="251"/>
      <c r="DP47" s="251"/>
      <c r="DQ47" s="251"/>
      <c r="DR47" s="251"/>
      <c r="DS47" s="251"/>
      <c r="DT47" s="251"/>
      <c r="DU47" s="251"/>
      <c r="DV47" s="251"/>
      <c r="DW47" s="251"/>
      <c r="DX47" s="251"/>
      <c r="DY47" s="251"/>
      <c r="DZ47" s="251"/>
      <c r="EA47" s="251"/>
      <c r="EB47" s="251"/>
      <c r="EC47" s="251"/>
      <c r="ED47" s="251"/>
      <c r="EE47" s="251"/>
      <c r="EF47" s="251"/>
      <c r="EG47" s="251"/>
      <c r="EH47" s="251"/>
      <c r="EI47" s="251"/>
      <c r="EJ47" s="251"/>
      <c r="EK47" s="251"/>
      <c r="EL47" s="251"/>
      <c r="EM47" s="251"/>
      <c r="EN47" s="251"/>
      <c r="EO47" s="251"/>
      <c r="EP47" s="251"/>
      <c r="EQ47" s="251"/>
      <c r="ER47" s="251"/>
      <c r="ES47" s="251"/>
      <c r="ET47" s="251"/>
      <c r="EU47" s="251"/>
      <c r="EV47" s="251"/>
      <c r="EW47" s="251"/>
      <c r="EX47" s="251"/>
      <c r="EY47" s="251"/>
      <c r="EZ47" s="252"/>
      <c r="FA47" s="351"/>
      <c r="FB47" s="287"/>
      <c r="FC47" s="287"/>
      <c r="FD47" s="287"/>
      <c r="JF47" s="352"/>
      <c r="JG47" s="352"/>
      <c r="JH47" s="352"/>
      <c r="JI47" s="352"/>
      <c r="JJ47" s="352"/>
      <c r="JK47" s="352"/>
      <c r="JL47" s="352"/>
      <c r="JM47" s="352"/>
      <c r="JN47" s="352"/>
      <c r="JO47" s="352"/>
      <c r="JP47" s="352"/>
      <c r="JQ47" s="352"/>
      <c r="JR47" s="352"/>
      <c r="JS47" s="352"/>
      <c r="JT47" s="352"/>
      <c r="JU47" s="352"/>
      <c r="JV47" s="352"/>
      <c r="JW47" s="352"/>
      <c r="JX47" s="352"/>
      <c r="JY47" s="352"/>
      <c r="JZ47" s="352"/>
      <c r="KA47" s="352"/>
      <c r="KB47" s="352"/>
      <c r="KC47" s="352"/>
      <c r="KD47" s="352"/>
      <c r="KE47" s="352"/>
      <c r="KF47" s="352"/>
      <c r="KG47" s="352"/>
      <c r="KH47" s="352"/>
      <c r="KI47" s="352"/>
      <c r="KJ47" s="352"/>
      <c r="KK47" s="352"/>
      <c r="KL47" s="352"/>
      <c r="KM47" s="352"/>
      <c r="KN47" s="352"/>
      <c r="KO47" s="352"/>
      <c r="KP47" s="352"/>
      <c r="KQ47" s="352"/>
      <c r="KR47" s="352"/>
      <c r="KS47" s="353"/>
      <c r="KT47" s="353"/>
      <c r="KU47" s="353"/>
      <c r="KV47" s="353"/>
      <c r="KW47" s="353"/>
      <c r="KX47" s="353"/>
      <c r="KY47" s="353"/>
      <c r="KZ47" s="353"/>
      <c r="OR47" s="32"/>
      <c r="QQ47" s="18"/>
      <c r="QR47" s="19"/>
    </row>
    <row r="48" spans="3:460" ht="5.0999999999999996" customHeight="1" x14ac:dyDescent="0.3">
      <c r="C48" s="15"/>
      <c r="D48" s="16"/>
      <c r="F48" s="17"/>
      <c r="G48" s="17"/>
      <c r="H48" s="17"/>
      <c r="I48" s="247" t="s">
        <v>9</v>
      </c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9"/>
      <c r="AX48" s="307">
        <v>2</v>
      </c>
      <c r="AY48" s="308"/>
      <c r="AZ48" s="308"/>
      <c r="BA48" s="308"/>
      <c r="BB48" s="309"/>
      <c r="DL48" s="250"/>
      <c r="DM48" s="251"/>
      <c r="DN48" s="251"/>
      <c r="DO48" s="251"/>
      <c r="DP48" s="251"/>
      <c r="DQ48" s="251"/>
      <c r="DR48" s="251"/>
      <c r="DS48" s="251"/>
      <c r="DT48" s="251"/>
      <c r="DU48" s="251"/>
      <c r="DV48" s="251"/>
      <c r="DW48" s="251"/>
      <c r="DX48" s="251"/>
      <c r="DY48" s="251"/>
      <c r="DZ48" s="251"/>
      <c r="EA48" s="251"/>
      <c r="EB48" s="251"/>
      <c r="EC48" s="251"/>
      <c r="ED48" s="251"/>
      <c r="EE48" s="251"/>
      <c r="EF48" s="251"/>
      <c r="EG48" s="251"/>
      <c r="EH48" s="251"/>
      <c r="EI48" s="251"/>
      <c r="EJ48" s="251"/>
      <c r="EK48" s="251"/>
      <c r="EL48" s="251"/>
      <c r="EM48" s="251"/>
      <c r="EN48" s="251"/>
      <c r="EO48" s="251"/>
      <c r="EP48" s="251"/>
      <c r="EQ48" s="251"/>
      <c r="ER48" s="251"/>
      <c r="ES48" s="251"/>
      <c r="ET48" s="251"/>
      <c r="EU48" s="251"/>
      <c r="EV48" s="251"/>
      <c r="EW48" s="251"/>
      <c r="EX48" s="251"/>
      <c r="EY48" s="251"/>
      <c r="EZ48" s="252"/>
      <c r="FA48" s="351"/>
      <c r="FB48" s="287"/>
      <c r="FC48" s="287"/>
      <c r="FD48" s="287"/>
      <c r="JF48" s="352"/>
      <c r="JG48" s="352"/>
      <c r="JH48" s="352"/>
      <c r="JI48" s="352"/>
      <c r="JJ48" s="352"/>
      <c r="JK48" s="352"/>
      <c r="JL48" s="352"/>
      <c r="JM48" s="352"/>
      <c r="JN48" s="352"/>
      <c r="JO48" s="352"/>
      <c r="JP48" s="352"/>
      <c r="JQ48" s="352"/>
      <c r="JR48" s="352"/>
      <c r="JS48" s="352"/>
      <c r="JT48" s="352"/>
      <c r="JU48" s="352"/>
      <c r="JV48" s="352"/>
      <c r="JW48" s="352"/>
      <c r="JX48" s="352"/>
      <c r="JY48" s="352"/>
      <c r="JZ48" s="352"/>
      <c r="KA48" s="352"/>
      <c r="KB48" s="352"/>
      <c r="KC48" s="352"/>
      <c r="KD48" s="352"/>
      <c r="KE48" s="352"/>
      <c r="KF48" s="352"/>
      <c r="KG48" s="352"/>
      <c r="KH48" s="352"/>
      <c r="KI48" s="352"/>
      <c r="KJ48" s="352"/>
      <c r="KK48" s="352"/>
      <c r="KL48" s="352"/>
      <c r="KM48" s="352"/>
      <c r="KN48" s="352"/>
      <c r="KO48" s="352"/>
      <c r="KP48" s="352"/>
      <c r="KQ48" s="352"/>
      <c r="KR48" s="352"/>
      <c r="KS48" s="353"/>
      <c r="KT48" s="353"/>
      <c r="KU48" s="353"/>
      <c r="KV48" s="353"/>
      <c r="KW48" s="353"/>
      <c r="KX48" s="353"/>
      <c r="KY48" s="353"/>
      <c r="KZ48" s="353"/>
      <c r="OR48" s="32"/>
      <c r="QQ48" s="18"/>
      <c r="QR48" s="19"/>
    </row>
    <row r="49" spans="3:465" ht="5.0999999999999996" customHeight="1" x14ac:dyDescent="0.3">
      <c r="C49" s="15"/>
      <c r="D49" s="16"/>
      <c r="F49" s="17"/>
      <c r="G49" s="17"/>
      <c r="H49" s="17"/>
      <c r="I49" s="250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51"/>
      <c r="AT49" s="251"/>
      <c r="AU49" s="251"/>
      <c r="AV49" s="251"/>
      <c r="AW49" s="252"/>
      <c r="AX49" s="310"/>
      <c r="AY49" s="311"/>
      <c r="AZ49" s="311"/>
      <c r="BA49" s="311"/>
      <c r="BB49" s="312"/>
      <c r="DL49" s="250"/>
      <c r="DM49" s="251"/>
      <c r="DN49" s="251"/>
      <c r="DO49" s="251"/>
      <c r="DP49" s="251"/>
      <c r="DQ49" s="251"/>
      <c r="DR49" s="251"/>
      <c r="DS49" s="251"/>
      <c r="DT49" s="251"/>
      <c r="DU49" s="251"/>
      <c r="DV49" s="251"/>
      <c r="DW49" s="251"/>
      <c r="DX49" s="251"/>
      <c r="DY49" s="251"/>
      <c r="DZ49" s="251"/>
      <c r="EA49" s="251"/>
      <c r="EB49" s="251"/>
      <c r="EC49" s="251"/>
      <c r="ED49" s="251"/>
      <c r="EE49" s="251"/>
      <c r="EF49" s="251"/>
      <c r="EG49" s="251"/>
      <c r="EH49" s="251"/>
      <c r="EI49" s="251"/>
      <c r="EJ49" s="251"/>
      <c r="EK49" s="251"/>
      <c r="EL49" s="251"/>
      <c r="EM49" s="251"/>
      <c r="EN49" s="251"/>
      <c r="EO49" s="251"/>
      <c r="EP49" s="251"/>
      <c r="EQ49" s="251"/>
      <c r="ER49" s="251"/>
      <c r="ES49" s="251"/>
      <c r="ET49" s="251"/>
      <c r="EU49" s="251"/>
      <c r="EV49" s="251"/>
      <c r="EW49" s="251"/>
      <c r="EX49" s="251"/>
      <c r="EY49" s="251"/>
      <c r="EZ49" s="252"/>
      <c r="FA49" s="351"/>
      <c r="FB49" s="287"/>
      <c r="FC49" s="287"/>
      <c r="FD49" s="287"/>
      <c r="JF49" s="352"/>
      <c r="JG49" s="352"/>
      <c r="JH49" s="352"/>
      <c r="JI49" s="352"/>
      <c r="JJ49" s="352"/>
      <c r="JK49" s="352"/>
      <c r="JL49" s="352"/>
      <c r="JM49" s="352"/>
      <c r="JN49" s="352"/>
      <c r="JO49" s="352"/>
      <c r="JP49" s="352"/>
      <c r="JQ49" s="352"/>
      <c r="JR49" s="352"/>
      <c r="JS49" s="352"/>
      <c r="JT49" s="352"/>
      <c r="JU49" s="352"/>
      <c r="JV49" s="352"/>
      <c r="JW49" s="352"/>
      <c r="JX49" s="352"/>
      <c r="JY49" s="352"/>
      <c r="JZ49" s="352"/>
      <c r="KA49" s="352"/>
      <c r="KB49" s="352"/>
      <c r="KC49" s="352"/>
      <c r="KD49" s="352"/>
      <c r="KE49" s="352"/>
      <c r="KF49" s="352"/>
      <c r="KG49" s="352"/>
      <c r="KH49" s="352"/>
      <c r="KI49" s="352"/>
      <c r="KJ49" s="352"/>
      <c r="KK49" s="352"/>
      <c r="KL49" s="352"/>
      <c r="KM49" s="352"/>
      <c r="KN49" s="352"/>
      <c r="KO49" s="352"/>
      <c r="KP49" s="352"/>
      <c r="KQ49" s="352"/>
      <c r="KR49" s="352"/>
      <c r="KS49" s="353"/>
      <c r="KT49" s="353"/>
      <c r="KU49" s="353"/>
      <c r="KV49" s="353"/>
      <c r="KW49" s="353"/>
      <c r="KX49" s="353"/>
      <c r="KY49" s="353"/>
      <c r="KZ49" s="353"/>
      <c r="OR49" s="32"/>
      <c r="QQ49" s="18"/>
      <c r="QR49" s="19"/>
    </row>
    <row r="50" spans="3:465" ht="5.0999999999999996" customHeight="1" x14ac:dyDescent="0.3">
      <c r="C50" s="15"/>
      <c r="D50" s="16"/>
      <c r="I50" s="250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2"/>
      <c r="AX50" s="310"/>
      <c r="AY50" s="311"/>
      <c r="AZ50" s="311"/>
      <c r="BA50" s="311"/>
      <c r="BB50" s="312"/>
      <c r="DL50" s="250"/>
      <c r="DM50" s="251"/>
      <c r="DN50" s="251"/>
      <c r="DO50" s="251"/>
      <c r="DP50" s="251"/>
      <c r="DQ50" s="251"/>
      <c r="DR50" s="251"/>
      <c r="DS50" s="251"/>
      <c r="DT50" s="251"/>
      <c r="DU50" s="251"/>
      <c r="DV50" s="251"/>
      <c r="DW50" s="251"/>
      <c r="DX50" s="251"/>
      <c r="DY50" s="251"/>
      <c r="DZ50" s="251"/>
      <c r="EA50" s="251"/>
      <c r="EB50" s="251"/>
      <c r="EC50" s="251"/>
      <c r="ED50" s="251"/>
      <c r="EE50" s="251"/>
      <c r="EF50" s="251"/>
      <c r="EG50" s="251"/>
      <c r="EH50" s="251"/>
      <c r="EI50" s="251"/>
      <c r="EJ50" s="251"/>
      <c r="EK50" s="251"/>
      <c r="EL50" s="251"/>
      <c r="EM50" s="251"/>
      <c r="EN50" s="251"/>
      <c r="EO50" s="251"/>
      <c r="EP50" s="251"/>
      <c r="EQ50" s="251"/>
      <c r="ER50" s="251"/>
      <c r="ES50" s="251"/>
      <c r="ET50" s="251"/>
      <c r="EU50" s="251"/>
      <c r="EV50" s="251"/>
      <c r="EW50" s="251"/>
      <c r="EX50" s="251"/>
      <c r="EY50" s="251"/>
      <c r="EZ50" s="252"/>
      <c r="FA50" s="351"/>
      <c r="FB50" s="287"/>
      <c r="FC50" s="287"/>
      <c r="FD50" s="287"/>
      <c r="JF50" s="352"/>
      <c r="JG50" s="352"/>
      <c r="JH50" s="352"/>
      <c r="JI50" s="352"/>
      <c r="JJ50" s="352"/>
      <c r="JK50" s="352"/>
      <c r="JL50" s="352"/>
      <c r="JM50" s="352"/>
      <c r="JN50" s="352"/>
      <c r="JO50" s="352"/>
      <c r="JP50" s="352"/>
      <c r="JQ50" s="352"/>
      <c r="JR50" s="352"/>
      <c r="JS50" s="352"/>
      <c r="JT50" s="352"/>
      <c r="JU50" s="352"/>
      <c r="JV50" s="352"/>
      <c r="JW50" s="352"/>
      <c r="JX50" s="352"/>
      <c r="JY50" s="352"/>
      <c r="JZ50" s="352"/>
      <c r="KA50" s="352"/>
      <c r="KB50" s="352"/>
      <c r="KC50" s="352"/>
      <c r="KD50" s="352"/>
      <c r="KE50" s="352"/>
      <c r="KF50" s="352"/>
      <c r="KG50" s="352"/>
      <c r="KH50" s="352"/>
      <c r="KI50" s="352"/>
      <c r="KJ50" s="352"/>
      <c r="KK50" s="352"/>
      <c r="KL50" s="352"/>
      <c r="KM50" s="352"/>
      <c r="KN50" s="352"/>
      <c r="KO50" s="352"/>
      <c r="KP50" s="352"/>
      <c r="KQ50" s="352"/>
      <c r="KR50" s="352"/>
      <c r="KS50" s="353"/>
      <c r="KT50" s="353"/>
      <c r="KU50" s="353"/>
      <c r="KV50" s="353"/>
      <c r="KW50" s="353"/>
      <c r="KX50" s="353"/>
      <c r="KY50" s="353"/>
      <c r="KZ50" s="353"/>
      <c r="MT50" s="317" t="s">
        <v>10</v>
      </c>
      <c r="MU50" s="318"/>
      <c r="MV50" s="318"/>
      <c r="MW50" s="318"/>
      <c r="MX50" s="318"/>
      <c r="MY50" s="318"/>
      <c r="MZ50" s="318"/>
      <c r="NA50" s="318"/>
      <c r="NB50" s="318"/>
      <c r="NC50" s="318"/>
      <c r="ND50" s="318"/>
      <c r="NE50" s="318"/>
      <c r="NF50" s="318"/>
      <c r="NG50" s="318"/>
      <c r="NH50" s="318"/>
      <c r="NI50" s="318"/>
      <c r="NJ50" s="318"/>
      <c r="NK50" s="318"/>
      <c r="NL50" s="318"/>
      <c r="NM50" s="318"/>
      <c r="NN50" s="318"/>
      <c r="NO50" s="318"/>
      <c r="NP50" s="318"/>
      <c r="NQ50" s="318"/>
      <c r="NR50" s="318"/>
      <c r="NS50" s="318"/>
      <c r="NT50" s="318"/>
      <c r="NU50" s="318"/>
      <c r="NV50" s="318"/>
      <c r="NW50" s="318"/>
      <c r="NX50" s="318"/>
      <c r="NY50" s="318"/>
      <c r="NZ50" s="318"/>
      <c r="OA50" s="318"/>
      <c r="OB50" s="318"/>
      <c r="OC50" s="318"/>
      <c r="OD50" s="318"/>
      <c r="OE50" s="318"/>
      <c r="OF50" s="318"/>
      <c r="OG50" s="318"/>
      <c r="OH50" s="319"/>
      <c r="OI50" s="287">
        <v>1</v>
      </c>
      <c r="OJ50" s="287"/>
      <c r="OK50" s="287"/>
      <c r="OL50" s="287"/>
      <c r="OM50" s="287"/>
      <c r="ON50" s="287"/>
      <c r="OR50" s="32"/>
      <c r="OV50" s="349" t="s">
        <v>11</v>
      </c>
      <c r="OW50" s="288"/>
      <c r="OX50" s="288"/>
      <c r="OY50" s="288"/>
      <c r="OZ50" s="288"/>
      <c r="PA50" s="288"/>
      <c r="PB50" s="288"/>
      <c r="PC50" s="288"/>
      <c r="PD50" s="288"/>
      <c r="PE50" s="288"/>
      <c r="PF50" s="288"/>
      <c r="PG50" s="288"/>
      <c r="PH50" s="288"/>
      <c r="PI50" s="288"/>
      <c r="PJ50" s="288"/>
      <c r="PK50" s="288"/>
      <c r="PL50" s="288"/>
      <c r="PM50" s="288"/>
      <c r="PN50" s="288"/>
      <c r="PO50" s="288"/>
      <c r="PP50" s="288"/>
      <c r="PQ50" s="288"/>
      <c r="PR50" s="288"/>
      <c r="PS50" s="288"/>
      <c r="PT50" s="288"/>
      <c r="PU50" s="288"/>
      <c r="PV50" s="288"/>
      <c r="PW50" s="288"/>
      <c r="PX50" s="288"/>
      <c r="PY50" s="288"/>
      <c r="PZ50" s="288"/>
      <c r="QA50" s="288"/>
      <c r="QB50" s="288"/>
      <c r="QC50" s="288"/>
      <c r="QD50" s="288"/>
      <c r="QE50" s="288"/>
      <c r="QF50" s="288"/>
      <c r="QG50" s="288"/>
      <c r="QH50" s="288"/>
      <c r="QI50" s="288"/>
      <c r="QJ50" s="288"/>
      <c r="QK50" s="288">
        <v>1</v>
      </c>
      <c r="QL50" s="288"/>
      <c r="QM50" s="288"/>
      <c r="QN50" s="288"/>
      <c r="QO50" s="288"/>
      <c r="QP50" s="288"/>
      <c r="QQ50" s="18"/>
      <c r="QR50" s="19"/>
    </row>
    <row r="51" spans="3:465" ht="5.0999999999999996" customHeight="1" x14ac:dyDescent="0.3">
      <c r="C51" s="15"/>
      <c r="D51" s="16"/>
      <c r="I51" s="250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51"/>
      <c r="AQ51" s="251"/>
      <c r="AR51" s="251"/>
      <c r="AS51" s="251"/>
      <c r="AT51" s="251"/>
      <c r="AU51" s="251"/>
      <c r="AV51" s="251"/>
      <c r="AW51" s="252"/>
      <c r="AX51" s="310"/>
      <c r="AY51" s="311"/>
      <c r="AZ51" s="311"/>
      <c r="BA51" s="311"/>
      <c r="BB51" s="312"/>
      <c r="DL51" s="250"/>
      <c r="DM51" s="251"/>
      <c r="DN51" s="251"/>
      <c r="DO51" s="251"/>
      <c r="DP51" s="251"/>
      <c r="DQ51" s="251"/>
      <c r="DR51" s="251"/>
      <c r="DS51" s="251"/>
      <c r="DT51" s="251"/>
      <c r="DU51" s="251"/>
      <c r="DV51" s="251"/>
      <c r="DW51" s="251"/>
      <c r="DX51" s="251"/>
      <c r="DY51" s="251"/>
      <c r="DZ51" s="251"/>
      <c r="EA51" s="251"/>
      <c r="EB51" s="251"/>
      <c r="EC51" s="251"/>
      <c r="ED51" s="251"/>
      <c r="EE51" s="251"/>
      <c r="EF51" s="251"/>
      <c r="EG51" s="251"/>
      <c r="EH51" s="251"/>
      <c r="EI51" s="251"/>
      <c r="EJ51" s="251"/>
      <c r="EK51" s="251"/>
      <c r="EL51" s="251"/>
      <c r="EM51" s="251"/>
      <c r="EN51" s="251"/>
      <c r="EO51" s="251"/>
      <c r="EP51" s="251"/>
      <c r="EQ51" s="251"/>
      <c r="ER51" s="251"/>
      <c r="ES51" s="251"/>
      <c r="ET51" s="251"/>
      <c r="EU51" s="251"/>
      <c r="EV51" s="251"/>
      <c r="EW51" s="251"/>
      <c r="EX51" s="251"/>
      <c r="EY51" s="251"/>
      <c r="EZ51" s="252"/>
      <c r="FA51" s="351"/>
      <c r="FB51" s="287"/>
      <c r="FC51" s="287"/>
      <c r="FD51" s="287"/>
      <c r="JF51" s="352"/>
      <c r="JG51" s="352"/>
      <c r="JH51" s="352"/>
      <c r="JI51" s="352"/>
      <c r="JJ51" s="352"/>
      <c r="JK51" s="352"/>
      <c r="JL51" s="352"/>
      <c r="JM51" s="352"/>
      <c r="JN51" s="352"/>
      <c r="JO51" s="352"/>
      <c r="JP51" s="352"/>
      <c r="JQ51" s="352"/>
      <c r="JR51" s="352"/>
      <c r="JS51" s="352"/>
      <c r="JT51" s="352"/>
      <c r="JU51" s="352"/>
      <c r="JV51" s="352"/>
      <c r="JW51" s="352"/>
      <c r="JX51" s="352"/>
      <c r="JY51" s="352"/>
      <c r="JZ51" s="352"/>
      <c r="KA51" s="352"/>
      <c r="KB51" s="352"/>
      <c r="KC51" s="352"/>
      <c r="KD51" s="352"/>
      <c r="KE51" s="352"/>
      <c r="KF51" s="352"/>
      <c r="KG51" s="352"/>
      <c r="KH51" s="352"/>
      <c r="KI51" s="352"/>
      <c r="KJ51" s="352"/>
      <c r="KK51" s="352"/>
      <c r="KL51" s="352"/>
      <c r="KM51" s="352"/>
      <c r="KN51" s="352"/>
      <c r="KO51" s="352"/>
      <c r="KP51" s="352"/>
      <c r="KQ51" s="352"/>
      <c r="KR51" s="352"/>
      <c r="KS51" s="353"/>
      <c r="KT51" s="353"/>
      <c r="KU51" s="353"/>
      <c r="KV51" s="353"/>
      <c r="KW51" s="353"/>
      <c r="KX51" s="353"/>
      <c r="KY51" s="353"/>
      <c r="KZ51" s="353"/>
      <c r="MT51" s="320"/>
      <c r="MU51" s="251"/>
      <c r="MV51" s="251"/>
      <c r="MW51" s="251"/>
      <c r="MX51" s="251"/>
      <c r="MY51" s="251"/>
      <c r="MZ51" s="251"/>
      <c r="NA51" s="251"/>
      <c r="NB51" s="251"/>
      <c r="NC51" s="251"/>
      <c r="ND51" s="251"/>
      <c r="NE51" s="251"/>
      <c r="NF51" s="251"/>
      <c r="NG51" s="251"/>
      <c r="NH51" s="251"/>
      <c r="NI51" s="251"/>
      <c r="NJ51" s="251"/>
      <c r="NK51" s="251"/>
      <c r="NL51" s="251"/>
      <c r="NM51" s="251"/>
      <c r="NN51" s="251"/>
      <c r="NO51" s="251"/>
      <c r="NP51" s="251"/>
      <c r="NQ51" s="251"/>
      <c r="NR51" s="251"/>
      <c r="NS51" s="251"/>
      <c r="NT51" s="251"/>
      <c r="NU51" s="251"/>
      <c r="NV51" s="251"/>
      <c r="NW51" s="251"/>
      <c r="NX51" s="251"/>
      <c r="NY51" s="251"/>
      <c r="NZ51" s="251"/>
      <c r="OA51" s="251"/>
      <c r="OB51" s="251"/>
      <c r="OC51" s="251"/>
      <c r="OD51" s="251"/>
      <c r="OE51" s="251"/>
      <c r="OF51" s="251"/>
      <c r="OG51" s="251"/>
      <c r="OH51" s="285"/>
      <c r="OI51" s="287"/>
      <c r="OJ51" s="287"/>
      <c r="OK51" s="287"/>
      <c r="OL51" s="287"/>
      <c r="OM51" s="287"/>
      <c r="ON51" s="287"/>
      <c r="OR51" s="32"/>
      <c r="OV51" s="288"/>
      <c r="OW51" s="288"/>
      <c r="OX51" s="288"/>
      <c r="OY51" s="288"/>
      <c r="OZ51" s="288"/>
      <c r="PA51" s="288"/>
      <c r="PB51" s="288"/>
      <c r="PC51" s="288"/>
      <c r="PD51" s="288"/>
      <c r="PE51" s="288"/>
      <c r="PF51" s="288"/>
      <c r="PG51" s="288"/>
      <c r="PH51" s="288"/>
      <c r="PI51" s="288"/>
      <c r="PJ51" s="288"/>
      <c r="PK51" s="288"/>
      <c r="PL51" s="288"/>
      <c r="PM51" s="288"/>
      <c r="PN51" s="288"/>
      <c r="PO51" s="288"/>
      <c r="PP51" s="288"/>
      <c r="PQ51" s="288"/>
      <c r="PR51" s="288"/>
      <c r="PS51" s="288"/>
      <c r="PT51" s="288"/>
      <c r="PU51" s="288"/>
      <c r="PV51" s="288"/>
      <c r="PW51" s="288"/>
      <c r="PX51" s="288"/>
      <c r="PY51" s="288"/>
      <c r="PZ51" s="288"/>
      <c r="QA51" s="288"/>
      <c r="QB51" s="288"/>
      <c r="QC51" s="288"/>
      <c r="QD51" s="288"/>
      <c r="QE51" s="288"/>
      <c r="QF51" s="288"/>
      <c r="QG51" s="288"/>
      <c r="QH51" s="288"/>
      <c r="QI51" s="288"/>
      <c r="QJ51" s="288"/>
      <c r="QK51" s="288"/>
      <c r="QL51" s="288"/>
      <c r="QM51" s="288"/>
      <c r="QN51" s="288"/>
      <c r="QO51" s="288"/>
      <c r="QP51" s="288"/>
      <c r="QQ51" s="18"/>
      <c r="QR51" s="19"/>
    </row>
    <row r="52" spans="3:465" ht="5.0999999999999996" customHeight="1" thickBot="1" x14ac:dyDescent="0.35">
      <c r="C52" s="15"/>
      <c r="D52" s="16"/>
      <c r="I52" s="250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51"/>
      <c r="AT52" s="251"/>
      <c r="AU52" s="251"/>
      <c r="AV52" s="251"/>
      <c r="AW52" s="252"/>
      <c r="AX52" s="310"/>
      <c r="AY52" s="311"/>
      <c r="AZ52" s="311"/>
      <c r="BA52" s="311"/>
      <c r="BB52" s="312"/>
      <c r="DL52" s="250"/>
      <c r="DM52" s="251"/>
      <c r="DN52" s="251"/>
      <c r="DO52" s="251"/>
      <c r="DP52" s="251"/>
      <c r="DQ52" s="251"/>
      <c r="DR52" s="251"/>
      <c r="DS52" s="251"/>
      <c r="DT52" s="251"/>
      <c r="DU52" s="251"/>
      <c r="DV52" s="251"/>
      <c r="DW52" s="251"/>
      <c r="DX52" s="251"/>
      <c r="DY52" s="251"/>
      <c r="DZ52" s="251"/>
      <c r="EA52" s="251"/>
      <c r="EB52" s="251"/>
      <c r="EC52" s="251"/>
      <c r="ED52" s="251"/>
      <c r="EE52" s="251"/>
      <c r="EF52" s="251"/>
      <c r="EG52" s="251"/>
      <c r="EH52" s="251"/>
      <c r="EI52" s="251"/>
      <c r="EJ52" s="251"/>
      <c r="EK52" s="251"/>
      <c r="EL52" s="251"/>
      <c r="EM52" s="251"/>
      <c r="EN52" s="251"/>
      <c r="EO52" s="251"/>
      <c r="EP52" s="251"/>
      <c r="EQ52" s="251"/>
      <c r="ER52" s="251"/>
      <c r="ES52" s="251"/>
      <c r="ET52" s="251"/>
      <c r="EU52" s="251"/>
      <c r="EV52" s="251"/>
      <c r="EW52" s="251"/>
      <c r="EX52" s="251"/>
      <c r="EY52" s="251"/>
      <c r="EZ52" s="252"/>
      <c r="FA52" s="351"/>
      <c r="FB52" s="287"/>
      <c r="FC52" s="287"/>
      <c r="FD52" s="287"/>
      <c r="JF52" s="352"/>
      <c r="JG52" s="352"/>
      <c r="JH52" s="352"/>
      <c r="JI52" s="352"/>
      <c r="JJ52" s="352"/>
      <c r="JK52" s="352"/>
      <c r="JL52" s="352"/>
      <c r="JM52" s="352"/>
      <c r="JN52" s="352"/>
      <c r="JO52" s="352"/>
      <c r="JP52" s="352"/>
      <c r="JQ52" s="352"/>
      <c r="JR52" s="352"/>
      <c r="JS52" s="352"/>
      <c r="JT52" s="352"/>
      <c r="JU52" s="352"/>
      <c r="JV52" s="352"/>
      <c r="JW52" s="352"/>
      <c r="JX52" s="352"/>
      <c r="JY52" s="352"/>
      <c r="JZ52" s="352"/>
      <c r="KA52" s="352"/>
      <c r="KB52" s="352"/>
      <c r="KC52" s="352"/>
      <c r="KD52" s="352"/>
      <c r="KE52" s="352"/>
      <c r="KF52" s="352"/>
      <c r="KG52" s="352"/>
      <c r="KH52" s="352"/>
      <c r="KI52" s="352"/>
      <c r="KJ52" s="352"/>
      <c r="KK52" s="352"/>
      <c r="KL52" s="352"/>
      <c r="KM52" s="352"/>
      <c r="KN52" s="352"/>
      <c r="KO52" s="352"/>
      <c r="KP52" s="352"/>
      <c r="KQ52" s="352"/>
      <c r="KR52" s="352"/>
      <c r="KS52" s="353"/>
      <c r="KT52" s="353"/>
      <c r="KU52" s="353"/>
      <c r="KV52" s="353"/>
      <c r="KW52" s="353"/>
      <c r="KX52" s="353"/>
      <c r="KY52" s="353"/>
      <c r="KZ52" s="353"/>
      <c r="MT52" s="320"/>
      <c r="MU52" s="251"/>
      <c r="MV52" s="251"/>
      <c r="MW52" s="251"/>
      <c r="MX52" s="251"/>
      <c r="MY52" s="251"/>
      <c r="MZ52" s="251"/>
      <c r="NA52" s="251"/>
      <c r="NB52" s="251"/>
      <c r="NC52" s="251"/>
      <c r="ND52" s="251"/>
      <c r="NE52" s="251"/>
      <c r="NF52" s="251"/>
      <c r="NG52" s="251"/>
      <c r="NH52" s="251"/>
      <c r="NI52" s="251"/>
      <c r="NJ52" s="251"/>
      <c r="NK52" s="251"/>
      <c r="NL52" s="251"/>
      <c r="NM52" s="251"/>
      <c r="NN52" s="251"/>
      <c r="NO52" s="251"/>
      <c r="NP52" s="251"/>
      <c r="NQ52" s="251"/>
      <c r="NR52" s="251"/>
      <c r="NS52" s="251"/>
      <c r="NT52" s="251"/>
      <c r="NU52" s="251"/>
      <c r="NV52" s="251"/>
      <c r="NW52" s="251"/>
      <c r="NX52" s="251"/>
      <c r="NY52" s="251"/>
      <c r="NZ52" s="251"/>
      <c r="OA52" s="251"/>
      <c r="OB52" s="251"/>
      <c r="OC52" s="251"/>
      <c r="OD52" s="251"/>
      <c r="OE52" s="251"/>
      <c r="OF52" s="251"/>
      <c r="OG52" s="251"/>
      <c r="OH52" s="285"/>
      <c r="OI52" s="287"/>
      <c r="OJ52" s="287"/>
      <c r="OK52" s="287"/>
      <c r="OL52" s="287"/>
      <c r="OM52" s="287"/>
      <c r="ON52" s="287"/>
      <c r="OR52" s="32"/>
      <c r="OV52" s="288"/>
      <c r="OW52" s="288"/>
      <c r="OX52" s="288"/>
      <c r="OY52" s="288"/>
      <c r="OZ52" s="288"/>
      <c r="PA52" s="288"/>
      <c r="PB52" s="288"/>
      <c r="PC52" s="288"/>
      <c r="PD52" s="288"/>
      <c r="PE52" s="288"/>
      <c r="PF52" s="288"/>
      <c r="PG52" s="288"/>
      <c r="PH52" s="288"/>
      <c r="PI52" s="288"/>
      <c r="PJ52" s="288"/>
      <c r="PK52" s="288"/>
      <c r="PL52" s="288"/>
      <c r="PM52" s="288"/>
      <c r="PN52" s="288"/>
      <c r="PO52" s="288"/>
      <c r="PP52" s="288"/>
      <c r="PQ52" s="288"/>
      <c r="PR52" s="288"/>
      <c r="PS52" s="288"/>
      <c r="PT52" s="288"/>
      <c r="PU52" s="288"/>
      <c r="PV52" s="288"/>
      <c r="PW52" s="288"/>
      <c r="PX52" s="288"/>
      <c r="PY52" s="288"/>
      <c r="PZ52" s="288"/>
      <c r="QA52" s="288"/>
      <c r="QB52" s="288"/>
      <c r="QC52" s="288"/>
      <c r="QD52" s="288"/>
      <c r="QE52" s="288"/>
      <c r="QF52" s="288"/>
      <c r="QG52" s="288"/>
      <c r="QH52" s="288"/>
      <c r="QI52" s="288"/>
      <c r="QJ52" s="288"/>
      <c r="QK52" s="288"/>
      <c r="QL52" s="288"/>
      <c r="QM52" s="288"/>
      <c r="QN52" s="288"/>
      <c r="QO52" s="288"/>
      <c r="QP52" s="288"/>
      <c r="QQ52" s="18"/>
      <c r="QR52" s="19"/>
    </row>
    <row r="53" spans="3:465" ht="5.0999999999999996" customHeight="1" x14ac:dyDescent="0.3">
      <c r="C53" s="15"/>
      <c r="D53" s="16"/>
      <c r="I53" s="250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  <c r="AK53" s="251"/>
      <c r="AL53" s="251"/>
      <c r="AM53" s="251"/>
      <c r="AN53" s="251"/>
      <c r="AO53" s="251"/>
      <c r="AP53" s="251"/>
      <c r="AQ53" s="251"/>
      <c r="AR53" s="251"/>
      <c r="AS53" s="251"/>
      <c r="AT53" s="251"/>
      <c r="AU53" s="251"/>
      <c r="AV53" s="251"/>
      <c r="AW53" s="252"/>
      <c r="AX53" s="310"/>
      <c r="AY53" s="311"/>
      <c r="AZ53" s="311"/>
      <c r="BA53" s="311"/>
      <c r="BB53" s="312"/>
      <c r="DL53" s="250"/>
      <c r="DM53" s="251"/>
      <c r="DN53" s="251"/>
      <c r="DO53" s="251"/>
      <c r="DP53" s="251"/>
      <c r="DQ53" s="251"/>
      <c r="DR53" s="251"/>
      <c r="DS53" s="251"/>
      <c r="DT53" s="251"/>
      <c r="DU53" s="251"/>
      <c r="DV53" s="251"/>
      <c r="DW53" s="251"/>
      <c r="DX53" s="251"/>
      <c r="DY53" s="251"/>
      <c r="DZ53" s="251"/>
      <c r="EA53" s="251"/>
      <c r="EB53" s="251"/>
      <c r="EC53" s="251"/>
      <c r="ED53" s="251"/>
      <c r="EE53" s="251"/>
      <c r="EF53" s="251"/>
      <c r="EG53" s="251"/>
      <c r="EH53" s="251"/>
      <c r="EI53" s="251"/>
      <c r="EJ53" s="251"/>
      <c r="EK53" s="251"/>
      <c r="EL53" s="251"/>
      <c r="EM53" s="251"/>
      <c r="EN53" s="251"/>
      <c r="EO53" s="251"/>
      <c r="EP53" s="251"/>
      <c r="EQ53" s="251"/>
      <c r="ER53" s="251"/>
      <c r="ES53" s="251"/>
      <c r="ET53" s="251"/>
      <c r="EU53" s="251"/>
      <c r="EV53" s="251"/>
      <c r="EW53" s="251"/>
      <c r="EX53" s="251"/>
      <c r="EY53" s="251"/>
      <c r="EZ53" s="252"/>
      <c r="FA53" s="351"/>
      <c r="FB53" s="287"/>
      <c r="FC53" s="287"/>
      <c r="FD53" s="287"/>
      <c r="JF53" s="352"/>
      <c r="JG53" s="352"/>
      <c r="JH53" s="352"/>
      <c r="JI53" s="352"/>
      <c r="JJ53" s="352"/>
      <c r="JK53" s="352"/>
      <c r="JL53" s="352"/>
      <c r="JM53" s="352"/>
      <c r="JN53" s="352"/>
      <c r="JO53" s="352"/>
      <c r="JP53" s="352"/>
      <c r="JQ53" s="352"/>
      <c r="JR53" s="352"/>
      <c r="JS53" s="352"/>
      <c r="JT53" s="352"/>
      <c r="JU53" s="352"/>
      <c r="JV53" s="352"/>
      <c r="JW53" s="352"/>
      <c r="JX53" s="352"/>
      <c r="JY53" s="352"/>
      <c r="JZ53" s="352"/>
      <c r="KA53" s="352"/>
      <c r="KB53" s="352"/>
      <c r="KC53" s="352"/>
      <c r="KD53" s="352"/>
      <c r="KE53" s="352"/>
      <c r="KF53" s="352"/>
      <c r="KG53" s="352"/>
      <c r="KH53" s="352"/>
      <c r="KI53" s="352"/>
      <c r="KJ53" s="352"/>
      <c r="KK53" s="352"/>
      <c r="KL53" s="352"/>
      <c r="KM53" s="352"/>
      <c r="KN53" s="352"/>
      <c r="KO53" s="352"/>
      <c r="KP53" s="352"/>
      <c r="KQ53" s="352"/>
      <c r="KR53" s="352"/>
      <c r="KS53" s="353"/>
      <c r="KT53" s="353"/>
      <c r="KU53" s="353"/>
      <c r="KV53" s="353"/>
      <c r="KW53" s="353"/>
      <c r="KX53" s="353"/>
      <c r="KY53" s="353"/>
      <c r="KZ53" s="353"/>
      <c r="MT53" s="320"/>
      <c r="MU53" s="251"/>
      <c r="MV53" s="251"/>
      <c r="MW53" s="251"/>
      <c r="MX53" s="251"/>
      <c r="MY53" s="251"/>
      <c r="MZ53" s="251"/>
      <c r="NA53" s="251"/>
      <c r="NB53" s="251"/>
      <c r="NC53" s="251"/>
      <c r="ND53" s="251"/>
      <c r="NE53" s="251"/>
      <c r="NF53" s="251"/>
      <c r="NG53" s="251"/>
      <c r="NH53" s="251"/>
      <c r="NI53" s="251"/>
      <c r="NJ53" s="251"/>
      <c r="NK53" s="251"/>
      <c r="NL53" s="251"/>
      <c r="NM53" s="251"/>
      <c r="NN53" s="251"/>
      <c r="NO53" s="251"/>
      <c r="NP53" s="251"/>
      <c r="NQ53" s="251"/>
      <c r="NR53" s="251"/>
      <c r="NS53" s="251"/>
      <c r="NT53" s="251"/>
      <c r="NU53" s="251"/>
      <c r="NV53" s="251"/>
      <c r="NW53" s="251"/>
      <c r="NX53" s="251"/>
      <c r="NY53" s="251"/>
      <c r="NZ53" s="251"/>
      <c r="OA53" s="251"/>
      <c r="OB53" s="251"/>
      <c r="OC53" s="251"/>
      <c r="OD53" s="251"/>
      <c r="OE53" s="251"/>
      <c r="OF53" s="251"/>
      <c r="OG53" s="251"/>
      <c r="OH53" s="285"/>
      <c r="OI53" s="287"/>
      <c r="OJ53" s="287"/>
      <c r="OK53" s="287"/>
      <c r="OL53" s="287"/>
      <c r="OM53" s="287"/>
      <c r="ON53" s="287"/>
      <c r="OO53" s="35"/>
      <c r="OP53" s="36"/>
      <c r="OQ53" s="36"/>
      <c r="OR53" s="36"/>
      <c r="OS53" s="36"/>
      <c r="OT53" s="36"/>
      <c r="OU53" s="36"/>
      <c r="OV53" s="288"/>
      <c r="OW53" s="288"/>
      <c r="OX53" s="288"/>
      <c r="OY53" s="288"/>
      <c r="OZ53" s="288"/>
      <c r="PA53" s="288"/>
      <c r="PB53" s="288"/>
      <c r="PC53" s="288"/>
      <c r="PD53" s="288"/>
      <c r="PE53" s="288"/>
      <c r="PF53" s="288"/>
      <c r="PG53" s="288"/>
      <c r="PH53" s="288"/>
      <c r="PI53" s="288"/>
      <c r="PJ53" s="288"/>
      <c r="PK53" s="288"/>
      <c r="PL53" s="288"/>
      <c r="PM53" s="288"/>
      <c r="PN53" s="288"/>
      <c r="PO53" s="288"/>
      <c r="PP53" s="288"/>
      <c r="PQ53" s="288"/>
      <c r="PR53" s="288"/>
      <c r="PS53" s="288"/>
      <c r="PT53" s="288"/>
      <c r="PU53" s="288"/>
      <c r="PV53" s="288"/>
      <c r="PW53" s="288"/>
      <c r="PX53" s="288"/>
      <c r="PY53" s="288"/>
      <c r="PZ53" s="288"/>
      <c r="QA53" s="288"/>
      <c r="QB53" s="288"/>
      <c r="QC53" s="288"/>
      <c r="QD53" s="288"/>
      <c r="QE53" s="288"/>
      <c r="QF53" s="288"/>
      <c r="QG53" s="288"/>
      <c r="QH53" s="288"/>
      <c r="QI53" s="288"/>
      <c r="QJ53" s="288"/>
      <c r="QK53" s="288"/>
      <c r="QL53" s="288"/>
      <c r="QM53" s="288"/>
      <c r="QN53" s="288"/>
      <c r="QO53" s="288"/>
      <c r="QP53" s="288"/>
      <c r="QQ53" s="18"/>
      <c r="QR53" s="19"/>
    </row>
    <row r="54" spans="3:465" ht="5.0999999999999996" customHeight="1" x14ac:dyDescent="0.3">
      <c r="C54" s="15"/>
      <c r="D54" s="16"/>
      <c r="I54" s="250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251"/>
      <c r="AN54" s="251"/>
      <c r="AO54" s="251"/>
      <c r="AP54" s="251"/>
      <c r="AQ54" s="251"/>
      <c r="AR54" s="251"/>
      <c r="AS54" s="251"/>
      <c r="AT54" s="251"/>
      <c r="AU54" s="251"/>
      <c r="AV54" s="251"/>
      <c r="AW54" s="252"/>
      <c r="AX54" s="310"/>
      <c r="AY54" s="311"/>
      <c r="AZ54" s="311"/>
      <c r="BA54" s="311"/>
      <c r="BB54" s="312"/>
      <c r="DL54" s="253"/>
      <c r="DM54" s="254"/>
      <c r="DN54" s="254"/>
      <c r="DO54" s="254"/>
      <c r="DP54" s="254"/>
      <c r="DQ54" s="254"/>
      <c r="DR54" s="254"/>
      <c r="DS54" s="254"/>
      <c r="DT54" s="254"/>
      <c r="DU54" s="254"/>
      <c r="DV54" s="254"/>
      <c r="DW54" s="254"/>
      <c r="DX54" s="254"/>
      <c r="DY54" s="254"/>
      <c r="DZ54" s="254"/>
      <c r="EA54" s="254"/>
      <c r="EB54" s="254"/>
      <c r="EC54" s="254"/>
      <c r="ED54" s="254"/>
      <c r="EE54" s="254"/>
      <c r="EF54" s="254"/>
      <c r="EG54" s="254"/>
      <c r="EH54" s="254"/>
      <c r="EI54" s="254"/>
      <c r="EJ54" s="254"/>
      <c r="EK54" s="254"/>
      <c r="EL54" s="254"/>
      <c r="EM54" s="254"/>
      <c r="EN54" s="254"/>
      <c r="EO54" s="254"/>
      <c r="EP54" s="254"/>
      <c r="EQ54" s="254"/>
      <c r="ER54" s="254"/>
      <c r="ES54" s="254"/>
      <c r="ET54" s="254"/>
      <c r="EU54" s="254"/>
      <c r="EV54" s="254"/>
      <c r="EW54" s="254"/>
      <c r="EX54" s="254"/>
      <c r="EY54" s="254"/>
      <c r="EZ54" s="255"/>
      <c r="FA54" s="351"/>
      <c r="FB54" s="287"/>
      <c r="FC54" s="287"/>
      <c r="FD54" s="287"/>
      <c r="JF54" s="352"/>
      <c r="JG54" s="352"/>
      <c r="JH54" s="352"/>
      <c r="JI54" s="352"/>
      <c r="JJ54" s="352"/>
      <c r="JK54" s="352"/>
      <c r="JL54" s="352"/>
      <c r="JM54" s="352"/>
      <c r="JN54" s="352"/>
      <c r="JO54" s="352"/>
      <c r="JP54" s="352"/>
      <c r="JQ54" s="352"/>
      <c r="JR54" s="352"/>
      <c r="JS54" s="352"/>
      <c r="JT54" s="352"/>
      <c r="JU54" s="352"/>
      <c r="JV54" s="352"/>
      <c r="JW54" s="352"/>
      <c r="JX54" s="352"/>
      <c r="JY54" s="352"/>
      <c r="JZ54" s="352"/>
      <c r="KA54" s="352"/>
      <c r="KB54" s="352"/>
      <c r="KC54" s="352"/>
      <c r="KD54" s="352"/>
      <c r="KE54" s="352"/>
      <c r="KF54" s="352"/>
      <c r="KG54" s="352"/>
      <c r="KH54" s="352"/>
      <c r="KI54" s="352"/>
      <c r="KJ54" s="352"/>
      <c r="KK54" s="352"/>
      <c r="KL54" s="352"/>
      <c r="KM54" s="352"/>
      <c r="KN54" s="352"/>
      <c r="KO54" s="352"/>
      <c r="KP54" s="352"/>
      <c r="KQ54" s="352"/>
      <c r="KR54" s="352"/>
      <c r="KS54" s="353"/>
      <c r="KT54" s="353"/>
      <c r="KU54" s="353"/>
      <c r="KV54" s="353"/>
      <c r="KW54" s="353"/>
      <c r="KX54" s="353"/>
      <c r="KY54" s="353"/>
      <c r="KZ54" s="353"/>
      <c r="MT54" s="320"/>
      <c r="MU54" s="251"/>
      <c r="MV54" s="251"/>
      <c r="MW54" s="251"/>
      <c r="MX54" s="251"/>
      <c r="MY54" s="251"/>
      <c r="MZ54" s="251"/>
      <c r="NA54" s="251"/>
      <c r="NB54" s="251"/>
      <c r="NC54" s="251"/>
      <c r="ND54" s="251"/>
      <c r="NE54" s="251"/>
      <c r="NF54" s="251"/>
      <c r="NG54" s="251"/>
      <c r="NH54" s="251"/>
      <c r="NI54" s="251"/>
      <c r="NJ54" s="251"/>
      <c r="NK54" s="251"/>
      <c r="NL54" s="251"/>
      <c r="NM54" s="251"/>
      <c r="NN54" s="251"/>
      <c r="NO54" s="251"/>
      <c r="NP54" s="251"/>
      <c r="NQ54" s="251"/>
      <c r="NR54" s="251"/>
      <c r="NS54" s="251"/>
      <c r="NT54" s="251"/>
      <c r="NU54" s="251"/>
      <c r="NV54" s="251"/>
      <c r="NW54" s="251"/>
      <c r="NX54" s="251"/>
      <c r="NY54" s="251"/>
      <c r="NZ54" s="251"/>
      <c r="OA54" s="251"/>
      <c r="OB54" s="251"/>
      <c r="OC54" s="251"/>
      <c r="OD54" s="251"/>
      <c r="OE54" s="251"/>
      <c r="OF54" s="251"/>
      <c r="OG54" s="251"/>
      <c r="OH54" s="285"/>
      <c r="OI54" s="287"/>
      <c r="OJ54" s="287"/>
      <c r="OK54" s="287"/>
      <c r="OL54" s="287"/>
      <c r="OM54" s="287"/>
      <c r="ON54" s="287"/>
      <c r="OO54" s="37"/>
      <c r="OV54" s="288"/>
      <c r="OW54" s="288"/>
      <c r="OX54" s="288"/>
      <c r="OY54" s="288"/>
      <c r="OZ54" s="288"/>
      <c r="PA54" s="288"/>
      <c r="PB54" s="288"/>
      <c r="PC54" s="288"/>
      <c r="PD54" s="288"/>
      <c r="PE54" s="288"/>
      <c r="PF54" s="288"/>
      <c r="PG54" s="288"/>
      <c r="PH54" s="288"/>
      <c r="PI54" s="288"/>
      <c r="PJ54" s="288"/>
      <c r="PK54" s="288"/>
      <c r="PL54" s="288"/>
      <c r="PM54" s="288"/>
      <c r="PN54" s="288"/>
      <c r="PO54" s="288"/>
      <c r="PP54" s="288"/>
      <c r="PQ54" s="288"/>
      <c r="PR54" s="288"/>
      <c r="PS54" s="288"/>
      <c r="PT54" s="288"/>
      <c r="PU54" s="288"/>
      <c r="PV54" s="288"/>
      <c r="PW54" s="288"/>
      <c r="PX54" s="288"/>
      <c r="PY54" s="288"/>
      <c r="PZ54" s="288"/>
      <c r="QA54" s="288"/>
      <c r="QB54" s="288"/>
      <c r="QC54" s="288"/>
      <c r="QD54" s="288"/>
      <c r="QE54" s="288"/>
      <c r="QF54" s="288"/>
      <c r="QG54" s="288"/>
      <c r="QH54" s="288"/>
      <c r="QI54" s="288"/>
      <c r="QJ54" s="288"/>
      <c r="QK54" s="288"/>
      <c r="QL54" s="288"/>
      <c r="QM54" s="288"/>
      <c r="QN54" s="288"/>
      <c r="QO54" s="288"/>
      <c r="QP54" s="288"/>
      <c r="QQ54" s="18"/>
      <c r="QR54" s="19"/>
    </row>
    <row r="55" spans="3:465" ht="5.0999999999999996" customHeight="1" x14ac:dyDescent="0.3">
      <c r="C55" s="15"/>
      <c r="D55" s="16"/>
      <c r="I55" s="250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1"/>
      <c r="AI55" s="251"/>
      <c r="AJ55" s="251"/>
      <c r="AK55" s="251"/>
      <c r="AL55" s="251"/>
      <c r="AM55" s="251"/>
      <c r="AN55" s="251"/>
      <c r="AO55" s="251"/>
      <c r="AP55" s="251"/>
      <c r="AQ55" s="251"/>
      <c r="AR55" s="251"/>
      <c r="AS55" s="251"/>
      <c r="AT55" s="251"/>
      <c r="AU55" s="251"/>
      <c r="AV55" s="251"/>
      <c r="AW55" s="252"/>
      <c r="AX55" s="310"/>
      <c r="AY55" s="311"/>
      <c r="AZ55" s="311"/>
      <c r="BA55" s="311"/>
      <c r="BB55" s="312"/>
      <c r="EG55" s="21"/>
      <c r="JF55" s="352"/>
      <c r="JG55" s="352"/>
      <c r="JH55" s="352"/>
      <c r="JI55" s="352"/>
      <c r="JJ55" s="352"/>
      <c r="JK55" s="352"/>
      <c r="JL55" s="352"/>
      <c r="JM55" s="352"/>
      <c r="JN55" s="352"/>
      <c r="JO55" s="352"/>
      <c r="JP55" s="352"/>
      <c r="JQ55" s="352"/>
      <c r="JR55" s="352"/>
      <c r="JS55" s="352"/>
      <c r="JT55" s="352"/>
      <c r="JU55" s="352"/>
      <c r="JV55" s="352"/>
      <c r="JW55" s="352"/>
      <c r="JX55" s="352"/>
      <c r="JY55" s="352"/>
      <c r="JZ55" s="352"/>
      <c r="KA55" s="352"/>
      <c r="KB55" s="352"/>
      <c r="KC55" s="352"/>
      <c r="KD55" s="352"/>
      <c r="KE55" s="352"/>
      <c r="KF55" s="352"/>
      <c r="KG55" s="352"/>
      <c r="KH55" s="352"/>
      <c r="KI55" s="352"/>
      <c r="KJ55" s="352"/>
      <c r="KK55" s="352"/>
      <c r="KL55" s="352"/>
      <c r="KM55" s="352"/>
      <c r="KN55" s="352"/>
      <c r="KO55" s="352"/>
      <c r="KP55" s="352"/>
      <c r="KQ55" s="352"/>
      <c r="KR55" s="352"/>
      <c r="KS55" s="353"/>
      <c r="KT55" s="353"/>
      <c r="KU55" s="353"/>
      <c r="KV55" s="353"/>
      <c r="KW55" s="353"/>
      <c r="KX55" s="353"/>
      <c r="KY55" s="353"/>
      <c r="KZ55" s="353"/>
      <c r="MT55" s="320"/>
      <c r="MU55" s="251"/>
      <c r="MV55" s="251"/>
      <c r="MW55" s="251"/>
      <c r="MX55" s="251"/>
      <c r="MY55" s="251"/>
      <c r="MZ55" s="251"/>
      <c r="NA55" s="251"/>
      <c r="NB55" s="251"/>
      <c r="NC55" s="251"/>
      <c r="ND55" s="251"/>
      <c r="NE55" s="251"/>
      <c r="NF55" s="251"/>
      <c r="NG55" s="251"/>
      <c r="NH55" s="251"/>
      <c r="NI55" s="251"/>
      <c r="NJ55" s="251"/>
      <c r="NK55" s="251"/>
      <c r="NL55" s="251"/>
      <c r="NM55" s="251"/>
      <c r="NN55" s="251"/>
      <c r="NO55" s="251"/>
      <c r="NP55" s="251"/>
      <c r="NQ55" s="251"/>
      <c r="NR55" s="251"/>
      <c r="NS55" s="251"/>
      <c r="NT55" s="251"/>
      <c r="NU55" s="251"/>
      <c r="NV55" s="251"/>
      <c r="NW55" s="251"/>
      <c r="NX55" s="251"/>
      <c r="NY55" s="251"/>
      <c r="NZ55" s="251"/>
      <c r="OA55" s="251"/>
      <c r="OB55" s="251"/>
      <c r="OC55" s="251"/>
      <c r="OD55" s="251"/>
      <c r="OE55" s="251"/>
      <c r="OF55" s="251"/>
      <c r="OG55" s="251"/>
      <c r="OH55" s="285"/>
      <c r="OI55" s="287"/>
      <c r="OJ55" s="287"/>
      <c r="OK55" s="287"/>
      <c r="OL55" s="287"/>
      <c r="OM55" s="287"/>
      <c r="ON55" s="287"/>
      <c r="OV55" s="288"/>
      <c r="OW55" s="288"/>
      <c r="OX55" s="288"/>
      <c r="OY55" s="288"/>
      <c r="OZ55" s="288"/>
      <c r="PA55" s="288"/>
      <c r="PB55" s="288"/>
      <c r="PC55" s="288"/>
      <c r="PD55" s="288"/>
      <c r="PE55" s="288"/>
      <c r="PF55" s="288"/>
      <c r="PG55" s="288"/>
      <c r="PH55" s="288"/>
      <c r="PI55" s="288"/>
      <c r="PJ55" s="288"/>
      <c r="PK55" s="288"/>
      <c r="PL55" s="288"/>
      <c r="PM55" s="288"/>
      <c r="PN55" s="288"/>
      <c r="PO55" s="288"/>
      <c r="PP55" s="288"/>
      <c r="PQ55" s="288"/>
      <c r="PR55" s="288"/>
      <c r="PS55" s="288"/>
      <c r="PT55" s="288"/>
      <c r="PU55" s="288"/>
      <c r="PV55" s="288"/>
      <c r="PW55" s="288"/>
      <c r="PX55" s="288"/>
      <c r="PY55" s="288"/>
      <c r="PZ55" s="288"/>
      <c r="QA55" s="288"/>
      <c r="QB55" s="288"/>
      <c r="QC55" s="288"/>
      <c r="QD55" s="288"/>
      <c r="QE55" s="288"/>
      <c r="QF55" s="288"/>
      <c r="QG55" s="288"/>
      <c r="QH55" s="288"/>
      <c r="QI55" s="288"/>
      <c r="QJ55" s="288"/>
      <c r="QK55" s="288"/>
      <c r="QL55" s="288"/>
      <c r="QM55" s="288"/>
      <c r="QN55" s="288"/>
      <c r="QO55" s="288"/>
      <c r="QP55" s="288"/>
      <c r="QQ55" s="18"/>
      <c r="QR55" s="19"/>
    </row>
    <row r="56" spans="3:465" ht="5.0999999999999996" customHeight="1" x14ac:dyDescent="0.3">
      <c r="C56" s="15"/>
      <c r="D56" s="16"/>
      <c r="I56" s="250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2"/>
      <c r="AX56" s="310"/>
      <c r="AY56" s="311"/>
      <c r="AZ56" s="311"/>
      <c r="BA56" s="311"/>
      <c r="BB56" s="312"/>
      <c r="EG56" s="21"/>
      <c r="KC56" s="21"/>
      <c r="MT56" s="320"/>
      <c r="MU56" s="251"/>
      <c r="MV56" s="251"/>
      <c r="MW56" s="251"/>
      <c r="MX56" s="251"/>
      <c r="MY56" s="251"/>
      <c r="MZ56" s="251"/>
      <c r="NA56" s="251"/>
      <c r="NB56" s="251"/>
      <c r="NC56" s="251"/>
      <c r="ND56" s="251"/>
      <c r="NE56" s="251"/>
      <c r="NF56" s="251"/>
      <c r="NG56" s="251"/>
      <c r="NH56" s="251"/>
      <c r="NI56" s="251"/>
      <c r="NJ56" s="251"/>
      <c r="NK56" s="251"/>
      <c r="NL56" s="251"/>
      <c r="NM56" s="251"/>
      <c r="NN56" s="251"/>
      <c r="NO56" s="251"/>
      <c r="NP56" s="251"/>
      <c r="NQ56" s="251"/>
      <c r="NR56" s="251"/>
      <c r="NS56" s="251"/>
      <c r="NT56" s="251"/>
      <c r="NU56" s="251"/>
      <c r="NV56" s="251"/>
      <c r="NW56" s="251"/>
      <c r="NX56" s="251"/>
      <c r="NY56" s="251"/>
      <c r="NZ56" s="251"/>
      <c r="OA56" s="251"/>
      <c r="OB56" s="251"/>
      <c r="OC56" s="251"/>
      <c r="OD56" s="251"/>
      <c r="OE56" s="251"/>
      <c r="OF56" s="251"/>
      <c r="OG56" s="251"/>
      <c r="OH56" s="285"/>
      <c r="OI56" s="287"/>
      <c r="OJ56" s="287"/>
      <c r="OK56" s="287"/>
      <c r="OL56" s="287"/>
      <c r="OM56" s="287"/>
      <c r="ON56" s="287"/>
      <c r="OV56" s="288"/>
      <c r="OW56" s="288"/>
      <c r="OX56" s="288"/>
      <c r="OY56" s="288"/>
      <c r="OZ56" s="288"/>
      <c r="PA56" s="288"/>
      <c r="PB56" s="288"/>
      <c r="PC56" s="288"/>
      <c r="PD56" s="288"/>
      <c r="PE56" s="288"/>
      <c r="PF56" s="288"/>
      <c r="PG56" s="288"/>
      <c r="PH56" s="288"/>
      <c r="PI56" s="288"/>
      <c r="PJ56" s="288"/>
      <c r="PK56" s="288"/>
      <c r="PL56" s="288"/>
      <c r="PM56" s="288"/>
      <c r="PN56" s="288"/>
      <c r="PO56" s="288"/>
      <c r="PP56" s="288"/>
      <c r="PQ56" s="288"/>
      <c r="PR56" s="288"/>
      <c r="PS56" s="288"/>
      <c r="PT56" s="288"/>
      <c r="PU56" s="288"/>
      <c r="PV56" s="288"/>
      <c r="PW56" s="288"/>
      <c r="PX56" s="288"/>
      <c r="PY56" s="288"/>
      <c r="PZ56" s="288"/>
      <c r="QA56" s="288"/>
      <c r="QB56" s="288"/>
      <c r="QC56" s="288"/>
      <c r="QD56" s="288"/>
      <c r="QE56" s="288"/>
      <c r="QF56" s="288"/>
      <c r="QG56" s="288"/>
      <c r="QH56" s="288"/>
      <c r="QI56" s="288"/>
      <c r="QJ56" s="288"/>
      <c r="QK56" s="288"/>
      <c r="QL56" s="288"/>
      <c r="QM56" s="288"/>
      <c r="QN56" s="288"/>
      <c r="QO56" s="288"/>
      <c r="QP56" s="288"/>
      <c r="QQ56" s="18"/>
      <c r="QR56" s="19"/>
    </row>
    <row r="57" spans="3:465" ht="5.0999999999999996" customHeight="1" x14ac:dyDescent="0.3">
      <c r="C57" s="15"/>
      <c r="D57" s="16"/>
      <c r="I57" s="253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  <c r="AL57" s="254"/>
      <c r="AM57" s="254"/>
      <c r="AN57" s="254"/>
      <c r="AO57" s="254"/>
      <c r="AP57" s="254"/>
      <c r="AQ57" s="254"/>
      <c r="AR57" s="254"/>
      <c r="AS57" s="254"/>
      <c r="AT57" s="254"/>
      <c r="AU57" s="254"/>
      <c r="AV57" s="254"/>
      <c r="AW57" s="255"/>
      <c r="AX57" s="313"/>
      <c r="AY57" s="314"/>
      <c r="AZ57" s="314"/>
      <c r="BA57" s="314"/>
      <c r="BB57" s="315"/>
      <c r="EG57" s="21"/>
      <c r="KC57" s="21"/>
      <c r="MT57" s="320"/>
      <c r="MU57" s="251"/>
      <c r="MV57" s="251"/>
      <c r="MW57" s="251"/>
      <c r="MX57" s="251"/>
      <c r="MY57" s="251"/>
      <c r="MZ57" s="251"/>
      <c r="NA57" s="251"/>
      <c r="NB57" s="251"/>
      <c r="NC57" s="251"/>
      <c r="ND57" s="251"/>
      <c r="NE57" s="251"/>
      <c r="NF57" s="251"/>
      <c r="NG57" s="251"/>
      <c r="NH57" s="251"/>
      <c r="NI57" s="251"/>
      <c r="NJ57" s="251"/>
      <c r="NK57" s="251"/>
      <c r="NL57" s="251"/>
      <c r="NM57" s="251"/>
      <c r="NN57" s="251"/>
      <c r="NO57" s="251"/>
      <c r="NP57" s="251"/>
      <c r="NQ57" s="251"/>
      <c r="NR57" s="251"/>
      <c r="NS57" s="251"/>
      <c r="NT57" s="251"/>
      <c r="NU57" s="251"/>
      <c r="NV57" s="251"/>
      <c r="NW57" s="251"/>
      <c r="NX57" s="251"/>
      <c r="NY57" s="251"/>
      <c r="NZ57" s="251"/>
      <c r="OA57" s="251"/>
      <c r="OB57" s="251"/>
      <c r="OC57" s="251"/>
      <c r="OD57" s="251"/>
      <c r="OE57" s="251"/>
      <c r="OF57" s="251"/>
      <c r="OG57" s="251"/>
      <c r="OH57" s="285"/>
      <c r="OI57" s="287"/>
      <c r="OJ57" s="287"/>
      <c r="OK57" s="287"/>
      <c r="OL57" s="287"/>
      <c r="OM57" s="287"/>
      <c r="ON57" s="287"/>
      <c r="OV57" s="288"/>
      <c r="OW57" s="288"/>
      <c r="OX57" s="288"/>
      <c r="OY57" s="288"/>
      <c r="OZ57" s="288"/>
      <c r="PA57" s="288"/>
      <c r="PB57" s="288"/>
      <c r="PC57" s="288"/>
      <c r="PD57" s="288"/>
      <c r="PE57" s="288"/>
      <c r="PF57" s="288"/>
      <c r="PG57" s="288"/>
      <c r="PH57" s="288"/>
      <c r="PI57" s="288"/>
      <c r="PJ57" s="288"/>
      <c r="PK57" s="288"/>
      <c r="PL57" s="288"/>
      <c r="PM57" s="288"/>
      <c r="PN57" s="288"/>
      <c r="PO57" s="288"/>
      <c r="PP57" s="288"/>
      <c r="PQ57" s="288"/>
      <c r="PR57" s="288"/>
      <c r="PS57" s="288"/>
      <c r="PT57" s="288"/>
      <c r="PU57" s="288"/>
      <c r="PV57" s="288"/>
      <c r="PW57" s="288"/>
      <c r="PX57" s="288"/>
      <c r="PY57" s="288"/>
      <c r="PZ57" s="288"/>
      <c r="QA57" s="288"/>
      <c r="QB57" s="288"/>
      <c r="QC57" s="288"/>
      <c r="QD57" s="288"/>
      <c r="QE57" s="288"/>
      <c r="QF57" s="288"/>
      <c r="QG57" s="288"/>
      <c r="QH57" s="288"/>
      <c r="QI57" s="288"/>
      <c r="QJ57" s="288"/>
      <c r="QK57" s="288"/>
      <c r="QL57" s="288"/>
      <c r="QM57" s="288"/>
      <c r="QN57" s="288"/>
      <c r="QO57" s="288"/>
      <c r="QP57" s="288"/>
      <c r="QQ57" s="18"/>
      <c r="QR57" s="19"/>
    </row>
    <row r="58" spans="3:465" ht="5.0999999999999996" customHeight="1" x14ac:dyDescent="0.3">
      <c r="C58" s="15"/>
      <c r="D58" s="16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4"/>
      <c r="EG58" s="21"/>
      <c r="JF58" s="288" t="s">
        <v>12</v>
      </c>
      <c r="JG58" s="288"/>
      <c r="JH58" s="288"/>
      <c r="JI58" s="288"/>
      <c r="JJ58" s="288"/>
      <c r="JK58" s="288"/>
      <c r="JL58" s="288"/>
      <c r="JM58" s="288"/>
      <c r="JN58" s="288"/>
      <c r="JO58" s="288"/>
      <c r="JP58" s="288"/>
      <c r="JQ58" s="288"/>
      <c r="JR58" s="288"/>
      <c r="JS58" s="288"/>
      <c r="JT58" s="288"/>
      <c r="JU58" s="288"/>
      <c r="JV58" s="288"/>
      <c r="JW58" s="288"/>
      <c r="JX58" s="288"/>
      <c r="JY58" s="288"/>
      <c r="JZ58" s="288"/>
      <c r="KA58" s="288"/>
      <c r="KB58" s="288"/>
      <c r="KC58" s="288"/>
      <c r="KD58" s="288"/>
      <c r="KE58" s="288"/>
      <c r="KF58" s="288"/>
      <c r="KG58" s="288"/>
      <c r="KH58" s="288"/>
      <c r="KI58" s="288"/>
      <c r="KJ58" s="288"/>
      <c r="KK58" s="288"/>
      <c r="KL58" s="288"/>
      <c r="KM58" s="288"/>
      <c r="KN58" s="288"/>
      <c r="KO58" s="288"/>
      <c r="KP58" s="288"/>
      <c r="KQ58" s="288"/>
      <c r="KR58" s="288"/>
      <c r="KS58" s="288">
        <v>2</v>
      </c>
      <c r="KT58" s="288"/>
      <c r="KU58" s="288"/>
      <c r="KV58" s="288"/>
      <c r="KW58" s="288"/>
      <c r="MT58" s="321"/>
      <c r="MU58" s="322"/>
      <c r="MV58" s="322"/>
      <c r="MW58" s="322"/>
      <c r="MX58" s="322"/>
      <c r="MY58" s="322"/>
      <c r="MZ58" s="322"/>
      <c r="NA58" s="322"/>
      <c r="NB58" s="322"/>
      <c r="NC58" s="322"/>
      <c r="ND58" s="322"/>
      <c r="NE58" s="322"/>
      <c r="NF58" s="322"/>
      <c r="NG58" s="322"/>
      <c r="NH58" s="322"/>
      <c r="NI58" s="322"/>
      <c r="NJ58" s="322"/>
      <c r="NK58" s="322"/>
      <c r="NL58" s="322"/>
      <c r="NM58" s="322"/>
      <c r="NN58" s="322"/>
      <c r="NO58" s="322"/>
      <c r="NP58" s="322"/>
      <c r="NQ58" s="322"/>
      <c r="NR58" s="322"/>
      <c r="NS58" s="322"/>
      <c r="NT58" s="322"/>
      <c r="NU58" s="322"/>
      <c r="NV58" s="322"/>
      <c r="NW58" s="322"/>
      <c r="NX58" s="322"/>
      <c r="NY58" s="322"/>
      <c r="NZ58" s="322"/>
      <c r="OA58" s="322"/>
      <c r="OB58" s="322"/>
      <c r="OC58" s="322"/>
      <c r="OD58" s="322"/>
      <c r="OE58" s="322"/>
      <c r="OF58" s="322"/>
      <c r="OG58" s="322"/>
      <c r="OH58" s="323"/>
      <c r="OI58" s="287"/>
      <c r="OJ58" s="287"/>
      <c r="OK58" s="287"/>
      <c r="OL58" s="287"/>
      <c r="OM58" s="287"/>
      <c r="ON58" s="287"/>
      <c r="OV58" s="288"/>
      <c r="OW58" s="288"/>
      <c r="OX58" s="288"/>
      <c r="OY58" s="288"/>
      <c r="OZ58" s="288"/>
      <c r="PA58" s="288"/>
      <c r="PB58" s="288"/>
      <c r="PC58" s="288"/>
      <c r="PD58" s="288"/>
      <c r="PE58" s="288"/>
      <c r="PF58" s="288"/>
      <c r="PG58" s="288"/>
      <c r="PH58" s="288"/>
      <c r="PI58" s="288"/>
      <c r="PJ58" s="288"/>
      <c r="PK58" s="288"/>
      <c r="PL58" s="288"/>
      <c r="PM58" s="288"/>
      <c r="PN58" s="288"/>
      <c r="PO58" s="288"/>
      <c r="PP58" s="288"/>
      <c r="PQ58" s="288"/>
      <c r="PR58" s="288"/>
      <c r="PS58" s="288"/>
      <c r="PT58" s="288"/>
      <c r="PU58" s="288"/>
      <c r="PV58" s="288"/>
      <c r="PW58" s="288"/>
      <c r="PX58" s="288"/>
      <c r="PY58" s="288"/>
      <c r="PZ58" s="288"/>
      <c r="QA58" s="288"/>
      <c r="QB58" s="288"/>
      <c r="QC58" s="288"/>
      <c r="QD58" s="288"/>
      <c r="QE58" s="288"/>
      <c r="QF58" s="288"/>
      <c r="QG58" s="288"/>
      <c r="QH58" s="288"/>
      <c r="QI58" s="288"/>
      <c r="QJ58" s="288"/>
      <c r="QK58" s="288"/>
      <c r="QL58" s="288"/>
      <c r="QM58" s="288"/>
      <c r="QN58" s="288"/>
      <c r="QO58" s="288"/>
      <c r="QP58" s="288"/>
      <c r="QQ58" s="18"/>
      <c r="QR58" s="19"/>
    </row>
    <row r="59" spans="3:465" ht="5.0999999999999996" customHeight="1" x14ac:dyDescent="0.3">
      <c r="C59" s="15"/>
      <c r="D59" s="16"/>
      <c r="I59" s="247" t="s">
        <v>13</v>
      </c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248"/>
      <c r="AR59" s="248"/>
      <c r="AS59" s="248"/>
      <c r="AT59" s="248"/>
      <c r="AU59" s="248"/>
      <c r="AV59" s="248"/>
      <c r="AW59" s="249"/>
      <c r="AX59" s="307">
        <v>2</v>
      </c>
      <c r="AY59" s="308"/>
      <c r="AZ59" s="308"/>
      <c r="BA59" s="308"/>
      <c r="BB59" s="309"/>
      <c r="EG59" s="21"/>
      <c r="JF59" s="288"/>
      <c r="JG59" s="288"/>
      <c r="JH59" s="288"/>
      <c r="JI59" s="288"/>
      <c r="JJ59" s="288"/>
      <c r="JK59" s="288"/>
      <c r="JL59" s="288"/>
      <c r="JM59" s="288"/>
      <c r="JN59" s="288"/>
      <c r="JO59" s="288"/>
      <c r="JP59" s="288"/>
      <c r="JQ59" s="288"/>
      <c r="JR59" s="288"/>
      <c r="JS59" s="288"/>
      <c r="JT59" s="288"/>
      <c r="JU59" s="288"/>
      <c r="JV59" s="288"/>
      <c r="JW59" s="288"/>
      <c r="JX59" s="288"/>
      <c r="JY59" s="288"/>
      <c r="JZ59" s="288"/>
      <c r="KA59" s="288"/>
      <c r="KB59" s="288"/>
      <c r="KC59" s="288"/>
      <c r="KD59" s="288"/>
      <c r="KE59" s="288"/>
      <c r="KF59" s="288"/>
      <c r="KG59" s="288"/>
      <c r="KH59" s="288"/>
      <c r="KI59" s="288"/>
      <c r="KJ59" s="288"/>
      <c r="KK59" s="288"/>
      <c r="KL59" s="288"/>
      <c r="KM59" s="288"/>
      <c r="KN59" s="288"/>
      <c r="KO59" s="288"/>
      <c r="KP59" s="288"/>
      <c r="KQ59" s="288"/>
      <c r="KR59" s="288"/>
      <c r="KS59" s="288"/>
      <c r="KT59" s="288"/>
      <c r="KU59" s="288"/>
      <c r="KV59" s="288"/>
      <c r="KW59" s="288"/>
      <c r="NS59" s="38"/>
      <c r="QQ59" s="18"/>
      <c r="QR59" s="19"/>
      <c r="QT59" s="39"/>
      <c r="QU59" s="39"/>
      <c r="QV59" s="39"/>
      <c r="QW59" s="40"/>
    </row>
    <row r="60" spans="3:465" ht="5.0999999999999996" customHeight="1" x14ac:dyDescent="0.3">
      <c r="C60" s="15"/>
      <c r="D60" s="16"/>
      <c r="I60" s="250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51"/>
      <c r="AS60" s="251"/>
      <c r="AT60" s="251"/>
      <c r="AU60" s="251"/>
      <c r="AV60" s="251"/>
      <c r="AW60" s="252"/>
      <c r="AX60" s="310"/>
      <c r="AY60" s="311"/>
      <c r="AZ60" s="311"/>
      <c r="BA60" s="311"/>
      <c r="BB60" s="312"/>
      <c r="EG60" s="21"/>
      <c r="EQ60" s="247" t="s">
        <v>14</v>
      </c>
      <c r="ER60" s="248"/>
      <c r="ES60" s="248"/>
      <c r="ET60" s="248"/>
      <c r="EU60" s="248"/>
      <c r="EV60" s="248"/>
      <c r="EW60" s="248"/>
      <c r="EX60" s="248"/>
      <c r="EY60" s="248"/>
      <c r="EZ60" s="248"/>
      <c r="FA60" s="248"/>
      <c r="FB60" s="248"/>
      <c r="FC60" s="248"/>
      <c r="FD60" s="248"/>
      <c r="FE60" s="248"/>
      <c r="FF60" s="248"/>
      <c r="FG60" s="248"/>
      <c r="FH60" s="248"/>
      <c r="FI60" s="248"/>
      <c r="FJ60" s="248"/>
      <c r="FK60" s="248"/>
      <c r="FL60" s="248"/>
      <c r="FM60" s="248"/>
      <c r="FN60" s="248"/>
      <c r="FO60" s="248"/>
      <c r="FP60" s="248"/>
      <c r="FQ60" s="248"/>
      <c r="FR60" s="248"/>
      <c r="FS60" s="248"/>
      <c r="FT60" s="248"/>
      <c r="FU60" s="248"/>
      <c r="FV60" s="248"/>
      <c r="FW60" s="248"/>
      <c r="FX60" s="248"/>
      <c r="FY60" s="248"/>
      <c r="FZ60" s="248"/>
      <c r="GA60" s="248"/>
      <c r="GB60" s="248"/>
      <c r="GC60" s="248"/>
      <c r="GD60" s="248"/>
      <c r="GE60" s="284"/>
      <c r="GF60" s="287">
        <v>1</v>
      </c>
      <c r="GG60" s="287"/>
      <c r="GH60" s="287"/>
      <c r="GI60" s="287"/>
      <c r="JF60" s="288"/>
      <c r="JG60" s="288"/>
      <c r="JH60" s="288"/>
      <c r="JI60" s="288"/>
      <c r="JJ60" s="288"/>
      <c r="JK60" s="288"/>
      <c r="JL60" s="288"/>
      <c r="JM60" s="288"/>
      <c r="JN60" s="288"/>
      <c r="JO60" s="288"/>
      <c r="JP60" s="288"/>
      <c r="JQ60" s="288"/>
      <c r="JR60" s="288"/>
      <c r="JS60" s="288"/>
      <c r="JT60" s="288"/>
      <c r="JU60" s="288"/>
      <c r="JV60" s="288"/>
      <c r="JW60" s="288"/>
      <c r="JX60" s="288"/>
      <c r="JY60" s="288"/>
      <c r="JZ60" s="288"/>
      <c r="KA60" s="288"/>
      <c r="KB60" s="288"/>
      <c r="KC60" s="288"/>
      <c r="KD60" s="288"/>
      <c r="KE60" s="288"/>
      <c r="KF60" s="288"/>
      <c r="KG60" s="288"/>
      <c r="KH60" s="288"/>
      <c r="KI60" s="288"/>
      <c r="KJ60" s="288"/>
      <c r="KK60" s="288"/>
      <c r="KL60" s="288"/>
      <c r="KM60" s="288"/>
      <c r="KN60" s="288"/>
      <c r="KO60" s="288"/>
      <c r="KP60" s="288"/>
      <c r="KQ60" s="288"/>
      <c r="KR60" s="288"/>
      <c r="KS60" s="288"/>
      <c r="KT60" s="288"/>
      <c r="KU60" s="288"/>
      <c r="KV60" s="288"/>
      <c r="KW60" s="288"/>
      <c r="NS60" s="32"/>
      <c r="QQ60" s="18"/>
      <c r="QR60" s="19"/>
    </row>
    <row r="61" spans="3:465" ht="5.0999999999999996" customHeight="1" x14ac:dyDescent="0.3">
      <c r="C61" s="15"/>
      <c r="D61" s="16"/>
      <c r="I61" s="250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  <c r="AR61" s="251"/>
      <c r="AS61" s="251"/>
      <c r="AT61" s="251"/>
      <c r="AU61" s="251"/>
      <c r="AV61" s="251"/>
      <c r="AW61" s="252"/>
      <c r="AX61" s="310"/>
      <c r="AY61" s="311"/>
      <c r="AZ61" s="311"/>
      <c r="BA61" s="311"/>
      <c r="BB61" s="312"/>
      <c r="EG61" s="21"/>
      <c r="EQ61" s="250"/>
      <c r="ER61" s="251"/>
      <c r="ES61" s="251"/>
      <c r="ET61" s="251"/>
      <c r="EU61" s="251"/>
      <c r="EV61" s="251"/>
      <c r="EW61" s="251"/>
      <c r="EX61" s="251"/>
      <c r="EY61" s="251"/>
      <c r="EZ61" s="251"/>
      <c r="FA61" s="251"/>
      <c r="FB61" s="251"/>
      <c r="FC61" s="251"/>
      <c r="FD61" s="251"/>
      <c r="FE61" s="251"/>
      <c r="FF61" s="251"/>
      <c r="FG61" s="251"/>
      <c r="FH61" s="251"/>
      <c r="FI61" s="251"/>
      <c r="FJ61" s="251"/>
      <c r="FK61" s="251"/>
      <c r="FL61" s="251"/>
      <c r="FM61" s="251"/>
      <c r="FN61" s="251"/>
      <c r="FO61" s="251"/>
      <c r="FP61" s="251"/>
      <c r="FQ61" s="251"/>
      <c r="FR61" s="251"/>
      <c r="FS61" s="251"/>
      <c r="FT61" s="251"/>
      <c r="FU61" s="251"/>
      <c r="FV61" s="251"/>
      <c r="FW61" s="251"/>
      <c r="FX61" s="251"/>
      <c r="FY61" s="251"/>
      <c r="FZ61" s="251"/>
      <c r="GA61" s="251"/>
      <c r="GB61" s="251"/>
      <c r="GC61" s="251"/>
      <c r="GD61" s="251"/>
      <c r="GE61" s="285"/>
      <c r="GF61" s="287"/>
      <c r="GG61" s="287"/>
      <c r="GH61" s="287"/>
      <c r="GI61" s="287"/>
      <c r="JF61" s="288"/>
      <c r="JG61" s="288"/>
      <c r="JH61" s="288"/>
      <c r="JI61" s="288"/>
      <c r="JJ61" s="288"/>
      <c r="JK61" s="288"/>
      <c r="JL61" s="288"/>
      <c r="JM61" s="288"/>
      <c r="JN61" s="288"/>
      <c r="JO61" s="288"/>
      <c r="JP61" s="288"/>
      <c r="JQ61" s="288"/>
      <c r="JR61" s="288"/>
      <c r="JS61" s="288"/>
      <c r="JT61" s="288"/>
      <c r="JU61" s="288"/>
      <c r="JV61" s="288"/>
      <c r="JW61" s="288"/>
      <c r="JX61" s="288"/>
      <c r="JY61" s="288"/>
      <c r="JZ61" s="288"/>
      <c r="KA61" s="288"/>
      <c r="KB61" s="288"/>
      <c r="KC61" s="288"/>
      <c r="KD61" s="288"/>
      <c r="KE61" s="288"/>
      <c r="KF61" s="288"/>
      <c r="KG61" s="288"/>
      <c r="KH61" s="288"/>
      <c r="KI61" s="288"/>
      <c r="KJ61" s="288"/>
      <c r="KK61" s="288"/>
      <c r="KL61" s="288"/>
      <c r="KM61" s="288"/>
      <c r="KN61" s="288"/>
      <c r="KO61" s="288"/>
      <c r="KP61" s="288"/>
      <c r="KQ61" s="288"/>
      <c r="KR61" s="288"/>
      <c r="KS61" s="288"/>
      <c r="KT61" s="288"/>
      <c r="KU61" s="288"/>
      <c r="KV61" s="288"/>
      <c r="KW61" s="288"/>
      <c r="NS61" s="32"/>
      <c r="QQ61" s="18"/>
      <c r="QR61" s="19"/>
    </row>
    <row r="62" spans="3:465" ht="5.0999999999999996" customHeight="1" x14ac:dyDescent="0.3">
      <c r="C62" s="15"/>
      <c r="D62" s="16"/>
      <c r="I62" s="250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2"/>
      <c r="AX62" s="310"/>
      <c r="AY62" s="311"/>
      <c r="AZ62" s="311"/>
      <c r="BA62" s="311"/>
      <c r="BB62" s="312"/>
      <c r="EG62" s="21"/>
      <c r="EQ62" s="250"/>
      <c r="ER62" s="251"/>
      <c r="ES62" s="251"/>
      <c r="ET62" s="251"/>
      <c r="EU62" s="251"/>
      <c r="EV62" s="251"/>
      <c r="EW62" s="251"/>
      <c r="EX62" s="251"/>
      <c r="EY62" s="251"/>
      <c r="EZ62" s="251"/>
      <c r="FA62" s="251"/>
      <c r="FB62" s="251"/>
      <c r="FC62" s="251"/>
      <c r="FD62" s="251"/>
      <c r="FE62" s="251"/>
      <c r="FF62" s="251"/>
      <c r="FG62" s="251"/>
      <c r="FH62" s="251"/>
      <c r="FI62" s="251"/>
      <c r="FJ62" s="251"/>
      <c r="FK62" s="251"/>
      <c r="FL62" s="251"/>
      <c r="FM62" s="251"/>
      <c r="FN62" s="251"/>
      <c r="FO62" s="251"/>
      <c r="FP62" s="251"/>
      <c r="FQ62" s="251"/>
      <c r="FR62" s="251"/>
      <c r="FS62" s="251"/>
      <c r="FT62" s="251"/>
      <c r="FU62" s="251"/>
      <c r="FV62" s="251"/>
      <c r="FW62" s="251"/>
      <c r="FX62" s="251"/>
      <c r="FY62" s="251"/>
      <c r="FZ62" s="251"/>
      <c r="GA62" s="251"/>
      <c r="GB62" s="251"/>
      <c r="GC62" s="251"/>
      <c r="GD62" s="251"/>
      <c r="GE62" s="285"/>
      <c r="GF62" s="287"/>
      <c r="GG62" s="287"/>
      <c r="GH62" s="287"/>
      <c r="GI62" s="287"/>
      <c r="JF62" s="288"/>
      <c r="JG62" s="288"/>
      <c r="JH62" s="288"/>
      <c r="JI62" s="288"/>
      <c r="JJ62" s="288"/>
      <c r="JK62" s="288"/>
      <c r="JL62" s="288"/>
      <c r="JM62" s="288"/>
      <c r="JN62" s="288"/>
      <c r="JO62" s="288"/>
      <c r="JP62" s="288"/>
      <c r="JQ62" s="288"/>
      <c r="JR62" s="288"/>
      <c r="JS62" s="288"/>
      <c r="JT62" s="288"/>
      <c r="JU62" s="288"/>
      <c r="JV62" s="288"/>
      <c r="JW62" s="288"/>
      <c r="JX62" s="288"/>
      <c r="JY62" s="288"/>
      <c r="JZ62" s="288"/>
      <c r="KA62" s="288"/>
      <c r="KB62" s="288"/>
      <c r="KC62" s="288"/>
      <c r="KD62" s="288"/>
      <c r="KE62" s="288"/>
      <c r="KF62" s="288"/>
      <c r="KG62" s="288"/>
      <c r="KH62" s="288"/>
      <c r="KI62" s="288"/>
      <c r="KJ62" s="288"/>
      <c r="KK62" s="288"/>
      <c r="KL62" s="288"/>
      <c r="KM62" s="288"/>
      <c r="KN62" s="288"/>
      <c r="KO62" s="288"/>
      <c r="KP62" s="288"/>
      <c r="KQ62" s="288"/>
      <c r="KR62" s="288"/>
      <c r="KS62" s="288"/>
      <c r="KT62" s="288"/>
      <c r="KU62" s="288"/>
      <c r="KV62" s="288"/>
      <c r="KW62" s="288"/>
      <c r="NS62" s="32"/>
      <c r="QQ62" s="18"/>
      <c r="QR62" s="19"/>
    </row>
    <row r="63" spans="3:465" ht="5.0999999999999996" customHeight="1" thickBot="1" x14ac:dyDescent="0.35">
      <c r="C63" s="15"/>
      <c r="D63" s="16"/>
      <c r="I63" s="250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  <c r="AR63" s="251"/>
      <c r="AS63" s="251"/>
      <c r="AT63" s="251"/>
      <c r="AU63" s="251"/>
      <c r="AV63" s="251"/>
      <c r="AW63" s="252"/>
      <c r="AX63" s="310"/>
      <c r="AY63" s="311"/>
      <c r="AZ63" s="311"/>
      <c r="BA63" s="311"/>
      <c r="BB63" s="312"/>
      <c r="EG63" s="21"/>
      <c r="EQ63" s="250"/>
      <c r="ER63" s="251"/>
      <c r="ES63" s="251"/>
      <c r="ET63" s="251"/>
      <c r="EU63" s="251"/>
      <c r="EV63" s="251"/>
      <c r="EW63" s="251"/>
      <c r="EX63" s="251"/>
      <c r="EY63" s="251"/>
      <c r="EZ63" s="251"/>
      <c r="FA63" s="251"/>
      <c r="FB63" s="251"/>
      <c r="FC63" s="251"/>
      <c r="FD63" s="251"/>
      <c r="FE63" s="251"/>
      <c r="FF63" s="251"/>
      <c r="FG63" s="251"/>
      <c r="FH63" s="251"/>
      <c r="FI63" s="251"/>
      <c r="FJ63" s="251"/>
      <c r="FK63" s="251"/>
      <c r="FL63" s="251"/>
      <c r="FM63" s="251"/>
      <c r="FN63" s="251"/>
      <c r="FO63" s="251"/>
      <c r="FP63" s="251"/>
      <c r="FQ63" s="251"/>
      <c r="FR63" s="251"/>
      <c r="FS63" s="251"/>
      <c r="FT63" s="251"/>
      <c r="FU63" s="251"/>
      <c r="FV63" s="251"/>
      <c r="FW63" s="251"/>
      <c r="FX63" s="251"/>
      <c r="FY63" s="251"/>
      <c r="FZ63" s="251"/>
      <c r="GA63" s="251"/>
      <c r="GB63" s="251"/>
      <c r="GC63" s="251"/>
      <c r="GD63" s="251"/>
      <c r="GE63" s="285"/>
      <c r="GF63" s="287"/>
      <c r="GG63" s="287"/>
      <c r="GH63" s="287"/>
      <c r="GI63" s="287"/>
      <c r="JF63" s="288"/>
      <c r="JG63" s="288"/>
      <c r="JH63" s="288"/>
      <c r="JI63" s="288"/>
      <c r="JJ63" s="288"/>
      <c r="JK63" s="288"/>
      <c r="JL63" s="288"/>
      <c r="JM63" s="288"/>
      <c r="JN63" s="288"/>
      <c r="JO63" s="288"/>
      <c r="JP63" s="288"/>
      <c r="JQ63" s="288"/>
      <c r="JR63" s="288"/>
      <c r="JS63" s="288"/>
      <c r="JT63" s="288"/>
      <c r="JU63" s="288"/>
      <c r="JV63" s="288"/>
      <c r="JW63" s="288"/>
      <c r="JX63" s="288"/>
      <c r="JY63" s="288"/>
      <c r="JZ63" s="288"/>
      <c r="KA63" s="288"/>
      <c r="KB63" s="288"/>
      <c r="KC63" s="288"/>
      <c r="KD63" s="288"/>
      <c r="KE63" s="288"/>
      <c r="KF63" s="288"/>
      <c r="KG63" s="288"/>
      <c r="KH63" s="288"/>
      <c r="KI63" s="288"/>
      <c r="KJ63" s="288"/>
      <c r="KK63" s="288"/>
      <c r="KL63" s="288"/>
      <c r="KM63" s="288"/>
      <c r="KN63" s="288"/>
      <c r="KO63" s="288"/>
      <c r="KP63" s="288"/>
      <c r="KQ63" s="288"/>
      <c r="KR63" s="288"/>
      <c r="KS63" s="288"/>
      <c r="KT63" s="288"/>
      <c r="KU63" s="288"/>
      <c r="KV63" s="288"/>
      <c r="KW63" s="288"/>
      <c r="NS63" s="41"/>
      <c r="QQ63" s="18"/>
      <c r="QR63" s="19"/>
    </row>
    <row r="64" spans="3:465" ht="5.0999999999999996" customHeight="1" x14ac:dyDescent="0.3">
      <c r="C64" s="15"/>
      <c r="D64" s="16"/>
      <c r="I64" s="250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  <c r="AR64" s="251"/>
      <c r="AS64" s="251"/>
      <c r="AT64" s="251"/>
      <c r="AU64" s="251"/>
      <c r="AV64" s="251"/>
      <c r="AW64" s="252"/>
      <c r="AX64" s="310"/>
      <c r="AY64" s="311"/>
      <c r="AZ64" s="311"/>
      <c r="BA64" s="311"/>
      <c r="BB64" s="312"/>
      <c r="EG64" s="25"/>
      <c r="EH64" s="26"/>
      <c r="EI64" s="26"/>
      <c r="EJ64" s="26"/>
      <c r="EK64" s="26"/>
      <c r="EL64" s="26"/>
      <c r="EM64" s="26"/>
      <c r="EN64" s="26"/>
      <c r="EO64" s="26"/>
      <c r="EP64" s="42"/>
      <c r="EQ64" s="250"/>
      <c r="ER64" s="251"/>
      <c r="ES64" s="251"/>
      <c r="ET64" s="251"/>
      <c r="EU64" s="251"/>
      <c r="EV64" s="251"/>
      <c r="EW64" s="251"/>
      <c r="EX64" s="251"/>
      <c r="EY64" s="251"/>
      <c r="EZ64" s="251"/>
      <c r="FA64" s="251"/>
      <c r="FB64" s="251"/>
      <c r="FC64" s="251"/>
      <c r="FD64" s="251"/>
      <c r="FE64" s="251"/>
      <c r="FF64" s="251"/>
      <c r="FG64" s="251"/>
      <c r="FH64" s="251"/>
      <c r="FI64" s="251"/>
      <c r="FJ64" s="251"/>
      <c r="FK64" s="251"/>
      <c r="FL64" s="251"/>
      <c r="FM64" s="251"/>
      <c r="FN64" s="251"/>
      <c r="FO64" s="251"/>
      <c r="FP64" s="251"/>
      <c r="FQ64" s="251"/>
      <c r="FR64" s="251"/>
      <c r="FS64" s="251"/>
      <c r="FT64" s="251"/>
      <c r="FU64" s="251"/>
      <c r="FV64" s="251"/>
      <c r="FW64" s="251"/>
      <c r="FX64" s="251"/>
      <c r="FY64" s="251"/>
      <c r="FZ64" s="251"/>
      <c r="GA64" s="251"/>
      <c r="GB64" s="251"/>
      <c r="GC64" s="251"/>
      <c r="GD64" s="251"/>
      <c r="GE64" s="285"/>
      <c r="GF64" s="287"/>
      <c r="GG64" s="287"/>
      <c r="GH64" s="287"/>
      <c r="GI64" s="287"/>
      <c r="JF64" s="288"/>
      <c r="JG64" s="288"/>
      <c r="JH64" s="288"/>
      <c r="JI64" s="288"/>
      <c r="JJ64" s="288"/>
      <c r="JK64" s="288"/>
      <c r="JL64" s="288"/>
      <c r="JM64" s="288"/>
      <c r="JN64" s="288"/>
      <c r="JO64" s="288"/>
      <c r="JP64" s="288"/>
      <c r="JQ64" s="288"/>
      <c r="JR64" s="288"/>
      <c r="JS64" s="288"/>
      <c r="JT64" s="288"/>
      <c r="JU64" s="288"/>
      <c r="JV64" s="288"/>
      <c r="JW64" s="288"/>
      <c r="JX64" s="288"/>
      <c r="JY64" s="288"/>
      <c r="JZ64" s="288"/>
      <c r="KA64" s="288"/>
      <c r="KB64" s="288"/>
      <c r="KC64" s="288"/>
      <c r="KD64" s="288"/>
      <c r="KE64" s="288"/>
      <c r="KF64" s="288"/>
      <c r="KG64" s="288"/>
      <c r="KH64" s="288"/>
      <c r="KI64" s="288"/>
      <c r="KJ64" s="288"/>
      <c r="KK64" s="288"/>
      <c r="KL64" s="288"/>
      <c r="KM64" s="288"/>
      <c r="KN64" s="288"/>
      <c r="KO64" s="288"/>
      <c r="KP64" s="288"/>
      <c r="KQ64" s="288"/>
      <c r="KR64" s="288"/>
      <c r="KS64" s="288"/>
      <c r="KT64" s="288"/>
      <c r="KU64" s="288"/>
      <c r="KV64" s="288"/>
      <c r="KW64" s="288"/>
      <c r="MU64" s="350" t="s">
        <v>15</v>
      </c>
      <c r="MV64" s="318"/>
      <c r="MW64" s="318"/>
      <c r="MX64" s="318"/>
      <c r="MY64" s="318"/>
      <c r="MZ64" s="318"/>
      <c r="NA64" s="318"/>
      <c r="NB64" s="318"/>
      <c r="NC64" s="318"/>
      <c r="ND64" s="318"/>
      <c r="NE64" s="318"/>
      <c r="NF64" s="318"/>
      <c r="NG64" s="318"/>
      <c r="NH64" s="318"/>
      <c r="NI64" s="318"/>
      <c r="NJ64" s="318"/>
      <c r="NK64" s="318"/>
      <c r="NL64" s="318"/>
      <c r="NM64" s="318"/>
      <c r="NN64" s="318"/>
      <c r="NO64" s="318"/>
      <c r="NP64" s="318"/>
      <c r="NQ64" s="318"/>
      <c r="NR64" s="318"/>
      <c r="NS64" s="318"/>
      <c r="NT64" s="318"/>
      <c r="NU64" s="318"/>
      <c r="NV64" s="318"/>
      <c r="NW64" s="318"/>
      <c r="NX64" s="318"/>
      <c r="NY64" s="318"/>
      <c r="NZ64" s="318"/>
      <c r="OA64" s="318"/>
      <c r="OB64" s="318"/>
      <c r="OC64" s="318"/>
      <c r="OD64" s="318"/>
      <c r="OE64" s="318"/>
      <c r="OF64" s="318"/>
      <c r="OG64" s="318"/>
      <c r="OH64" s="318"/>
      <c r="OI64" s="319"/>
      <c r="OJ64" s="287">
        <v>1</v>
      </c>
      <c r="OK64" s="287"/>
      <c r="OL64" s="287"/>
      <c r="OM64" s="287"/>
      <c r="ON64" s="287"/>
      <c r="OO64" s="287"/>
      <c r="QQ64" s="18"/>
      <c r="QR64" s="19"/>
    </row>
    <row r="65" spans="3:465" ht="5.0999999999999996" customHeight="1" x14ac:dyDescent="0.3">
      <c r="C65" s="15"/>
      <c r="D65" s="16"/>
      <c r="I65" s="250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  <c r="AK65" s="251"/>
      <c r="AL65" s="251"/>
      <c r="AM65" s="251"/>
      <c r="AN65" s="251"/>
      <c r="AO65" s="251"/>
      <c r="AP65" s="251"/>
      <c r="AQ65" s="251"/>
      <c r="AR65" s="251"/>
      <c r="AS65" s="251"/>
      <c r="AT65" s="251"/>
      <c r="AU65" s="251"/>
      <c r="AV65" s="251"/>
      <c r="AW65" s="252"/>
      <c r="AX65" s="310"/>
      <c r="AY65" s="311"/>
      <c r="AZ65" s="311"/>
      <c r="BA65" s="311"/>
      <c r="BB65" s="312"/>
      <c r="EG65" s="21"/>
      <c r="EP65" s="18"/>
      <c r="EQ65" s="250"/>
      <c r="ER65" s="251"/>
      <c r="ES65" s="251"/>
      <c r="ET65" s="251"/>
      <c r="EU65" s="251"/>
      <c r="EV65" s="251"/>
      <c r="EW65" s="251"/>
      <c r="EX65" s="251"/>
      <c r="EY65" s="251"/>
      <c r="EZ65" s="251"/>
      <c r="FA65" s="251"/>
      <c r="FB65" s="251"/>
      <c r="FC65" s="251"/>
      <c r="FD65" s="251"/>
      <c r="FE65" s="251"/>
      <c r="FF65" s="251"/>
      <c r="FG65" s="251"/>
      <c r="FH65" s="251"/>
      <c r="FI65" s="251"/>
      <c r="FJ65" s="251"/>
      <c r="FK65" s="251"/>
      <c r="FL65" s="251"/>
      <c r="FM65" s="251"/>
      <c r="FN65" s="251"/>
      <c r="FO65" s="251"/>
      <c r="FP65" s="251"/>
      <c r="FQ65" s="251"/>
      <c r="FR65" s="251"/>
      <c r="FS65" s="251"/>
      <c r="FT65" s="251"/>
      <c r="FU65" s="251"/>
      <c r="FV65" s="251"/>
      <c r="FW65" s="251"/>
      <c r="FX65" s="251"/>
      <c r="FY65" s="251"/>
      <c r="FZ65" s="251"/>
      <c r="GA65" s="251"/>
      <c r="GB65" s="251"/>
      <c r="GC65" s="251"/>
      <c r="GD65" s="251"/>
      <c r="GE65" s="285"/>
      <c r="GF65" s="287"/>
      <c r="GG65" s="287"/>
      <c r="GH65" s="287"/>
      <c r="GI65" s="287"/>
      <c r="JF65" s="288"/>
      <c r="JG65" s="288"/>
      <c r="JH65" s="288"/>
      <c r="JI65" s="288"/>
      <c r="JJ65" s="288"/>
      <c r="JK65" s="288"/>
      <c r="JL65" s="288"/>
      <c r="JM65" s="288"/>
      <c r="JN65" s="288"/>
      <c r="JO65" s="288"/>
      <c r="JP65" s="288"/>
      <c r="JQ65" s="288"/>
      <c r="JR65" s="288"/>
      <c r="JS65" s="288"/>
      <c r="JT65" s="288"/>
      <c r="JU65" s="288"/>
      <c r="JV65" s="288"/>
      <c r="JW65" s="288"/>
      <c r="JX65" s="288"/>
      <c r="JY65" s="288"/>
      <c r="JZ65" s="288"/>
      <c r="KA65" s="288"/>
      <c r="KB65" s="288"/>
      <c r="KC65" s="288"/>
      <c r="KD65" s="288"/>
      <c r="KE65" s="288"/>
      <c r="KF65" s="288"/>
      <c r="KG65" s="288"/>
      <c r="KH65" s="288"/>
      <c r="KI65" s="288"/>
      <c r="KJ65" s="288"/>
      <c r="KK65" s="288"/>
      <c r="KL65" s="288"/>
      <c r="KM65" s="288"/>
      <c r="KN65" s="288"/>
      <c r="KO65" s="288"/>
      <c r="KP65" s="288"/>
      <c r="KQ65" s="288"/>
      <c r="KR65" s="288"/>
      <c r="KS65" s="288"/>
      <c r="KT65" s="288"/>
      <c r="KU65" s="288"/>
      <c r="KV65" s="288"/>
      <c r="KW65" s="288"/>
      <c r="MU65" s="320"/>
      <c r="MV65" s="251"/>
      <c r="MW65" s="251"/>
      <c r="MX65" s="251"/>
      <c r="MY65" s="251"/>
      <c r="MZ65" s="251"/>
      <c r="NA65" s="251"/>
      <c r="NB65" s="251"/>
      <c r="NC65" s="251"/>
      <c r="ND65" s="251"/>
      <c r="NE65" s="251"/>
      <c r="NF65" s="251"/>
      <c r="NG65" s="251"/>
      <c r="NH65" s="251"/>
      <c r="NI65" s="251"/>
      <c r="NJ65" s="251"/>
      <c r="NK65" s="251"/>
      <c r="NL65" s="251"/>
      <c r="NM65" s="251"/>
      <c r="NN65" s="251"/>
      <c r="NO65" s="251"/>
      <c r="NP65" s="251"/>
      <c r="NQ65" s="251"/>
      <c r="NR65" s="251"/>
      <c r="NS65" s="251"/>
      <c r="NT65" s="251"/>
      <c r="NU65" s="251"/>
      <c r="NV65" s="251"/>
      <c r="NW65" s="251"/>
      <c r="NX65" s="251"/>
      <c r="NY65" s="251"/>
      <c r="NZ65" s="251"/>
      <c r="OA65" s="251"/>
      <c r="OB65" s="251"/>
      <c r="OC65" s="251"/>
      <c r="OD65" s="251"/>
      <c r="OE65" s="251"/>
      <c r="OF65" s="251"/>
      <c r="OG65" s="251"/>
      <c r="OH65" s="251"/>
      <c r="OI65" s="285"/>
      <c r="OJ65" s="287"/>
      <c r="OK65" s="287"/>
      <c r="OL65" s="287"/>
      <c r="OM65" s="287"/>
      <c r="ON65" s="287"/>
      <c r="OO65" s="287"/>
      <c r="QQ65" s="18"/>
      <c r="QR65" s="19"/>
    </row>
    <row r="66" spans="3:465" ht="5.0999999999999996" customHeight="1" x14ac:dyDescent="0.3">
      <c r="C66" s="15"/>
      <c r="D66" s="16"/>
      <c r="I66" s="250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/>
      <c r="AH66" s="251"/>
      <c r="AI66" s="251"/>
      <c r="AJ66" s="251"/>
      <c r="AK66" s="251"/>
      <c r="AL66" s="251"/>
      <c r="AM66" s="251"/>
      <c r="AN66" s="251"/>
      <c r="AO66" s="251"/>
      <c r="AP66" s="251"/>
      <c r="AQ66" s="251"/>
      <c r="AR66" s="251"/>
      <c r="AS66" s="251"/>
      <c r="AT66" s="251"/>
      <c r="AU66" s="251"/>
      <c r="AV66" s="251"/>
      <c r="AW66" s="252"/>
      <c r="AX66" s="310"/>
      <c r="AY66" s="311"/>
      <c r="AZ66" s="311"/>
      <c r="BA66" s="311"/>
      <c r="BB66" s="312"/>
      <c r="EG66" s="21"/>
      <c r="EP66" s="18"/>
      <c r="EQ66" s="250"/>
      <c r="ER66" s="251"/>
      <c r="ES66" s="251"/>
      <c r="ET66" s="251"/>
      <c r="EU66" s="251"/>
      <c r="EV66" s="251"/>
      <c r="EW66" s="251"/>
      <c r="EX66" s="251"/>
      <c r="EY66" s="251"/>
      <c r="EZ66" s="251"/>
      <c r="FA66" s="251"/>
      <c r="FB66" s="251"/>
      <c r="FC66" s="251"/>
      <c r="FD66" s="251"/>
      <c r="FE66" s="251"/>
      <c r="FF66" s="251"/>
      <c r="FG66" s="251"/>
      <c r="FH66" s="251"/>
      <c r="FI66" s="251"/>
      <c r="FJ66" s="251"/>
      <c r="FK66" s="251"/>
      <c r="FL66" s="251"/>
      <c r="FM66" s="251"/>
      <c r="FN66" s="251"/>
      <c r="FO66" s="251"/>
      <c r="FP66" s="251"/>
      <c r="FQ66" s="251"/>
      <c r="FR66" s="251"/>
      <c r="FS66" s="251"/>
      <c r="FT66" s="251"/>
      <c r="FU66" s="251"/>
      <c r="FV66" s="251"/>
      <c r="FW66" s="251"/>
      <c r="FX66" s="251"/>
      <c r="FY66" s="251"/>
      <c r="FZ66" s="251"/>
      <c r="GA66" s="251"/>
      <c r="GB66" s="251"/>
      <c r="GC66" s="251"/>
      <c r="GD66" s="251"/>
      <c r="GE66" s="285"/>
      <c r="GF66" s="287"/>
      <c r="GG66" s="287"/>
      <c r="GH66" s="287"/>
      <c r="GI66" s="287"/>
      <c r="JF66" s="288"/>
      <c r="JG66" s="288"/>
      <c r="JH66" s="288"/>
      <c r="JI66" s="288"/>
      <c r="JJ66" s="288"/>
      <c r="JK66" s="288"/>
      <c r="JL66" s="288"/>
      <c r="JM66" s="288"/>
      <c r="JN66" s="288"/>
      <c r="JO66" s="288"/>
      <c r="JP66" s="288"/>
      <c r="JQ66" s="288"/>
      <c r="JR66" s="288"/>
      <c r="JS66" s="288"/>
      <c r="JT66" s="288"/>
      <c r="JU66" s="288"/>
      <c r="JV66" s="288"/>
      <c r="JW66" s="288"/>
      <c r="JX66" s="288"/>
      <c r="JY66" s="288"/>
      <c r="JZ66" s="288"/>
      <c r="KA66" s="288"/>
      <c r="KB66" s="288"/>
      <c r="KC66" s="288"/>
      <c r="KD66" s="288"/>
      <c r="KE66" s="288"/>
      <c r="KF66" s="288"/>
      <c r="KG66" s="288"/>
      <c r="KH66" s="288"/>
      <c r="KI66" s="288"/>
      <c r="KJ66" s="288"/>
      <c r="KK66" s="288"/>
      <c r="KL66" s="288"/>
      <c r="KM66" s="288"/>
      <c r="KN66" s="288"/>
      <c r="KO66" s="288"/>
      <c r="KP66" s="288"/>
      <c r="KQ66" s="288"/>
      <c r="KR66" s="288"/>
      <c r="KS66" s="288"/>
      <c r="KT66" s="288"/>
      <c r="KU66" s="288"/>
      <c r="KV66" s="288"/>
      <c r="KW66" s="288"/>
      <c r="MU66" s="320"/>
      <c r="MV66" s="251"/>
      <c r="MW66" s="251"/>
      <c r="MX66" s="251"/>
      <c r="MY66" s="251"/>
      <c r="MZ66" s="251"/>
      <c r="NA66" s="251"/>
      <c r="NB66" s="251"/>
      <c r="NC66" s="251"/>
      <c r="ND66" s="251"/>
      <c r="NE66" s="251"/>
      <c r="NF66" s="251"/>
      <c r="NG66" s="251"/>
      <c r="NH66" s="251"/>
      <c r="NI66" s="251"/>
      <c r="NJ66" s="251"/>
      <c r="NK66" s="251"/>
      <c r="NL66" s="251"/>
      <c r="NM66" s="251"/>
      <c r="NN66" s="251"/>
      <c r="NO66" s="251"/>
      <c r="NP66" s="251"/>
      <c r="NQ66" s="251"/>
      <c r="NR66" s="251"/>
      <c r="NS66" s="251"/>
      <c r="NT66" s="251"/>
      <c r="NU66" s="251"/>
      <c r="NV66" s="251"/>
      <c r="NW66" s="251"/>
      <c r="NX66" s="251"/>
      <c r="NY66" s="251"/>
      <c r="NZ66" s="251"/>
      <c r="OA66" s="251"/>
      <c r="OB66" s="251"/>
      <c r="OC66" s="251"/>
      <c r="OD66" s="251"/>
      <c r="OE66" s="251"/>
      <c r="OF66" s="251"/>
      <c r="OG66" s="251"/>
      <c r="OH66" s="251"/>
      <c r="OI66" s="285"/>
      <c r="OJ66" s="287"/>
      <c r="OK66" s="287"/>
      <c r="OL66" s="287"/>
      <c r="OM66" s="287"/>
      <c r="ON66" s="287"/>
      <c r="OO66" s="287"/>
      <c r="QQ66" s="18"/>
      <c r="QR66" s="19"/>
    </row>
    <row r="67" spans="3:465" ht="5.0999999999999996" customHeight="1" x14ac:dyDescent="0.3">
      <c r="C67" s="15"/>
      <c r="D67" s="16"/>
      <c r="I67" s="250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51"/>
      <c r="AQ67" s="251"/>
      <c r="AR67" s="251"/>
      <c r="AS67" s="251"/>
      <c r="AT67" s="251"/>
      <c r="AU67" s="251"/>
      <c r="AV67" s="251"/>
      <c r="AW67" s="252"/>
      <c r="AX67" s="310"/>
      <c r="AY67" s="311"/>
      <c r="AZ67" s="311"/>
      <c r="BA67" s="311"/>
      <c r="BB67" s="312"/>
      <c r="EG67" s="21"/>
      <c r="EQ67" s="250"/>
      <c r="ER67" s="251"/>
      <c r="ES67" s="251"/>
      <c r="ET67" s="251"/>
      <c r="EU67" s="251"/>
      <c r="EV67" s="251"/>
      <c r="EW67" s="251"/>
      <c r="EX67" s="251"/>
      <c r="EY67" s="251"/>
      <c r="EZ67" s="251"/>
      <c r="FA67" s="251"/>
      <c r="FB67" s="251"/>
      <c r="FC67" s="251"/>
      <c r="FD67" s="251"/>
      <c r="FE67" s="251"/>
      <c r="FF67" s="251"/>
      <c r="FG67" s="251"/>
      <c r="FH67" s="251"/>
      <c r="FI67" s="251"/>
      <c r="FJ67" s="251"/>
      <c r="FK67" s="251"/>
      <c r="FL67" s="251"/>
      <c r="FM67" s="251"/>
      <c r="FN67" s="251"/>
      <c r="FO67" s="251"/>
      <c r="FP67" s="251"/>
      <c r="FQ67" s="251"/>
      <c r="FR67" s="251"/>
      <c r="FS67" s="251"/>
      <c r="FT67" s="251"/>
      <c r="FU67" s="251"/>
      <c r="FV67" s="251"/>
      <c r="FW67" s="251"/>
      <c r="FX67" s="251"/>
      <c r="FY67" s="251"/>
      <c r="FZ67" s="251"/>
      <c r="GA67" s="251"/>
      <c r="GB67" s="251"/>
      <c r="GC67" s="251"/>
      <c r="GD67" s="251"/>
      <c r="GE67" s="285"/>
      <c r="GF67" s="287"/>
      <c r="GG67" s="287"/>
      <c r="GH67" s="287"/>
      <c r="GI67" s="287"/>
      <c r="JF67" s="288"/>
      <c r="JG67" s="288"/>
      <c r="JH67" s="288"/>
      <c r="JI67" s="288"/>
      <c r="JJ67" s="288"/>
      <c r="JK67" s="288"/>
      <c r="JL67" s="288"/>
      <c r="JM67" s="288"/>
      <c r="JN67" s="288"/>
      <c r="JO67" s="288"/>
      <c r="JP67" s="288"/>
      <c r="JQ67" s="288"/>
      <c r="JR67" s="288"/>
      <c r="JS67" s="288"/>
      <c r="JT67" s="288"/>
      <c r="JU67" s="288"/>
      <c r="JV67" s="288"/>
      <c r="JW67" s="288"/>
      <c r="JX67" s="288"/>
      <c r="JY67" s="288"/>
      <c r="JZ67" s="288"/>
      <c r="KA67" s="288"/>
      <c r="KB67" s="288"/>
      <c r="KC67" s="288"/>
      <c r="KD67" s="288"/>
      <c r="KE67" s="288"/>
      <c r="KF67" s="288"/>
      <c r="KG67" s="288"/>
      <c r="KH67" s="288"/>
      <c r="KI67" s="288"/>
      <c r="KJ67" s="288"/>
      <c r="KK67" s="288"/>
      <c r="KL67" s="288"/>
      <c r="KM67" s="288"/>
      <c r="KN67" s="288"/>
      <c r="KO67" s="288"/>
      <c r="KP67" s="288"/>
      <c r="KQ67" s="288"/>
      <c r="KR67" s="288"/>
      <c r="KS67" s="288"/>
      <c r="KT67" s="288"/>
      <c r="KU67" s="288"/>
      <c r="KV67" s="288"/>
      <c r="KW67" s="288"/>
      <c r="MU67" s="320"/>
      <c r="MV67" s="251"/>
      <c r="MW67" s="251"/>
      <c r="MX67" s="251"/>
      <c r="MY67" s="251"/>
      <c r="MZ67" s="251"/>
      <c r="NA67" s="251"/>
      <c r="NB67" s="251"/>
      <c r="NC67" s="251"/>
      <c r="ND67" s="251"/>
      <c r="NE67" s="251"/>
      <c r="NF67" s="251"/>
      <c r="NG67" s="251"/>
      <c r="NH67" s="251"/>
      <c r="NI67" s="251"/>
      <c r="NJ67" s="251"/>
      <c r="NK67" s="251"/>
      <c r="NL67" s="251"/>
      <c r="NM67" s="251"/>
      <c r="NN67" s="251"/>
      <c r="NO67" s="251"/>
      <c r="NP67" s="251"/>
      <c r="NQ67" s="251"/>
      <c r="NR67" s="251"/>
      <c r="NS67" s="251"/>
      <c r="NT67" s="251"/>
      <c r="NU67" s="251"/>
      <c r="NV67" s="251"/>
      <c r="NW67" s="251"/>
      <c r="NX67" s="251"/>
      <c r="NY67" s="251"/>
      <c r="NZ67" s="251"/>
      <c r="OA67" s="251"/>
      <c r="OB67" s="251"/>
      <c r="OC67" s="251"/>
      <c r="OD67" s="251"/>
      <c r="OE67" s="251"/>
      <c r="OF67" s="251"/>
      <c r="OG67" s="251"/>
      <c r="OH67" s="251"/>
      <c r="OI67" s="285"/>
      <c r="OJ67" s="287"/>
      <c r="OK67" s="287"/>
      <c r="OL67" s="287"/>
      <c r="OM67" s="287"/>
      <c r="ON67" s="287"/>
      <c r="OO67" s="287"/>
      <c r="QQ67" s="18"/>
      <c r="QR67" s="19"/>
    </row>
    <row r="68" spans="3:465" ht="5.0999999999999996" customHeight="1" x14ac:dyDescent="0.3">
      <c r="C68" s="15"/>
      <c r="D68" s="16"/>
      <c r="I68" s="253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254"/>
      <c r="AO68" s="254"/>
      <c r="AP68" s="254"/>
      <c r="AQ68" s="254"/>
      <c r="AR68" s="254"/>
      <c r="AS68" s="254"/>
      <c r="AT68" s="254"/>
      <c r="AU68" s="254"/>
      <c r="AV68" s="254"/>
      <c r="AW68" s="255"/>
      <c r="AX68" s="313"/>
      <c r="AY68" s="314"/>
      <c r="AZ68" s="314"/>
      <c r="BA68" s="314"/>
      <c r="BB68" s="315"/>
      <c r="EG68" s="21"/>
      <c r="EQ68" s="253"/>
      <c r="ER68" s="254"/>
      <c r="ES68" s="254"/>
      <c r="ET68" s="254"/>
      <c r="EU68" s="254"/>
      <c r="EV68" s="254"/>
      <c r="EW68" s="254"/>
      <c r="EX68" s="254"/>
      <c r="EY68" s="254"/>
      <c r="EZ68" s="254"/>
      <c r="FA68" s="254"/>
      <c r="FB68" s="254"/>
      <c r="FC68" s="254"/>
      <c r="FD68" s="254"/>
      <c r="FE68" s="254"/>
      <c r="FF68" s="254"/>
      <c r="FG68" s="254"/>
      <c r="FH68" s="254"/>
      <c r="FI68" s="254"/>
      <c r="FJ68" s="254"/>
      <c r="FK68" s="254"/>
      <c r="FL68" s="254"/>
      <c r="FM68" s="254"/>
      <c r="FN68" s="254"/>
      <c r="FO68" s="254"/>
      <c r="FP68" s="254"/>
      <c r="FQ68" s="254"/>
      <c r="FR68" s="254"/>
      <c r="FS68" s="254"/>
      <c r="FT68" s="254"/>
      <c r="FU68" s="254"/>
      <c r="FV68" s="254"/>
      <c r="FW68" s="254"/>
      <c r="FX68" s="254"/>
      <c r="FY68" s="254"/>
      <c r="FZ68" s="254"/>
      <c r="GA68" s="254"/>
      <c r="GB68" s="254"/>
      <c r="GC68" s="254"/>
      <c r="GD68" s="254"/>
      <c r="GE68" s="286"/>
      <c r="GF68" s="287"/>
      <c r="GG68" s="287"/>
      <c r="GH68" s="287"/>
      <c r="GI68" s="287"/>
      <c r="KC68" s="43"/>
      <c r="MU68" s="320"/>
      <c r="MV68" s="251"/>
      <c r="MW68" s="251"/>
      <c r="MX68" s="251"/>
      <c r="MY68" s="251"/>
      <c r="MZ68" s="251"/>
      <c r="NA68" s="251"/>
      <c r="NB68" s="251"/>
      <c r="NC68" s="251"/>
      <c r="ND68" s="251"/>
      <c r="NE68" s="251"/>
      <c r="NF68" s="251"/>
      <c r="NG68" s="251"/>
      <c r="NH68" s="251"/>
      <c r="NI68" s="251"/>
      <c r="NJ68" s="251"/>
      <c r="NK68" s="251"/>
      <c r="NL68" s="251"/>
      <c r="NM68" s="251"/>
      <c r="NN68" s="251"/>
      <c r="NO68" s="251"/>
      <c r="NP68" s="251"/>
      <c r="NQ68" s="251"/>
      <c r="NR68" s="251"/>
      <c r="NS68" s="251"/>
      <c r="NT68" s="251"/>
      <c r="NU68" s="251"/>
      <c r="NV68" s="251"/>
      <c r="NW68" s="251"/>
      <c r="NX68" s="251"/>
      <c r="NY68" s="251"/>
      <c r="NZ68" s="251"/>
      <c r="OA68" s="251"/>
      <c r="OB68" s="251"/>
      <c r="OC68" s="251"/>
      <c r="OD68" s="251"/>
      <c r="OE68" s="251"/>
      <c r="OF68" s="251"/>
      <c r="OG68" s="251"/>
      <c r="OH68" s="251"/>
      <c r="OI68" s="285"/>
      <c r="OJ68" s="287"/>
      <c r="OK68" s="287"/>
      <c r="OL68" s="287"/>
      <c r="OM68" s="287"/>
      <c r="ON68" s="287"/>
      <c r="OO68" s="287"/>
      <c r="QQ68" s="18"/>
      <c r="QR68" s="19"/>
    </row>
    <row r="69" spans="3:465" ht="5.0999999999999996" customHeight="1" thickBot="1" x14ac:dyDescent="0.35">
      <c r="C69" s="15"/>
      <c r="D69" s="16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4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EG69" s="21"/>
      <c r="KC69" s="21"/>
      <c r="MU69" s="320"/>
      <c r="MV69" s="251"/>
      <c r="MW69" s="251"/>
      <c r="MX69" s="251"/>
      <c r="MY69" s="251"/>
      <c r="MZ69" s="251"/>
      <c r="NA69" s="251"/>
      <c r="NB69" s="251"/>
      <c r="NC69" s="251"/>
      <c r="ND69" s="251"/>
      <c r="NE69" s="251"/>
      <c r="NF69" s="251"/>
      <c r="NG69" s="251"/>
      <c r="NH69" s="251"/>
      <c r="NI69" s="251"/>
      <c r="NJ69" s="251"/>
      <c r="NK69" s="251"/>
      <c r="NL69" s="251"/>
      <c r="NM69" s="251"/>
      <c r="NN69" s="251"/>
      <c r="NO69" s="251"/>
      <c r="NP69" s="251"/>
      <c r="NQ69" s="251"/>
      <c r="NR69" s="251"/>
      <c r="NS69" s="251"/>
      <c r="NT69" s="251"/>
      <c r="NU69" s="251"/>
      <c r="NV69" s="251"/>
      <c r="NW69" s="251"/>
      <c r="NX69" s="251"/>
      <c r="NY69" s="251"/>
      <c r="NZ69" s="251"/>
      <c r="OA69" s="251"/>
      <c r="OB69" s="251"/>
      <c r="OC69" s="251"/>
      <c r="OD69" s="251"/>
      <c r="OE69" s="251"/>
      <c r="OF69" s="251"/>
      <c r="OG69" s="251"/>
      <c r="OH69" s="251"/>
      <c r="OI69" s="285"/>
      <c r="OJ69" s="287"/>
      <c r="OK69" s="287"/>
      <c r="OL69" s="287"/>
      <c r="OM69" s="287"/>
      <c r="ON69" s="287"/>
      <c r="OO69" s="287"/>
      <c r="QO69" s="17"/>
      <c r="QP69" s="17"/>
      <c r="QQ69" s="18"/>
      <c r="QR69" s="19"/>
      <c r="QT69" s="39"/>
      <c r="QU69" s="39"/>
      <c r="QV69" s="39"/>
      <c r="QW69" s="40"/>
    </row>
    <row r="70" spans="3:465" ht="5.0999999999999996" customHeight="1" x14ac:dyDescent="0.3">
      <c r="C70" s="15"/>
      <c r="D70" s="16"/>
      <c r="I70" s="247" t="s">
        <v>16</v>
      </c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8"/>
      <c r="AL70" s="248"/>
      <c r="AM70" s="248"/>
      <c r="AN70" s="248"/>
      <c r="AO70" s="248"/>
      <c r="AP70" s="248"/>
      <c r="AQ70" s="248"/>
      <c r="AR70" s="248"/>
      <c r="AS70" s="248"/>
      <c r="AT70" s="248"/>
      <c r="AU70" s="248"/>
      <c r="AV70" s="248"/>
      <c r="AW70" s="249"/>
      <c r="AX70" s="307">
        <v>3</v>
      </c>
      <c r="AY70" s="308"/>
      <c r="AZ70" s="308"/>
      <c r="BA70" s="308"/>
      <c r="BB70" s="309"/>
      <c r="CC70" s="25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8"/>
      <c r="EG70" s="21"/>
      <c r="KC70" s="21"/>
      <c r="MU70" s="320"/>
      <c r="MV70" s="251"/>
      <c r="MW70" s="251"/>
      <c r="MX70" s="251"/>
      <c r="MY70" s="251"/>
      <c r="MZ70" s="251"/>
      <c r="NA70" s="251"/>
      <c r="NB70" s="251"/>
      <c r="NC70" s="251"/>
      <c r="ND70" s="251"/>
      <c r="NE70" s="251"/>
      <c r="NF70" s="251"/>
      <c r="NG70" s="251"/>
      <c r="NH70" s="251"/>
      <c r="NI70" s="251"/>
      <c r="NJ70" s="251"/>
      <c r="NK70" s="251"/>
      <c r="NL70" s="251"/>
      <c r="NM70" s="251"/>
      <c r="NN70" s="251"/>
      <c r="NO70" s="251"/>
      <c r="NP70" s="251"/>
      <c r="NQ70" s="251"/>
      <c r="NR70" s="251"/>
      <c r="NS70" s="251"/>
      <c r="NT70" s="251"/>
      <c r="NU70" s="251"/>
      <c r="NV70" s="251"/>
      <c r="NW70" s="251"/>
      <c r="NX70" s="251"/>
      <c r="NY70" s="251"/>
      <c r="NZ70" s="251"/>
      <c r="OA70" s="251"/>
      <c r="OB70" s="251"/>
      <c r="OC70" s="251"/>
      <c r="OD70" s="251"/>
      <c r="OE70" s="251"/>
      <c r="OF70" s="251"/>
      <c r="OG70" s="251"/>
      <c r="OH70" s="251"/>
      <c r="OI70" s="285"/>
      <c r="OJ70" s="287"/>
      <c r="OK70" s="287"/>
      <c r="OL70" s="287"/>
      <c r="OM70" s="287"/>
      <c r="ON70" s="287"/>
      <c r="OO70" s="287"/>
      <c r="QN70" s="17"/>
      <c r="QO70" s="17"/>
      <c r="QP70" s="17"/>
      <c r="QQ70" s="18"/>
      <c r="QR70" s="19"/>
    </row>
    <row r="71" spans="3:465" ht="5.0999999999999996" customHeight="1" thickBot="1" x14ac:dyDescent="0.35">
      <c r="C71" s="15"/>
      <c r="D71" s="16"/>
      <c r="I71" s="250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1"/>
      <c r="AE71" s="251"/>
      <c r="AF71" s="251"/>
      <c r="AG71" s="251"/>
      <c r="AH71" s="251"/>
      <c r="AI71" s="251"/>
      <c r="AJ71" s="251"/>
      <c r="AK71" s="251"/>
      <c r="AL71" s="251"/>
      <c r="AM71" s="251"/>
      <c r="AN71" s="251"/>
      <c r="AO71" s="251"/>
      <c r="AP71" s="251"/>
      <c r="AQ71" s="251"/>
      <c r="AR71" s="251"/>
      <c r="AS71" s="251"/>
      <c r="AT71" s="251"/>
      <c r="AU71" s="251"/>
      <c r="AV71" s="251"/>
      <c r="AW71" s="252"/>
      <c r="AX71" s="310"/>
      <c r="AY71" s="311"/>
      <c r="AZ71" s="311"/>
      <c r="BA71" s="311"/>
      <c r="BB71" s="312"/>
      <c r="CC71" s="21"/>
      <c r="EF71" s="24"/>
      <c r="EG71" s="21"/>
      <c r="KC71" s="21"/>
      <c r="MU71" s="320"/>
      <c r="MV71" s="251"/>
      <c r="MW71" s="251"/>
      <c r="MX71" s="251"/>
      <c r="MY71" s="251"/>
      <c r="MZ71" s="251"/>
      <c r="NA71" s="251"/>
      <c r="NB71" s="251"/>
      <c r="NC71" s="251"/>
      <c r="ND71" s="251"/>
      <c r="NE71" s="251"/>
      <c r="NF71" s="251"/>
      <c r="NG71" s="251"/>
      <c r="NH71" s="251"/>
      <c r="NI71" s="251"/>
      <c r="NJ71" s="251"/>
      <c r="NK71" s="251"/>
      <c r="NL71" s="251"/>
      <c r="NM71" s="251"/>
      <c r="NN71" s="251"/>
      <c r="NO71" s="251"/>
      <c r="NP71" s="251"/>
      <c r="NQ71" s="251"/>
      <c r="NR71" s="251"/>
      <c r="NS71" s="251"/>
      <c r="NT71" s="251"/>
      <c r="NU71" s="251"/>
      <c r="NV71" s="251"/>
      <c r="NW71" s="251"/>
      <c r="NX71" s="251"/>
      <c r="NY71" s="251"/>
      <c r="NZ71" s="251"/>
      <c r="OA71" s="251"/>
      <c r="OB71" s="251"/>
      <c r="OC71" s="251"/>
      <c r="OD71" s="251"/>
      <c r="OE71" s="251"/>
      <c r="OF71" s="251"/>
      <c r="OG71" s="251"/>
      <c r="OH71" s="251"/>
      <c r="OI71" s="285"/>
      <c r="OJ71" s="287"/>
      <c r="OK71" s="287"/>
      <c r="OL71" s="287"/>
      <c r="OM71" s="287"/>
      <c r="ON71" s="287"/>
      <c r="OO71" s="287"/>
      <c r="QP71" s="17"/>
      <c r="QQ71" s="18"/>
      <c r="QR71" s="19"/>
    </row>
    <row r="72" spans="3:465" ht="5.0999999999999996" customHeight="1" x14ac:dyDescent="0.3">
      <c r="C72" s="15"/>
      <c r="D72" s="16"/>
      <c r="I72" s="250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1"/>
      <c r="AJ72" s="251"/>
      <c r="AK72" s="251"/>
      <c r="AL72" s="251"/>
      <c r="AM72" s="251"/>
      <c r="AN72" s="251"/>
      <c r="AO72" s="251"/>
      <c r="AP72" s="251"/>
      <c r="AQ72" s="251"/>
      <c r="AR72" s="251"/>
      <c r="AS72" s="251"/>
      <c r="AT72" s="251"/>
      <c r="AU72" s="251"/>
      <c r="AV72" s="251"/>
      <c r="AW72" s="252"/>
      <c r="AX72" s="310"/>
      <c r="AY72" s="311"/>
      <c r="AZ72" s="311"/>
      <c r="BA72" s="311"/>
      <c r="BB72" s="312"/>
      <c r="BF72" s="247" t="s">
        <v>17</v>
      </c>
      <c r="BG72" s="248"/>
      <c r="BH72" s="248"/>
      <c r="BI72" s="248"/>
      <c r="BJ72" s="248"/>
      <c r="BK72" s="248"/>
      <c r="BL72" s="248"/>
      <c r="BM72" s="248"/>
      <c r="BN72" s="248"/>
      <c r="BO72" s="248"/>
      <c r="BP72" s="248"/>
      <c r="BQ72" s="248"/>
      <c r="BR72" s="248"/>
      <c r="BS72" s="248"/>
      <c r="BT72" s="248"/>
      <c r="BU72" s="248"/>
      <c r="BV72" s="248"/>
      <c r="BW72" s="248"/>
      <c r="BX72" s="248"/>
      <c r="BY72" s="248"/>
      <c r="BZ72" s="248"/>
      <c r="CA72" s="248"/>
      <c r="CB72" s="248"/>
      <c r="CC72" s="248"/>
      <c r="CD72" s="248"/>
      <c r="CE72" s="248"/>
      <c r="CF72" s="248"/>
      <c r="CG72" s="248"/>
      <c r="CH72" s="248"/>
      <c r="CI72" s="248"/>
      <c r="CJ72" s="248"/>
      <c r="CK72" s="248"/>
      <c r="CL72" s="248"/>
      <c r="CM72" s="248"/>
      <c r="CN72" s="248"/>
      <c r="CO72" s="248"/>
      <c r="CP72" s="248"/>
      <c r="CQ72" s="248"/>
      <c r="CR72" s="248"/>
      <c r="CS72" s="249"/>
      <c r="CT72" s="288">
        <v>2</v>
      </c>
      <c r="CU72" s="288"/>
      <c r="CV72" s="288"/>
      <c r="CW72" s="288"/>
      <c r="CX72" s="288"/>
      <c r="CY72" s="288"/>
      <c r="EF72" s="24"/>
      <c r="EG72" s="21"/>
      <c r="GC72" s="24"/>
      <c r="GD72" s="25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8"/>
      <c r="IB72" s="25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6"/>
      <c r="JV72" s="26"/>
      <c r="JW72" s="26"/>
      <c r="JX72" s="26"/>
      <c r="JY72" s="26"/>
      <c r="JZ72" s="26"/>
      <c r="KA72" s="26"/>
      <c r="KB72" s="26"/>
      <c r="KC72" s="25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6"/>
      <c r="LG72" s="26"/>
      <c r="LH72" s="26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H72" s="28"/>
      <c r="MU72" s="321"/>
      <c r="MV72" s="322"/>
      <c r="MW72" s="322"/>
      <c r="MX72" s="322"/>
      <c r="MY72" s="322"/>
      <c r="MZ72" s="322"/>
      <c r="NA72" s="322"/>
      <c r="NB72" s="322"/>
      <c r="NC72" s="322"/>
      <c r="ND72" s="322"/>
      <c r="NE72" s="322"/>
      <c r="NF72" s="322"/>
      <c r="NG72" s="322"/>
      <c r="NH72" s="322"/>
      <c r="NI72" s="322"/>
      <c r="NJ72" s="322"/>
      <c r="NK72" s="322"/>
      <c r="NL72" s="322"/>
      <c r="NM72" s="322"/>
      <c r="NN72" s="322"/>
      <c r="NO72" s="322"/>
      <c r="NP72" s="322"/>
      <c r="NQ72" s="322"/>
      <c r="NR72" s="322"/>
      <c r="NS72" s="322"/>
      <c r="NT72" s="322"/>
      <c r="NU72" s="322"/>
      <c r="NV72" s="322"/>
      <c r="NW72" s="322"/>
      <c r="NX72" s="322"/>
      <c r="NY72" s="322"/>
      <c r="NZ72" s="322"/>
      <c r="OA72" s="322"/>
      <c r="OB72" s="322"/>
      <c r="OC72" s="322"/>
      <c r="OD72" s="322"/>
      <c r="OE72" s="322"/>
      <c r="OF72" s="322"/>
      <c r="OG72" s="322"/>
      <c r="OH72" s="322"/>
      <c r="OI72" s="323"/>
      <c r="OJ72" s="287"/>
      <c r="OK72" s="287"/>
      <c r="OL72" s="287"/>
      <c r="OM72" s="287"/>
      <c r="ON72" s="287"/>
      <c r="OO72" s="287"/>
      <c r="QP72" s="17"/>
      <c r="QQ72" s="18"/>
      <c r="QR72" s="19"/>
    </row>
    <row r="73" spans="3:465" ht="5.0999999999999996" customHeight="1" x14ac:dyDescent="0.3">
      <c r="C73" s="15"/>
      <c r="D73" s="16"/>
      <c r="I73" s="250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2"/>
      <c r="AX73" s="310"/>
      <c r="AY73" s="311"/>
      <c r="AZ73" s="311"/>
      <c r="BA73" s="311"/>
      <c r="BB73" s="312"/>
      <c r="BF73" s="250"/>
      <c r="BG73" s="251"/>
      <c r="BH73" s="251"/>
      <c r="BI73" s="251"/>
      <c r="BJ73" s="251"/>
      <c r="BK73" s="251"/>
      <c r="BL73" s="251"/>
      <c r="BM73" s="251"/>
      <c r="BN73" s="251"/>
      <c r="BO73" s="251"/>
      <c r="BP73" s="251"/>
      <c r="BQ73" s="251"/>
      <c r="BR73" s="251"/>
      <c r="BS73" s="251"/>
      <c r="BT73" s="251"/>
      <c r="BU73" s="251"/>
      <c r="BV73" s="251"/>
      <c r="BW73" s="251"/>
      <c r="BX73" s="251"/>
      <c r="BY73" s="251"/>
      <c r="BZ73" s="251"/>
      <c r="CA73" s="251"/>
      <c r="CB73" s="251"/>
      <c r="CC73" s="251"/>
      <c r="CD73" s="251"/>
      <c r="CE73" s="251"/>
      <c r="CF73" s="251"/>
      <c r="CG73" s="251"/>
      <c r="CH73" s="251"/>
      <c r="CI73" s="251"/>
      <c r="CJ73" s="251"/>
      <c r="CK73" s="251"/>
      <c r="CL73" s="251"/>
      <c r="CM73" s="251"/>
      <c r="CN73" s="251"/>
      <c r="CO73" s="251"/>
      <c r="CP73" s="251"/>
      <c r="CQ73" s="251"/>
      <c r="CR73" s="251"/>
      <c r="CS73" s="252"/>
      <c r="CT73" s="288"/>
      <c r="CU73" s="288"/>
      <c r="CV73" s="288"/>
      <c r="CW73" s="288"/>
      <c r="CX73" s="288"/>
      <c r="CY73" s="288"/>
      <c r="EF73" s="24"/>
      <c r="EG73" s="21"/>
      <c r="GC73" s="24"/>
      <c r="IB73" s="21"/>
      <c r="KC73" s="21"/>
      <c r="MH73" s="24"/>
      <c r="MX73" s="44"/>
      <c r="MY73" s="44"/>
      <c r="MZ73" s="44"/>
      <c r="QQ73" s="18"/>
      <c r="QR73" s="19"/>
    </row>
    <row r="74" spans="3:465" ht="5.0999999999999996" customHeight="1" x14ac:dyDescent="0.3">
      <c r="C74" s="15"/>
      <c r="D74" s="16"/>
      <c r="I74" s="250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  <c r="AR74" s="251"/>
      <c r="AS74" s="251"/>
      <c r="AT74" s="251"/>
      <c r="AU74" s="251"/>
      <c r="AV74" s="251"/>
      <c r="AW74" s="252"/>
      <c r="AX74" s="310"/>
      <c r="AY74" s="311"/>
      <c r="AZ74" s="311"/>
      <c r="BA74" s="311"/>
      <c r="BB74" s="312"/>
      <c r="BF74" s="250"/>
      <c r="BG74" s="251"/>
      <c r="BH74" s="251"/>
      <c r="BI74" s="251"/>
      <c r="BJ74" s="251"/>
      <c r="BK74" s="251"/>
      <c r="BL74" s="251"/>
      <c r="BM74" s="251"/>
      <c r="BN74" s="251"/>
      <c r="BO74" s="251"/>
      <c r="BP74" s="251"/>
      <c r="BQ74" s="251"/>
      <c r="BR74" s="251"/>
      <c r="BS74" s="251"/>
      <c r="BT74" s="251"/>
      <c r="BU74" s="251"/>
      <c r="BV74" s="251"/>
      <c r="BW74" s="251"/>
      <c r="BX74" s="251"/>
      <c r="BY74" s="251"/>
      <c r="BZ74" s="251"/>
      <c r="CA74" s="251"/>
      <c r="CB74" s="251"/>
      <c r="CC74" s="251"/>
      <c r="CD74" s="251"/>
      <c r="CE74" s="251"/>
      <c r="CF74" s="251"/>
      <c r="CG74" s="251"/>
      <c r="CH74" s="251"/>
      <c r="CI74" s="251"/>
      <c r="CJ74" s="251"/>
      <c r="CK74" s="251"/>
      <c r="CL74" s="251"/>
      <c r="CM74" s="251"/>
      <c r="CN74" s="251"/>
      <c r="CO74" s="251"/>
      <c r="CP74" s="251"/>
      <c r="CQ74" s="251"/>
      <c r="CR74" s="251"/>
      <c r="CS74" s="252"/>
      <c r="CT74" s="288"/>
      <c r="CU74" s="288"/>
      <c r="CV74" s="288"/>
      <c r="CW74" s="288"/>
      <c r="CX74" s="288"/>
      <c r="CY74" s="288"/>
      <c r="EG74" s="21"/>
      <c r="GC74" s="24"/>
      <c r="IB74" s="21"/>
      <c r="KC74" s="21"/>
      <c r="MH74" s="24"/>
      <c r="QQ74" s="18"/>
      <c r="QR74" s="19"/>
    </row>
    <row r="75" spans="3:465" ht="5.0999999999999996" customHeight="1" x14ac:dyDescent="0.3">
      <c r="C75" s="15"/>
      <c r="D75" s="16"/>
      <c r="I75" s="250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51"/>
      <c r="AP75" s="251"/>
      <c r="AQ75" s="251"/>
      <c r="AR75" s="251"/>
      <c r="AS75" s="251"/>
      <c r="AT75" s="251"/>
      <c r="AU75" s="251"/>
      <c r="AV75" s="251"/>
      <c r="AW75" s="252"/>
      <c r="AX75" s="310"/>
      <c r="AY75" s="311"/>
      <c r="AZ75" s="311"/>
      <c r="BA75" s="311"/>
      <c r="BB75" s="312"/>
      <c r="BF75" s="250"/>
      <c r="BG75" s="251"/>
      <c r="BH75" s="251"/>
      <c r="BI75" s="251"/>
      <c r="BJ75" s="251"/>
      <c r="BK75" s="251"/>
      <c r="BL75" s="251"/>
      <c r="BM75" s="251"/>
      <c r="BN75" s="251"/>
      <c r="BO75" s="251"/>
      <c r="BP75" s="251"/>
      <c r="BQ75" s="251"/>
      <c r="BR75" s="251"/>
      <c r="BS75" s="251"/>
      <c r="BT75" s="251"/>
      <c r="BU75" s="251"/>
      <c r="BV75" s="251"/>
      <c r="BW75" s="251"/>
      <c r="BX75" s="251"/>
      <c r="BY75" s="251"/>
      <c r="BZ75" s="251"/>
      <c r="CA75" s="251"/>
      <c r="CB75" s="251"/>
      <c r="CC75" s="251"/>
      <c r="CD75" s="251"/>
      <c r="CE75" s="251"/>
      <c r="CF75" s="251"/>
      <c r="CG75" s="251"/>
      <c r="CH75" s="251"/>
      <c r="CI75" s="251"/>
      <c r="CJ75" s="251"/>
      <c r="CK75" s="251"/>
      <c r="CL75" s="251"/>
      <c r="CM75" s="251"/>
      <c r="CN75" s="251"/>
      <c r="CO75" s="251"/>
      <c r="CP75" s="251"/>
      <c r="CQ75" s="251"/>
      <c r="CR75" s="251"/>
      <c r="CS75" s="252"/>
      <c r="CT75" s="288"/>
      <c r="CU75" s="288"/>
      <c r="CV75" s="288"/>
      <c r="CW75" s="288"/>
      <c r="CX75" s="288"/>
      <c r="CY75" s="288"/>
      <c r="EG75" s="21"/>
      <c r="GC75" s="24"/>
      <c r="IB75" s="21"/>
      <c r="KC75" s="21"/>
      <c r="MH75" s="24"/>
      <c r="QQ75" s="18"/>
      <c r="QR75" s="19"/>
    </row>
    <row r="76" spans="3:465" ht="5.0999999999999996" customHeight="1" x14ac:dyDescent="0.3">
      <c r="C76" s="15"/>
      <c r="D76" s="16"/>
      <c r="I76" s="250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51"/>
      <c r="AU76" s="251"/>
      <c r="AV76" s="251"/>
      <c r="AW76" s="252"/>
      <c r="AX76" s="310"/>
      <c r="AY76" s="311"/>
      <c r="AZ76" s="311"/>
      <c r="BA76" s="311"/>
      <c r="BB76" s="312"/>
      <c r="BF76" s="250"/>
      <c r="BG76" s="251"/>
      <c r="BH76" s="251"/>
      <c r="BI76" s="251"/>
      <c r="BJ76" s="251"/>
      <c r="BK76" s="251"/>
      <c r="BL76" s="251"/>
      <c r="BM76" s="251"/>
      <c r="BN76" s="251"/>
      <c r="BO76" s="251"/>
      <c r="BP76" s="251"/>
      <c r="BQ76" s="251"/>
      <c r="BR76" s="251"/>
      <c r="BS76" s="251"/>
      <c r="BT76" s="251"/>
      <c r="BU76" s="251"/>
      <c r="BV76" s="251"/>
      <c r="BW76" s="251"/>
      <c r="BX76" s="251"/>
      <c r="BY76" s="251"/>
      <c r="BZ76" s="251"/>
      <c r="CA76" s="251"/>
      <c r="CB76" s="251"/>
      <c r="CC76" s="251"/>
      <c r="CD76" s="251"/>
      <c r="CE76" s="251"/>
      <c r="CF76" s="251"/>
      <c r="CG76" s="251"/>
      <c r="CH76" s="251"/>
      <c r="CI76" s="251"/>
      <c r="CJ76" s="251"/>
      <c r="CK76" s="251"/>
      <c r="CL76" s="251"/>
      <c r="CM76" s="251"/>
      <c r="CN76" s="251"/>
      <c r="CO76" s="251"/>
      <c r="CP76" s="251"/>
      <c r="CQ76" s="251"/>
      <c r="CR76" s="251"/>
      <c r="CS76" s="252"/>
      <c r="CT76" s="288"/>
      <c r="CU76" s="288"/>
      <c r="CV76" s="288"/>
      <c r="CW76" s="288"/>
      <c r="CX76" s="288"/>
      <c r="CY76" s="288"/>
      <c r="EG76" s="21"/>
      <c r="GC76" s="24"/>
      <c r="IB76" s="21"/>
      <c r="KC76" s="21"/>
      <c r="MH76" s="24"/>
      <c r="QQ76" s="18"/>
      <c r="QR76" s="19"/>
    </row>
    <row r="77" spans="3:465" ht="5.0999999999999996" customHeight="1" x14ac:dyDescent="0.3">
      <c r="C77" s="15"/>
      <c r="D77" s="16"/>
      <c r="I77" s="250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1"/>
      <c r="AP77" s="251"/>
      <c r="AQ77" s="251"/>
      <c r="AR77" s="251"/>
      <c r="AS77" s="251"/>
      <c r="AT77" s="251"/>
      <c r="AU77" s="251"/>
      <c r="AV77" s="251"/>
      <c r="AW77" s="252"/>
      <c r="AX77" s="310"/>
      <c r="AY77" s="311"/>
      <c r="AZ77" s="311"/>
      <c r="BA77" s="311"/>
      <c r="BB77" s="312"/>
      <c r="BF77" s="250"/>
      <c r="BG77" s="251"/>
      <c r="BH77" s="251"/>
      <c r="BI77" s="251"/>
      <c r="BJ77" s="251"/>
      <c r="BK77" s="251"/>
      <c r="BL77" s="251"/>
      <c r="BM77" s="251"/>
      <c r="BN77" s="251"/>
      <c r="BO77" s="251"/>
      <c r="BP77" s="251"/>
      <c r="BQ77" s="251"/>
      <c r="BR77" s="251"/>
      <c r="BS77" s="251"/>
      <c r="BT77" s="251"/>
      <c r="BU77" s="251"/>
      <c r="BV77" s="251"/>
      <c r="BW77" s="251"/>
      <c r="BX77" s="251"/>
      <c r="BY77" s="251"/>
      <c r="BZ77" s="251"/>
      <c r="CA77" s="251"/>
      <c r="CB77" s="251"/>
      <c r="CC77" s="251"/>
      <c r="CD77" s="251"/>
      <c r="CE77" s="251"/>
      <c r="CF77" s="251"/>
      <c r="CG77" s="251"/>
      <c r="CH77" s="251"/>
      <c r="CI77" s="251"/>
      <c r="CJ77" s="251"/>
      <c r="CK77" s="251"/>
      <c r="CL77" s="251"/>
      <c r="CM77" s="251"/>
      <c r="CN77" s="251"/>
      <c r="CO77" s="251"/>
      <c r="CP77" s="251"/>
      <c r="CQ77" s="251"/>
      <c r="CR77" s="251"/>
      <c r="CS77" s="252"/>
      <c r="CT77" s="288"/>
      <c r="CU77" s="288"/>
      <c r="CV77" s="288"/>
      <c r="CW77" s="288"/>
      <c r="CX77" s="288"/>
      <c r="CY77" s="288"/>
      <c r="EG77" s="21"/>
      <c r="GC77" s="24"/>
      <c r="IB77" s="21"/>
      <c r="KC77" s="21"/>
      <c r="MH77" s="24"/>
      <c r="QQ77" s="18"/>
      <c r="QR77" s="19"/>
    </row>
    <row r="78" spans="3:465" ht="5.0999999999999996" customHeight="1" x14ac:dyDescent="0.3">
      <c r="C78" s="15"/>
      <c r="D78" s="16"/>
      <c r="I78" s="253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  <c r="AU78" s="254"/>
      <c r="AV78" s="254"/>
      <c r="AW78" s="255"/>
      <c r="AX78" s="313"/>
      <c r="AY78" s="314"/>
      <c r="AZ78" s="314"/>
      <c r="BA78" s="314"/>
      <c r="BB78" s="315"/>
      <c r="BF78" s="250"/>
      <c r="BG78" s="251"/>
      <c r="BH78" s="251"/>
      <c r="BI78" s="251"/>
      <c r="BJ78" s="251"/>
      <c r="BK78" s="251"/>
      <c r="BL78" s="251"/>
      <c r="BM78" s="251"/>
      <c r="BN78" s="251"/>
      <c r="BO78" s="251"/>
      <c r="BP78" s="251"/>
      <c r="BQ78" s="251"/>
      <c r="BR78" s="251"/>
      <c r="BS78" s="251"/>
      <c r="BT78" s="251"/>
      <c r="BU78" s="251"/>
      <c r="BV78" s="251"/>
      <c r="BW78" s="251"/>
      <c r="BX78" s="251"/>
      <c r="BY78" s="251"/>
      <c r="BZ78" s="251"/>
      <c r="CA78" s="251"/>
      <c r="CB78" s="251"/>
      <c r="CC78" s="251"/>
      <c r="CD78" s="251"/>
      <c r="CE78" s="251"/>
      <c r="CF78" s="251"/>
      <c r="CG78" s="251"/>
      <c r="CH78" s="251"/>
      <c r="CI78" s="251"/>
      <c r="CJ78" s="251"/>
      <c r="CK78" s="251"/>
      <c r="CL78" s="251"/>
      <c r="CM78" s="251"/>
      <c r="CN78" s="251"/>
      <c r="CO78" s="251"/>
      <c r="CP78" s="251"/>
      <c r="CQ78" s="251"/>
      <c r="CR78" s="251"/>
      <c r="CS78" s="252"/>
      <c r="CT78" s="288"/>
      <c r="CU78" s="288"/>
      <c r="CV78" s="288"/>
      <c r="CW78" s="288"/>
      <c r="CX78" s="288"/>
      <c r="CY78" s="288"/>
      <c r="EG78" s="21"/>
      <c r="GC78" s="24"/>
      <c r="IB78" s="21"/>
      <c r="KC78" s="21"/>
      <c r="MH78" s="24"/>
      <c r="QQ78" s="18"/>
      <c r="QR78" s="19"/>
    </row>
    <row r="79" spans="3:465" ht="5.0999999999999996" customHeight="1" x14ac:dyDescent="0.3">
      <c r="C79" s="15"/>
      <c r="D79" s="16"/>
      <c r="I79" s="247" t="s">
        <v>18</v>
      </c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  <c r="AB79" s="248"/>
      <c r="AC79" s="248"/>
      <c r="AD79" s="248"/>
      <c r="AE79" s="248"/>
      <c r="AF79" s="248"/>
      <c r="AG79" s="248"/>
      <c r="AH79" s="248"/>
      <c r="AI79" s="248"/>
      <c r="AJ79" s="248"/>
      <c r="AK79" s="248"/>
      <c r="AL79" s="248"/>
      <c r="AM79" s="248"/>
      <c r="AN79" s="248"/>
      <c r="AO79" s="248"/>
      <c r="AP79" s="248"/>
      <c r="AQ79" s="248"/>
      <c r="AR79" s="248"/>
      <c r="AS79" s="248"/>
      <c r="AT79" s="248"/>
      <c r="AU79" s="248"/>
      <c r="AV79" s="248"/>
      <c r="AW79" s="249"/>
      <c r="AX79" s="307">
        <v>5</v>
      </c>
      <c r="AY79" s="308"/>
      <c r="AZ79" s="308"/>
      <c r="BA79" s="308"/>
      <c r="BB79" s="309"/>
      <c r="BF79" s="250"/>
      <c r="BG79" s="251"/>
      <c r="BH79" s="251"/>
      <c r="BI79" s="251"/>
      <c r="BJ79" s="251"/>
      <c r="BK79" s="251"/>
      <c r="BL79" s="251"/>
      <c r="BM79" s="251"/>
      <c r="BN79" s="251"/>
      <c r="BO79" s="251"/>
      <c r="BP79" s="251"/>
      <c r="BQ79" s="251"/>
      <c r="BR79" s="251"/>
      <c r="BS79" s="251"/>
      <c r="BT79" s="251"/>
      <c r="BU79" s="251"/>
      <c r="BV79" s="251"/>
      <c r="BW79" s="251"/>
      <c r="BX79" s="251"/>
      <c r="BY79" s="251"/>
      <c r="BZ79" s="251"/>
      <c r="CA79" s="251"/>
      <c r="CB79" s="251"/>
      <c r="CC79" s="251"/>
      <c r="CD79" s="251"/>
      <c r="CE79" s="251"/>
      <c r="CF79" s="251"/>
      <c r="CG79" s="251"/>
      <c r="CH79" s="251"/>
      <c r="CI79" s="251"/>
      <c r="CJ79" s="251"/>
      <c r="CK79" s="251"/>
      <c r="CL79" s="251"/>
      <c r="CM79" s="251"/>
      <c r="CN79" s="251"/>
      <c r="CO79" s="251"/>
      <c r="CP79" s="251"/>
      <c r="CQ79" s="251"/>
      <c r="CR79" s="251"/>
      <c r="CS79" s="252"/>
      <c r="CT79" s="288"/>
      <c r="CU79" s="288"/>
      <c r="CV79" s="288"/>
      <c r="CW79" s="288"/>
      <c r="CX79" s="288"/>
      <c r="CY79" s="288"/>
      <c r="EG79" s="21"/>
      <c r="GC79" s="24"/>
      <c r="IB79" s="21"/>
      <c r="KC79" s="21"/>
      <c r="MH79" s="24"/>
      <c r="QQ79" s="18"/>
      <c r="QR79" s="19"/>
    </row>
    <row r="80" spans="3:465" ht="5.0999999999999996" customHeight="1" x14ac:dyDescent="0.3">
      <c r="C80" s="15"/>
      <c r="D80" s="16"/>
      <c r="I80" s="250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1"/>
      <c r="AR80" s="251"/>
      <c r="AS80" s="251"/>
      <c r="AT80" s="251"/>
      <c r="AU80" s="251"/>
      <c r="AV80" s="251"/>
      <c r="AW80" s="252"/>
      <c r="AX80" s="310"/>
      <c r="AY80" s="311"/>
      <c r="AZ80" s="311"/>
      <c r="BA80" s="311"/>
      <c r="BB80" s="312"/>
      <c r="BF80" s="250"/>
      <c r="BG80" s="251"/>
      <c r="BH80" s="251"/>
      <c r="BI80" s="251"/>
      <c r="BJ80" s="251"/>
      <c r="BK80" s="251"/>
      <c r="BL80" s="251"/>
      <c r="BM80" s="251"/>
      <c r="BN80" s="251"/>
      <c r="BO80" s="251"/>
      <c r="BP80" s="251"/>
      <c r="BQ80" s="251"/>
      <c r="BR80" s="251"/>
      <c r="BS80" s="251"/>
      <c r="BT80" s="251"/>
      <c r="BU80" s="251"/>
      <c r="BV80" s="251"/>
      <c r="BW80" s="251"/>
      <c r="BX80" s="251"/>
      <c r="BY80" s="251"/>
      <c r="BZ80" s="251"/>
      <c r="CA80" s="251"/>
      <c r="CB80" s="251"/>
      <c r="CC80" s="251"/>
      <c r="CD80" s="251"/>
      <c r="CE80" s="251"/>
      <c r="CF80" s="251"/>
      <c r="CG80" s="251"/>
      <c r="CH80" s="251"/>
      <c r="CI80" s="251"/>
      <c r="CJ80" s="251"/>
      <c r="CK80" s="251"/>
      <c r="CL80" s="251"/>
      <c r="CM80" s="251"/>
      <c r="CN80" s="251"/>
      <c r="CO80" s="251"/>
      <c r="CP80" s="251"/>
      <c r="CQ80" s="251"/>
      <c r="CR80" s="251"/>
      <c r="CS80" s="252"/>
      <c r="CT80" s="288"/>
      <c r="CU80" s="288"/>
      <c r="CV80" s="288"/>
      <c r="CW80" s="288"/>
      <c r="CX80" s="288"/>
      <c r="CY80" s="288"/>
      <c r="EG80" s="21"/>
      <c r="GC80" s="24"/>
      <c r="IB80" s="21"/>
      <c r="KC80" s="30"/>
      <c r="MH80" s="45"/>
      <c r="QQ80" s="18"/>
      <c r="QR80" s="19"/>
    </row>
    <row r="81" spans="3:460" ht="5.0999999999999996" customHeight="1" x14ac:dyDescent="0.3">
      <c r="C81" s="15"/>
      <c r="D81" s="16"/>
      <c r="I81" s="250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  <c r="AP81" s="251"/>
      <c r="AQ81" s="251"/>
      <c r="AR81" s="251"/>
      <c r="AS81" s="251"/>
      <c r="AT81" s="251"/>
      <c r="AU81" s="251"/>
      <c r="AV81" s="251"/>
      <c r="AW81" s="252"/>
      <c r="AX81" s="310"/>
      <c r="AY81" s="311"/>
      <c r="AZ81" s="311"/>
      <c r="BA81" s="311"/>
      <c r="BB81" s="312"/>
      <c r="BF81" s="253"/>
      <c r="BG81" s="254"/>
      <c r="BH81" s="254"/>
      <c r="BI81" s="254"/>
      <c r="BJ81" s="254"/>
      <c r="BK81" s="254"/>
      <c r="BL81" s="254"/>
      <c r="BM81" s="254"/>
      <c r="BN81" s="254"/>
      <c r="BO81" s="254"/>
      <c r="BP81" s="254"/>
      <c r="BQ81" s="254"/>
      <c r="BR81" s="254"/>
      <c r="BS81" s="254"/>
      <c r="BT81" s="254"/>
      <c r="BU81" s="254"/>
      <c r="BV81" s="254"/>
      <c r="BW81" s="254"/>
      <c r="BX81" s="254"/>
      <c r="BY81" s="254"/>
      <c r="BZ81" s="254"/>
      <c r="CA81" s="254"/>
      <c r="CB81" s="254"/>
      <c r="CC81" s="254"/>
      <c r="CD81" s="254"/>
      <c r="CE81" s="254"/>
      <c r="CF81" s="254"/>
      <c r="CG81" s="254"/>
      <c r="CH81" s="254"/>
      <c r="CI81" s="254"/>
      <c r="CJ81" s="254"/>
      <c r="CK81" s="254"/>
      <c r="CL81" s="254"/>
      <c r="CM81" s="254"/>
      <c r="CN81" s="254"/>
      <c r="CO81" s="254"/>
      <c r="CP81" s="254"/>
      <c r="CQ81" s="254"/>
      <c r="CR81" s="254"/>
      <c r="CS81" s="255"/>
      <c r="CT81" s="288"/>
      <c r="CU81" s="288"/>
      <c r="CV81" s="288"/>
      <c r="CW81" s="288"/>
      <c r="CX81" s="288"/>
      <c r="CY81" s="288"/>
      <c r="EG81" s="21"/>
      <c r="GC81" s="24"/>
      <c r="IB81" s="30"/>
      <c r="IC81" s="31"/>
      <c r="JB81" s="17"/>
      <c r="JK81" s="316" t="s">
        <v>19</v>
      </c>
      <c r="JL81" s="316"/>
      <c r="JM81" s="316"/>
      <c r="JN81" s="316"/>
      <c r="JO81" s="316"/>
      <c r="JP81" s="316"/>
      <c r="JQ81" s="316"/>
      <c r="JR81" s="316"/>
      <c r="JS81" s="316"/>
      <c r="JT81" s="316"/>
      <c r="JU81" s="316"/>
      <c r="JV81" s="316"/>
      <c r="JW81" s="316"/>
      <c r="JX81" s="316"/>
      <c r="JY81" s="316"/>
      <c r="JZ81" s="316"/>
      <c r="KA81" s="316"/>
      <c r="KB81" s="316"/>
      <c r="KC81" s="316"/>
      <c r="KD81" s="316"/>
      <c r="KE81" s="316"/>
      <c r="KF81" s="316"/>
      <c r="KG81" s="316"/>
      <c r="KH81" s="316"/>
      <c r="KI81" s="316"/>
      <c r="KJ81" s="316"/>
      <c r="KK81" s="316"/>
      <c r="KL81" s="316"/>
      <c r="KM81" s="316"/>
      <c r="KN81" s="316"/>
      <c r="KO81" s="316"/>
      <c r="KP81" s="316"/>
      <c r="KQ81" s="316"/>
      <c r="KR81" s="316"/>
      <c r="KS81" s="316"/>
      <c r="KT81" s="316"/>
      <c r="KU81" s="316"/>
      <c r="KV81" s="316"/>
      <c r="KW81" s="316"/>
      <c r="KX81" s="316"/>
      <c r="KY81" s="316">
        <f>KY95+KY105+KY115+KY125</f>
        <v>49</v>
      </c>
      <c r="KZ81" s="316"/>
      <c r="LA81" s="316"/>
      <c r="LB81" s="316"/>
      <c r="LC81" s="316"/>
      <c r="LM81" s="316" t="s">
        <v>20</v>
      </c>
      <c r="LN81" s="316"/>
      <c r="LO81" s="316"/>
      <c r="LP81" s="316"/>
      <c r="LQ81" s="316"/>
      <c r="LR81" s="316"/>
      <c r="LS81" s="316"/>
      <c r="LT81" s="316"/>
      <c r="LU81" s="316"/>
      <c r="LV81" s="316"/>
      <c r="LW81" s="316"/>
      <c r="LX81" s="316"/>
      <c r="LY81" s="316"/>
      <c r="LZ81" s="316"/>
      <c r="MA81" s="316"/>
      <c r="MB81" s="316"/>
      <c r="MC81" s="316"/>
      <c r="MD81" s="316"/>
      <c r="ME81" s="316"/>
      <c r="MF81" s="316"/>
      <c r="MG81" s="316"/>
      <c r="MH81" s="316"/>
      <c r="MI81" s="316"/>
      <c r="MJ81" s="316"/>
      <c r="MK81" s="316"/>
      <c r="ML81" s="316"/>
      <c r="MM81" s="316"/>
      <c r="MN81" s="316"/>
      <c r="MO81" s="316"/>
      <c r="MP81" s="316"/>
      <c r="MQ81" s="316"/>
      <c r="MR81" s="316"/>
      <c r="MS81" s="316"/>
      <c r="MT81" s="316"/>
      <c r="MU81" s="316"/>
      <c r="MV81" s="316"/>
      <c r="MW81" s="316"/>
      <c r="MX81" s="316"/>
      <c r="MY81" s="316"/>
      <c r="MZ81" s="316"/>
      <c r="NA81" s="316">
        <f>SUM(NA95:NE143)</f>
        <v>8</v>
      </c>
      <c r="NB81" s="316"/>
      <c r="NC81" s="316"/>
      <c r="ND81" s="316"/>
      <c r="NE81" s="316"/>
      <c r="QQ81" s="18"/>
      <c r="QR81" s="19"/>
    </row>
    <row r="82" spans="3:460" ht="5.0999999999999996" customHeight="1" x14ac:dyDescent="0.3">
      <c r="C82" s="15"/>
      <c r="D82" s="16"/>
      <c r="I82" s="250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1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51"/>
      <c r="AP82" s="251"/>
      <c r="AQ82" s="251"/>
      <c r="AR82" s="251"/>
      <c r="AS82" s="251"/>
      <c r="AT82" s="251"/>
      <c r="AU82" s="251"/>
      <c r="AV82" s="251"/>
      <c r="AW82" s="252"/>
      <c r="AX82" s="310"/>
      <c r="AY82" s="311"/>
      <c r="AZ82" s="311"/>
      <c r="BA82" s="311"/>
      <c r="BB82" s="312"/>
      <c r="BF82" s="288" t="s">
        <v>21</v>
      </c>
      <c r="BG82" s="288"/>
      <c r="BH82" s="288"/>
      <c r="BI82" s="288"/>
      <c r="BJ82" s="288"/>
      <c r="BK82" s="288"/>
      <c r="BL82" s="288"/>
      <c r="BM82" s="288"/>
      <c r="BN82" s="288"/>
      <c r="BO82" s="288"/>
      <c r="BP82" s="288"/>
      <c r="BQ82" s="288"/>
      <c r="BR82" s="288"/>
      <c r="BS82" s="288"/>
      <c r="BT82" s="288"/>
      <c r="BU82" s="288"/>
      <c r="BV82" s="288"/>
      <c r="BW82" s="288"/>
      <c r="BX82" s="288"/>
      <c r="BY82" s="288"/>
      <c r="BZ82" s="288"/>
      <c r="CA82" s="288"/>
      <c r="CB82" s="288"/>
      <c r="CC82" s="288"/>
      <c r="CD82" s="288"/>
      <c r="CE82" s="288"/>
      <c r="CF82" s="288"/>
      <c r="CG82" s="288"/>
      <c r="CH82" s="288"/>
      <c r="CI82" s="288"/>
      <c r="CJ82" s="288"/>
      <c r="CK82" s="288"/>
      <c r="CL82" s="288"/>
      <c r="CM82" s="288"/>
      <c r="CN82" s="288"/>
      <c r="CO82" s="288"/>
      <c r="CP82" s="288"/>
      <c r="CQ82" s="288"/>
      <c r="CR82" s="288"/>
      <c r="CS82" s="288"/>
      <c r="CT82" s="288">
        <v>2</v>
      </c>
      <c r="CU82" s="288"/>
      <c r="CV82" s="288"/>
      <c r="CW82" s="288"/>
      <c r="CX82" s="288"/>
      <c r="CY82" s="288"/>
      <c r="EG82" s="21"/>
      <c r="GC82" s="24"/>
      <c r="HF82" s="324" t="s">
        <v>22</v>
      </c>
      <c r="HG82" s="325"/>
      <c r="HH82" s="325"/>
      <c r="HI82" s="325"/>
      <c r="HJ82" s="325"/>
      <c r="HK82" s="325"/>
      <c r="HL82" s="325"/>
      <c r="HM82" s="325"/>
      <c r="HN82" s="325"/>
      <c r="HO82" s="325"/>
      <c r="HP82" s="325"/>
      <c r="HQ82" s="325"/>
      <c r="HR82" s="325"/>
      <c r="HS82" s="325"/>
      <c r="HT82" s="325"/>
      <c r="HU82" s="325"/>
      <c r="HV82" s="325"/>
      <c r="HW82" s="325"/>
      <c r="HX82" s="325"/>
      <c r="HY82" s="325"/>
      <c r="HZ82" s="325"/>
      <c r="IA82" s="325"/>
      <c r="IB82" s="325"/>
      <c r="IC82" s="325"/>
      <c r="ID82" s="325"/>
      <c r="IE82" s="325"/>
      <c r="IF82" s="325"/>
      <c r="IG82" s="325"/>
      <c r="IH82" s="325"/>
      <c r="II82" s="325"/>
      <c r="IJ82" s="325"/>
      <c r="IK82" s="325"/>
      <c r="IL82" s="325"/>
      <c r="IM82" s="325"/>
      <c r="IN82" s="325"/>
      <c r="IO82" s="325"/>
      <c r="IP82" s="325"/>
      <c r="IQ82" s="325"/>
      <c r="IR82" s="325"/>
      <c r="IS82" s="326"/>
      <c r="IT82" s="324">
        <f>IT96+IT108</f>
        <v>33</v>
      </c>
      <c r="IU82" s="325"/>
      <c r="IV82" s="325"/>
      <c r="IW82" s="325"/>
      <c r="IX82" s="326"/>
      <c r="JB82" s="17"/>
      <c r="JK82" s="316"/>
      <c r="JL82" s="316"/>
      <c r="JM82" s="316"/>
      <c r="JN82" s="316"/>
      <c r="JO82" s="316"/>
      <c r="JP82" s="316"/>
      <c r="JQ82" s="316"/>
      <c r="JR82" s="316"/>
      <c r="JS82" s="316"/>
      <c r="JT82" s="316"/>
      <c r="JU82" s="316"/>
      <c r="JV82" s="316"/>
      <c r="JW82" s="316"/>
      <c r="JX82" s="316"/>
      <c r="JY82" s="316"/>
      <c r="JZ82" s="316"/>
      <c r="KA82" s="316"/>
      <c r="KB82" s="316"/>
      <c r="KC82" s="316"/>
      <c r="KD82" s="316"/>
      <c r="KE82" s="316"/>
      <c r="KF82" s="316"/>
      <c r="KG82" s="316"/>
      <c r="KH82" s="316"/>
      <c r="KI82" s="316"/>
      <c r="KJ82" s="316"/>
      <c r="KK82" s="316"/>
      <c r="KL82" s="316"/>
      <c r="KM82" s="316"/>
      <c r="KN82" s="316"/>
      <c r="KO82" s="316"/>
      <c r="KP82" s="316"/>
      <c r="KQ82" s="316"/>
      <c r="KR82" s="316"/>
      <c r="KS82" s="316"/>
      <c r="KT82" s="316"/>
      <c r="KU82" s="316"/>
      <c r="KV82" s="316"/>
      <c r="KW82" s="316"/>
      <c r="KX82" s="316"/>
      <c r="KY82" s="316"/>
      <c r="KZ82" s="316"/>
      <c r="LA82" s="316"/>
      <c r="LB82" s="316"/>
      <c r="LC82" s="316"/>
      <c r="LM82" s="316"/>
      <c r="LN82" s="316"/>
      <c r="LO82" s="316"/>
      <c r="LP82" s="316"/>
      <c r="LQ82" s="316"/>
      <c r="LR82" s="316"/>
      <c r="LS82" s="316"/>
      <c r="LT82" s="316"/>
      <c r="LU82" s="316"/>
      <c r="LV82" s="316"/>
      <c r="LW82" s="316"/>
      <c r="LX82" s="316"/>
      <c r="LY82" s="316"/>
      <c r="LZ82" s="316"/>
      <c r="MA82" s="316"/>
      <c r="MB82" s="316"/>
      <c r="MC82" s="316"/>
      <c r="MD82" s="316"/>
      <c r="ME82" s="316"/>
      <c r="MF82" s="316"/>
      <c r="MG82" s="316"/>
      <c r="MH82" s="316"/>
      <c r="MI82" s="316"/>
      <c r="MJ82" s="316"/>
      <c r="MK82" s="316"/>
      <c r="ML82" s="316"/>
      <c r="MM82" s="316"/>
      <c r="MN82" s="316"/>
      <c r="MO82" s="316"/>
      <c r="MP82" s="316"/>
      <c r="MQ82" s="316"/>
      <c r="MR82" s="316"/>
      <c r="MS82" s="316"/>
      <c r="MT82" s="316"/>
      <c r="MU82" s="316"/>
      <c r="MV82" s="316"/>
      <c r="MW82" s="316"/>
      <c r="MX82" s="316"/>
      <c r="MY82" s="316"/>
      <c r="MZ82" s="316"/>
      <c r="NA82" s="316"/>
      <c r="NB82" s="316"/>
      <c r="NC82" s="316"/>
      <c r="ND82" s="316"/>
      <c r="NE82" s="316"/>
      <c r="QQ82" s="18"/>
      <c r="QR82" s="19"/>
    </row>
    <row r="83" spans="3:460" ht="5.0999999999999996" customHeight="1" x14ac:dyDescent="0.3">
      <c r="C83" s="15"/>
      <c r="D83" s="16"/>
      <c r="I83" s="250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1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51"/>
      <c r="AP83" s="251"/>
      <c r="AQ83" s="251"/>
      <c r="AR83" s="251"/>
      <c r="AS83" s="251"/>
      <c r="AT83" s="251"/>
      <c r="AU83" s="251"/>
      <c r="AV83" s="251"/>
      <c r="AW83" s="252"/>
      <c r="AX83" s="310"/>
      <c r="AY83" s="311"/>
      <c r="AZ83" s="311"/>
      <c r="BA83" s="311"/>
      <c r="BB83" s="312"/>
      <c r="BF83" s="288"/>
      <c r="BG83" s="288"/>
      <c r="BH83" s="288"/>
      <c r="BI83" s="288"/>
      <c r="BJ83" s="288"/>
      <c r="BK83" s="288"/>
      <c r="BL83" s="288"/>
      <c r="BM83" s="288"/>
      <c r="BN83" s="288"/>
      <c r="BO83" s="288"/>
      <c r="BP83" s="288"/>
      <c r="BQ83" s="288"/>
      <c r="BR83" s="288"/>
      <c r="BS83" s="288"/>
      <c r="BT83" s="288"/>
      <c r="BU83" s="288"/>
      <c r="BV83" s="288"/>
      <c r="BW83" s="288"/>
      <c r="BX83" s="288"/>
      <c r="BY83" s="288"/>
      <c r="BZ83" s="288"/>
      <c r="CA83" s="288"/>
      <c r="CB83" s="288"/>
      <c r="CC83" s="288"/>
      <c r="CD83" s="288"/>
      <c r="CE83" s="288"/>
      <c r="CF83" s="288"/>
      <c r="CG83" s="288"/>
      <c r="CH83" s="288"/>
      <c r="CI83" s="288"/>
      <c r="CJ83" s="288"/>
      <c r="CK83" s="288"/>
      <c r="CL83" s="288"/>
      <c r="CM83" s="288"/>
      <c r="CN83" s="288"/>
      <c r="CO83" s="288"/>
      <c r="CP83" s="288"/>
      <c r="CQ83" s="288"/>
      <c r="CR83" s="288"/>
      <c r="CS83" s="288"/>
      <c r="CT83" s="288"/>
      <c r="CU83" s="288"/>
      <c r="CV83" s="288"/>
      <c r="CW83" s="288"/>
      <c r="CX83" s="288"/>
      <c r="CY83" s="288"/>
      <c r="EG83" s="21"/>
      <c r="FI83" s="324" t="s">
        <v>23</v>
      </c>
      <c r="FJ83" s="325"/>
      <c r="FK83" s="325"/>
      <c r="FL83" s="325"/>
      <c r="FM83" s="325"/>
      <c r="FN83" s="325"/>
      <c r="FO83" s="325"/>
      <c r="FP83" s="325"/>
      <c r="FQ83" s="325"/>
      <c r="FR83" s="325"/>
      <c r="FS83" s="325"/>
      <c r="FT83" s="325"/>
      <c r="FU83" s="325"/>
      <c r="FV83" s="325"/>
      <c r="FW83" s="325"/>
      <c r="FX83" s="325"/>
      <c r="FY83" s="325"/>
      <c r="FZ83" s="325"/>
      <c r="GA83" s="325"/>
      <c r="GB83" s="325"/>
      <c r="GC83" s="325"/>
      <c r="GD83" s="325"/>
      <c r="GE83" s="325"/>
      <c r="GF83" s="325"/>
      <c r="GG83" s="325"/>
      <c r="GH83" s="325"/>
      <c r="GI83" s="325"/>
      <c r="GJ83" s="325"/>
      <c r="GK83" s="325"/>
      <c r="GL83" s="325"/>
      <c r="GM83" s="325"/>
      <c r="GN83" s="325"/>
      <c r="GO83" s="325"/>
      <c r="GP83" s="325"/>
      <c r="GQ83" s="325"/>
      <c r="GR83" s="325"/>
      <c r="GS83" s="325"/>
      <c r="GT83" s="325"/>
      <c r="GU83" s="325"/>
      <c r="GV83" s="326"/>
      <c r="GW83" s="288">
        <f>SUM(GW96:HB115)</f>
        <v>2</v>
      </c>
      <c r="GX83" s="288"/>
      <c r="GY83" s="288"/>
      <c r="GZ83" s="288"/>
      <c r="HA83" s="288"/>
      <c r="HB83" s="288"/>
      <c r="HF83" s="327"/>
      <c r="HG83" s="328"/>
      <c r="HH83" s="328"/>
      <c r="HI83" s="328"/>
      <c r="HJ83" s="328"/>
      <c r="HK83" s="328"/>
      <c r="HL83" s="328"/>
      <c r="HM83" s="328"/>
      <c r="HN83" s="328"/>
      <c r="HO83" s="328"/>
      <c r="HP83" s="328"/>
      <c r="HQ83" s="328"/>
      <c r="HR83" s="328"/>
      <c r="HS83" s="328"/>
      <c r="HT83" s="328"/>
      <c r="HU83" s="328"/>
      <c r="HV83" s="328"/>
      <c r="HW83" s="328"/>
      <c r="HX83" s="328"/>
      <c r="HY83" s="328"/>
      <c r="HZ83" s="328"/>
      <c r="IA83" s="328"/>
      <c r="IB83" s="328"/>
      <c r="IC83" s="328"/>
      <c r="ID83" s="328"/>
      <c r="IE83" s="328"/>
      <c r="IF83" s="328"/>
      <c r="IG83" s="328"/>
      <c r="IH83" s="328"/>
      <c r="II83" s="328"/>
      <c r="IJ83" s="328"/>
      <c r="IK83" s="328"/>
      <c r="IL83" s="328"/>
      <c r="IM83" s="328"/>
      <c r="IN83" s="328"/>
      <c r="IO83" s="328"/>
      <c r="IP83" s="328"/>
      <c r="IQ83" s="328"/>
      <c r="IR83" s="328"/>
      <c r="IS83" s="329"/>
      <c r="IT83" s="327"/>
      <c r="IU83" s="328"/>
      <c r="IV83" s="328"/>
      <c r="IW83" s="328"/>
      <c r="IX83" s="329"/>
      <c r="JB83" s="17"/>
      <c r="JK83" s="316"/>
      <c r="JL83" s="316"/>
      <c r="JM83" s="316"/>
      <c r="JN83" s="316"/>
      <c r="JO83" s="316"/>
      <c r="JP83" s="316"/>
      <c r="JQ83" s="316"/>
      <c r="JR83" s="316"/>
      <c r="JS83" s="316"/>
      <c r="JT83" s="316"/>
      <c r="JU83" s="316"/>
      <c r="JV83" s="316"/>
      <c r="JW83" s="316"/>
      <c r="JX83" s="316"/>
      <c r="JY83" s="316"/>
      <c r="JZ83" s="316"/>
      <c r="KA83" s="316"/>
      <c r="KB83" s="316"/>
      <c r="KC83" s="316"/>
      <c r="KD83" s="316"/>
      <c r="KE83" s="316"/>
      <c r="KF83" s="316"/>
      <c r="KG83" s="316"/>
      <c r="KH83" s="316"/>
      <c r="KI83" s="316"/>
      <c r="KJ83" s="316"/>
      <c r="KK83" s="316"/>
      <c r="KL83" s="316"/>
      <c r="KM83" s="316"/>
      <c r="KN83" s="316"/>
      <c r="KO83" s="316"/>
      <c r="KP83" s="316"/>
      <c r="KQ83" s="316"/>
      <c r="KR83" s="316"/>
      <c r="KS83" s="316"/>
      <c r="KT83" s="316"/>
      <c r="KU83" s="316"/>
      <c r="KV83" s="316"/>
      <c r="KW83" s="316"/>
      <c r="KX83" s="316"/>
      <c r="KY83" s="316"/>
      <c r="KZ83" s="316"/>
      <c r="LA83" s="316"/>
      <c r="LB83" s="316"/>
      <c r="LC83" s="316"/>
      <c r="LM83" s="316"/>
      <c r="LN83" s="316"/>
      <c r="LO83" s="316"/>
      <c r="LP83" s="316"/>
      <c r="LQ83" s="316"/>
      <c r="LR83" s="316"/>
      <c r="LS83" s="316"/>
      <c r="LT83" s="316"/>
      <c r="LU83" s="316"/>
      <c r="LV83" s="316"/>
      <c r="LW83" s="316"/>
      <c r="LX83" s="316"/>
      <c r="LY83" s="316"/>
      <c r="LZ83" s="316"/>
      <c r="MA83" s="316"/>
      <c r="MB83" s="316"/>
      <c r="MC83" s="316"/>
      <c r="MD83" s="316"/>
      <c r="ME83" s="316"/>
      <c r="MF83" s="316"/>
      <c r="MG83" s="316"/>
      <c r="MH83" s="316"/>
      <c r="MI83" s="316"/>
      <c r="MJ83" s="316"/>
      <c r="MK83" s="316"/>
      <c r="ML83" s="316"/>
      <c r="MM83" s="316"/>
      <c r="MN83" s="316"/>
      <c r="MO83" s="316"/>
      <c r="MP83" s="316"/>
      <c r="MQ83" s="316"/>
      <c r="MR83" s="316"/>
      <c r="MS83" s="316"/>
      <c r="MT83" s="316"/>
      <c r="MU83" s="316"/>
      <c r="MV83" s="316"/>
      <c r="MW83" s="316"/>
      <c r="MX83" s="316"/>
      <c r="MY83" s="316"/>
      <c r="MZ83" s="316"/>
      <c r="NA83" s="316"/>
      <c r="NB83" s="316"/>
      <c r="NC83" s="316"/>
      <c r="ND83" s="316"/>
      <c r="NE83" s="316"/>
      <c r="QQ83" s="18"/>
      <c r="QR83" s="19"/>
    </row>
    <row r="84" spans="3:460" ht="5.0999999999999996" customHeight="1" x14ac:dyDescent="0.3">
      <c r="C84" s="15"/>
      <c r="D84" s="16"/>
      <c r="I84" s="250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1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51"/>
      <c r="AU84" s="251"/>
      <c r="AV84" s="251"/>
      <c r="AW84" s="252"/>
      <c r="AX84" s="310"/>
      <c r="AY84" s="311"/>
      <c r="AZ84" s="311"/>
      <c r="BA84" s="311"/>
      <c r="BB84" s="312"/>
      <c r="BF84" s="288"/>
      <c r="BG84" s="288"/>
      <c r="BH84" s="288"/>
      <c r="BI84" s="288"/>
      <c r="BJ84" s="288"/>
      <c r="BK84" s="288"/>
      <c r="BL84" s="288"/>
      <c r="BM84" s="288"/>
      <c r="BN84" s="288"/>
      <c r="BO84" s="288"/>
      <c r="BP84" s="288"/>
      <c r="BQ84" s="288"/>
      <c r="BR84" s="288"/>
      <c r="BS84" s="288"/>
      <c r="BT84" s="288"/>
      <c r="BU84" s="288"/>
      <c r="BV84" s="288"/>
      <c r="BW84" s="288"/>
      <c r="BX84" s="288"/>
      <c r="BY84" s="288"/>
      <c r="BZ84" s="288"/>
      <c r="CA84" s="288"/>
      <c r="CB84" s="288"/>
      <c r="CC84" s="288"/>
      <c r="CD84" s="288"/>
      <c r="CE84" s="288"/>
      <c r="CF84" s="288"/>
      <c r="CG84" s="288"/>
      <c r="CH84" s="288"/>
      <c r="CI84" s="288"/>
      <c r="CJ84" s="288"/>
      <c r="CK84" s="288"/>
      <c r="CL84" s="288"/>
      <c r="CM84" s="288"/>
      <c r="CN84" s="288"/>
      <c r="CO84" s="288"/>
      <c r="CP84" s="288"/>
      <c r="CQ84" s="288"/>
      <c r="CR84" s="288"/>
      <c r="CS84" s="288"/>
      <c r="CT84" s="288"/>
      <c r="CU84" s="288"/>
      <c r="CV84" s="288"/>
      <c r="CW84" s="288"/>
      <c r="CX84" s="288"/>
      <c r="CY84" s="288"/>
      <c r="EG84" s="21"/>
      <c r="FI84" s="327"/>
      <c r="FJ84" s="328"/>
      <c r="FK84" s="328"/>
      <c r="FL84" s="328"/>
      <c r="FM84" s="328"/>
      <c r="FN84" s="328"/>
      <c r="FO84" s="328"/>
      <c r="FP84" s="328"/>
      <c r="FQ84" s="328"/>
      <c r="FR84" s="328"/>
      <c r="FS84" s="328"/>
      <c r="FT84" s="328"/>
      <c r="FU84" s="328"/>
      <c r="FV84" s="328"/>
      <c r="FW84" s="328"/>
      <c r="FX84" s="328"/>
      <c r="FY84" s="328"/>
      <c r="FZ84" s="328"/>
      <c r="GA84" s="328"/>
      <c r="GB84" s="328"/>
      <c r="GC84" s="328"/>
      <c r="GD84" s="328"/>
      <c r="GE84" s="328"/>
      <c r="GF84" s="328"/>
      <c r="GG84" s="328"/>
      <c r="GH84" s="328"/>
      <c r="GI84" s="328"/>
      <c r="GJ84" s="328"/>
      <c r="GK84" s="328"/>
      <c r="GL84" s="328"/>
      <c r="GM84" s="328"/>
      <c r="GN84" s="328"/>
      <c r="GO84" s="328"/>
      <c r="GP84" s="328"/>
      <c r="GQ84" s="328"/>
      <c r="GR84" s="328"/>
      <c r="GS84" s="328"/>
      <c r="GT84" s="328"/>
      <c r="GU84" s="328"/>
      <c r="GV84" s="329"/>
      <c r="GW84" s="288"/>
      <c r="GX84" s="288"/>
      <c r="GY84" s="288"/>
      <c r="GZ84" s="288"/>
      <c r="HA84" s="288"/>
      <c r="HB84" s="288"/>
      <c r="HF84" s="327"/>
      <c r="HG84" s="328"/>
      <c r="HH84" s="328"/>
      <c r="HI84" s="328"/>
      <c r="HJ84" s="328"/>
      <c r="HK84" s="328"/>
      <c r="HL84" s="328"/>
      <c r="HM84" s="328"/>
      <c r="HN84" s="328"/>
      <c r="HO84" s="328"/>
      <c r="HP84" s="328"/>
      <c r="HQ84" s="328"/>
      <c r="HR84" s="328"/>
      <c r="HS84" s="328"/>
      <c r="HT84" s="328"/>
      <c r="HU84" s="328"/>
      <c r="HV84" s="328"/>
      <c r="HW84" s="328"/>
      <c r="HX84" s="328"/>
      <c r="HY84" s="328"/>
      <c r="HZ84" s="328"/>
      <c r="IA84" s="328"/>
      <c r="IB84" s="328"/>
      <c r="IC84" s="328"/>
      <c r="ID84" s="328"/>
      <c r="IE84" s="328"/>
      <c r="IF84" s="328"/>
      <c r="IG84" s="328"/>
      <c r="IH84" s="328"/>
      <c r="II84" s="328"/>
      <c r="IJ84" s="328"/>
      <c r="IK84" s="328"/>
      <c r="IL84" s="328"/>
      <c r="IM84" s="328"/>
      <c r="IN84" s="328"/>
      <c r="IO84" s="328"/>
      <c r="IP84" s="328"/>
      <c r="IQ84" s="328"/>
      <c r="IR84" s="328"/>
      <c r="IS84" s="329"/>
      <c r="IT84" s="327"/>
      <c r="IU84" s="328"/>
      <c r="IV84" s="328"/>
      <c r="IW84" s="328"/>
      <c r="IX84" s="329"/>
      <c r="JK84" s="316"/>
      <c r="JL84" s="316"/>
      <c r="JM84" s="316"/>
      <c r="JN84" s="316"/>
      <c r="JO84" s="316"/>
      <c r="JP84" s="316"/>
      <c r="JQ84" s="316"/>
      <c r="JR84" s="316"/>
      <c r="JS84" s="316"/>
      <c r="JT84" s="316"/>
      <c r="JU84" s="316"/>
      <c r="JV84" s="316"/>
      <c r="JW84" s="316"/>
      <c r="JX84" s="316"/>
      <c r="JY84" s="316"/>
      <c r="JZ84" s="316"/>
      <c r="KA84" s="316"/>
      <c r="KB84" s="316"/>
      <c r="KC84" s="316"/>
      <c r="KD84" s="316"/>
      <c r="KE84" s="316"/>
      <c r="KF84" s="316"/>
      <c r="KG84" s="316"/>
      <c r="KH84" s="316"/>
      <c r="KI84" s="316"/>
      <c r="KJ84" s="316"/>
      <c r="KK84" s="316"/>
      <c r="KL84" s="316"/>
      <c r="KM84" s="316"/>
      <c r="KN84" s="316"/>
      <c r="KO84" s="316"/>
      <c r="KP84" s="316"/>
      <c r="KQ84" s="316"/>
      <c r="KR84" s="316"/>
      <c r="KS84" s="316"/>
      <c r="KT84" s="316"/>
      <c r="KU84" s="316"/>
      <c r="KV84" s="316"/>
      <c r="KW84" s="316"/>
      <c r="KX84" s="316"/>
      <c r="KY84" s="316"/>
      <c r="KZ84" s="316"/>
      <c r="LA84" s="316"/>
      <c r="LB84" s="316"/>
      <c r="LC84" s="316"/>
      <c r="LM84" s="316"/>
      <c r="LN84" s="316"/>
      <c r="LO84" s="316"/>
      <c r="LP84" s="316"/>
      <c r="LQ84" s="316"/>
      <c r="LR84" s="316"/>
      <c r="LS84" s="316"/>
      <c r="LT84" s="316"/>
      <c r="LU84" s="316"/>
      <c r="LV84" s="316"/>
      <c r="LW84" s="316"/>
      <c r="LX84" s="316"/>
      <c r="LY84" s="316"/>
      <c r="LZ84" s="316"/>
      <c r="MA84" s="316"/>
      <c r="MB84" s="316"/>
      <c r="MC84" s="316"/>
      <c r="MD84" s="316"/>
      <c r="ME84" s="316"/>
      <c r="MF84" s="316"/>
      <c r="MG84" s="316"/>
      <c r="MH84" s="316"/>
      <c r="MI84" s="316"/>
      <c r="MJ84" s="316"/>
      <c r="MK84" s="316"/>
      <c r="ML84" s="316"/>
      <c r="MM84" s="316"/>
      <c r="MN84" s="316"/>
      <c r="MO84" s="316"/>
      <c r="MP84" s="316"/>
      <c r="MQ84" s="316"/>
      <c r="MR84" s="316"/>
      <c r="MS84" s="316"/>
      <c r="MT84" s="316"/>
      <c r="MU84" s="316"/>
      <c r="MV84" s="316"/>
      <c r="MW84" s="316"/>
      <c r="MX84" s="316"/>
      <c r="MY84" s="316"/>
      <c r="MZ84" s="316"/>
      <c r="NA84" s="316"/>
      <c r="NB84" s="316"/>
      <c r="NC84" s="316"/>
      <c r="ND84" s="316"/>
      <c r="NE84" s="316"/>
      <c r="QQ84" s="18"/>
      <c r="QR84" s="19"/>
    </row>
    <row r="85" spans="3:460" ht="5.0999999999999996" customHeight="1" x14ac:dyDescent="0.3">
      <c r="C85" s="15"/>
      <c r="D85" s="16"/>
      <c r="I85" s="250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51"/>
      <c r="AU85" s="251"/>
      <c r="AV85" s="251"/>
      <c r="AW85" s="252"/>
      <c r="AX85" s="310"/>
      <c r="AY85" s="311"/>
      <c r="AZ85" s="311"/>
      <c r="BA85" s="311"/>
      <c r="BB85" s="312"/>
      <c r="BF85" s="288"/>
      <c r="BG85" s="288"/>
      <c r="BH85" s="288"/>
      <c r="BI85" s="288"/>
      <c r="BJ85" s="288"/>
      <c r="BK85" s="288"/>
      <c r="BL85" s="288"/>
      <c r="BM85" s="288"/>
      <c r="BN85" s="288"/>
      <c r="BO85" s="288"/>
      <c r="BP85" s="288"/>
      <c r="BQ85" s="288"/>
      <c r="BR85" s="288"/>
      <c r="BS85" s="288"/>
      <c r="BT85" s="288"/>
      <c r="BU85" s="288"/>
      <c r="BV85" s="288"/>
      <c r="BW85" s="288"/>
      <c r="BX85" s="288"/>
      <c r="BY85" s="288"/>
      <c r="BZ85" s="288"/>
      <c r="CA85" s="288"/>
      <c r="CB85" s="288"/>
      <c r="CC85" s="288"/>
      <c r="CD85" s="288"/>
      <c r="CE85" s="288"/>
      <c r="CF85" s="288"/>
      <c r="CG85" s="288"/>
      <c r="CH85" s="288"/>
      <c r="CI85" s="288"/>
      <c r="CJ85" s="288"/>
      <c r="CK85" s="288"/>
      <c r="CL85" s="288"/>
      <c r="CM85" s="288"/>
      <c r="CN85" s="288"/>
      <c r="CO85" s="288"/>
      <c r="CP85" s="288"/>
      <c r="CQ85" s="288"/>
      <c r="CR85" s="288"/>
      <c r="CS85" s="288"/>
      <c r="CT85" s="288"/>
      <c r="CU85" s="288"/>
      <c r="CV85" s="288"/>
      <c r="CW85" s="288"/>
      <c r="CX85" s="288"/>
      <c r="CY85" s="288"/>
      <c r="EG85" s="21"/>
      <c r="FI85" s="327"/>
      <c r="FJ85" s="328"/>
      <c r="FK85" s="328"/>
      <c r="FL85" s="328"/>
      <c r="FM85" s="328"/>
      <c r="FN85" s="328"/>
      <c r="FO85" s="328"/>
      <c r="FP85" s="328"/>
      <c r="FQ85" s="328"/>
      <c r="FR85" s="328"/>
      <c r="FS85" s="328"/>
      <c r="FT85" s="328"/>
      <c r="FU85" s="328"/>
      <c r="FV85" s="328"/>
      <c r="FW85" s="328"/>
      <c r="FX85" s="328"/>
      <c r="FY85" s="328"/>
      <c r="FZ85" s="328"/>
      <c r="GA85" s="328"/>
      <c r="GB85" s="328"/>
      <c r="GC85" s="328"/>
      <c r="GD85" s="328"/>
      <c r="GE85" s="328"/>
      <c r="GF85" s="328"/>
      <c r="GG85" s="328"/>
      <c r="GH85" s="328"/>
      <c r="GI85" s="328"/>
      <c r="GJ85" s="328"/>
      <c r="GK85" s="328"/>
      <c r="GL85" s="328"/>
      <c r="GM85" s="328"/>
      <c r="GN85" s="328"/>
      <c r="GO85" s="328"/>
      <c r="GP85" s="328"/>
      <c r="GQ85" s="328"/>
      <c r="GR85" s="328"/>
      <c r="GS85" s="328"/>
      <c r="GT85" s="328"/>
      <c r="GU85" s="328"/>
      <c r="GV85" s="329"/>
      <c r="GW85" s="288"/>
      <c r="GX85" s="288"/>
      <c r="GY85" s="288"/>
      <c r="GZ85" s="288"/>
      <c r="HA85" s="288"/>
      <c r="HB85" s="288"/>
      <c r="HF85" s="327"/>
      <c r="HG85" s="328"/>
      <c r="HH85" s="328"/>
      <c r="HI85" s="328"/>
      <c r="HJ85" s="328"/>
      <c r="HK85" s="328"/>
      <c r="HL85" s="328"/>
      <c r="HM85" s="328"/>
      <c r="HN85" s="328"/>
      <c r="HO85" s="328"/>
      <c r="HP85" s="328"/>
      <c r="HQ85" s="328"/>
      <c r="HR85" s="328"/>
      <c r="HS85" s="328"/>
      <c r="HT85" s="328"/>
      <c r="HU85" s="328"/>
      <c r="HV85" s="328"/>
      <c r="HW85" s="328"/>
      <c r="HX85" s="328"/>
      <c r="HY85" s="328"/>
      <c r="HZ85" s="328"/>
      <c r="IA85" s="328"/>
      <c r="IB85" s="328"/>
      <c r="IC85" s="328"/>
      <c r="ID85" s="328"/>
      <c r="IE85" s="328"/>
      <c r="IF85" s="328"/>
      <c r="IG85" s="328"/>
      <c r="IH85" s="328"/>
      <c r="II85" s="328"/>
      <c r="IJ85" s="328"/>
      <c r="IK85" s="328"/>
      <c r="IL85" s="328"/>
      <c r="IM85" s="328"/>
      <c r="IN85" s="328"/>
      <c r="IO85" s="328"/>
      <c r="IP85" s="328"/>
      <c r="IQ85" s="328"/>
      <c r="IR85" s="328"/>
      <c r="IS85" s="329"/>
      <c r="IT85" s="327"/>
      <c r="IU85" s="328"/>
      <c r="IV85" s="328"/>
      <c r="IW85" s="328"/>
      <c r="IX85" s="329"/>
      <c r="JK85" s="316"/>
      <c r="JL85" s="316"/>
      <c r="JM85" s="316"/>
      <c r="JN85" s="316"/>
      <c r="JO85" s="316"/>
      <c r="JP85" s="316"/>
      <c r="JQ85" s="316"/>
      <c r="JR85" s="316"/>
      <c r="JS85" s="316"/>
      <c r="JT85" s="316"/>
      <c r="JU85" s="316"/>
      <c r="JV85" s="316"/>
      <c r="JW85" s="316"/>
      <c r="JX85" s="316"/>
      <c r="JY85" s="316"/>
      <c r="JZ85" s="316"/>
      <c r="KA85" s="316"/>
      <c r="KB85" s="316"/>
      <c r="KC85" s="316"/>
      <c r="KD85" s="316"/>
      <c r="KE85" s="316"/>
      <c r="KF85" s="316"/>
      <c r="KG85" s="316"/>
      <c r="KH85" s="316"/>
      <c r="KI85" s="316"/>
      <c r="KJ85" s="316"/>
      <c r="KK85" s="316"/>
      <c r="KL85" s="316"/>
      <c r="KM85" s="316"/>
      <c r="KN85" s="316"/>
      <c r="KO85" s="316"/>
      <c r="KP85" s="316"/>
      <c r="KQ85" s="316"/>
      <c r="KR85" s="316"/>
      <c r="KS85" s="316"/>
      <c r="KT85" s="316"/>
      <c r="KU85" s="316"/>
      <c r="KV85" s="316"/>
      <c r="KW85" s="316"/>
      <c r="KX85" s="316"/>
      <c r="KY85" s="316"/>
      <c r="KZ85" s="316"/>
      <c r="LA85" s="316"/>
      <c r="LB85" s="316"/>
      <c r="LC85" s="316"/>
      <c r="LM85" s="316"/>
      <c r="LN85" s="316"/>
      <c r="LO85" s="316"/>
      <c r="LP85" s="316"/>
      <c r="LQ85" s="316"/>
      <c r="LR85" s="316"/>
      <c r="LS85" s="316"/>
      <c r="LT85" s="316"/>
      <c r="LU85" s="316"/>
      <c r="LV85" s="316"/>
      <c r="LW85" s="316"/>
      <c r="LX85" s="316"/>
      <c r="LY85" s="316"/>
      <c r="LZ85" s="316"/>
      <c r="MA85" s="316"/>
      <c r="MB85" s="316"/>
      <c r="MC85" s="316"/>
      <c r="MD85" s="316"/>
      <c r="ME85" s="316"/>
      <c r="MF85" s="316"/>
      <c r="MG85" s="316"/>
      <c r="MH85" s="316"/>
      <c r="MI85" s="316"/>
      <c r="MJ85" s="316"/>
      <c r="MK85" s="316"/>
      <c r="ML85" s="316"/>
      <c r="MM85" s="316"/>
      <c r="MN85" s="316"/>
      <c r="MO85" s="316"/>
      <c r="MP85" s="316"/>
      <c r="MQ85" s="316"/>
      <c r="MR85" s="316"/>
      <c r="MS85" s="316"/>
      <c r="MT85" s="316"/>
      <c r="MU85" s="316"/>
      <c r="MV85" s="316"/>
      <c r="MW85" s="316"/>
      <c r="MX85" s="316"/>
      <c r="MY85" s="316"/>
      <c r="MZ85" s="316"/>
      <c r="NA85" s="316"/>
      <c r="NB85" s="316"/>
      <c r="NC85" s="316"/>
      <c r="ND85" s="316"/>
      <c r="NE85" s="316"/>
      <c r="QQ85" s="18"/>
      <c r="QR85" s="19"/>
    </row>
    <row r="86" spans="3:460" ht="5.0999999999999996" customHeight="1" x14ac:dyDescent="0.3">
      <c r="C86" s="15"/>
      <c r="D86" s="16"/>
      <c r="I86" s="250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1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51"/>
      <c r="AP86" s="251"/>
      <c r="AQ86" s="251"/>
      <c r="AR86" s="251"/>
      <c r="AS86" s="251"/>
      <c r="AT86" s="251"/>
      <c r="AU86" s="251"/>
      <c r="AV86" s="251"/>
      <c r="AW86" s="252"/>
      <c r="AX86" s="310"/>
      <c r="AY86" s="311"/>
      <c r="AZ86" s="311"/>
      <c r="BA86" s="311"/>
      <c r="BB86" s="312"/>
      <c r="BF86" s="288"/>
      <c r="BG86" s="288"/>
      <c r="BH86" s="288"/>
      <c r="BI86" s="288"/>
      <c r="BJ86" s="288"/>
      <c r="BK86" s="288"/>
      <c r="BL86" s="288"/>
      <c r="BM86" s="288"/>
      <c r="BN86" s="288"/>
      <c r="BO86" s="288"/>
      <c r="BP86" s="288"/>
      <c r="BQ86" s="288"/>
      <c r="BR86" s="288"/>
      <c r="BS86" s="288"/>
      <c r="BT86" s="288"/>
      <c r="BU86" s="288"/>
      <c r="BV86" s="288"/>
      <c r="BW86" s="288"/>
      <c r="BX86" s="288"/>
      <c r="BY86" s="288"/>
      <c r="BZ86" s="288"/>
      <c r="CA86" s="288"/>
      <c r="CB86" s="288"/>
      <c r="CC86" s="288"/>
      <c r="CD86" s="288"/>
      <c r="CE86" s="288"/>
      <c r="CF86" s="288"/>
      <c r="CG86" s="288"/>
      <c r="CH86" s="288"/>
      <c r="CI86" s="288"/>
      <c r="CJ86" s="288"/>
      <c r="CK86" s="288"/>
      <c r="CL86" s="288"/>
      <c r="CM86" s="288"/>
      <c r="CN86" s="288"/>
      <c r="CO86" s="288"/>
      <c r="CP86" s="288"/>
      <c r="CQ86" s="288"/>
      <c r="CR86" s="288"/>
      <c r="CS86" s="288"/>
      <c r="CT86" s="288"/>
      <c r="CU86" s="288"/>
      <c r="CV86" s="288"/>
      <c r="CW86" s="288"/>
      <c r="CX86" s="288"/>
      <c r="CY86" s="288"/>
      <c r="EG86" s="21"/>
      <c r="FI86" s="327"/>
      <c r="FJ86" s="328"/>
      <c r="FK86" s="328"/>
      <c r="FL86" s="328"/>
      <c r="FM86" s="328"/>
      <c r="FN86" s="328"/>
      <c r="FO86" s="328"/>
      <c r="FP86" s="328"/>
      <c r="FQ86" s="328"/>
      <c r="FR86" s="328"/>
      <c r="FS86" s="328"/>
      <c r="FT86" s="328"/>
      <c r="FU86" s="328"/>
      <c r="FV86" s="328"/>
      <c r="FW86" s="328"/>
      <c r="FX86" s="328"/>
      <c r="FY86" s="328"/>
      <c r="FZ86" s="328"/>
      <c r="GA86" s="328"/>
      <c r="GB86" s="328"/>
      <c r="GC86" s="328"/>
      <c r="GD86" s="328"/>
      <c r="GE86" s="328"/>
      <c r="GF86" s="328"/>
      <c r="GG86" s="328"/>
      <c r="GH86" s="328"/>
      <c r="GI86" s="328"/>
      <c r="GJ86" s="328"/>
      <c r="GK86" s="328"/>
      <c r="GL86" s="328"/>
      <c r="GM86" s="328"/>
      <c r="GN86" s="328"/>
      <c r="GO86" s="328"/>
      <c r="GP86" s="328"/>
      <c r="GQ86" s="328"/>
      <c r="GR86" s="328"/>
      <c r="GS86" s="328"/>
      <c r="GT86" s="328"/>
      <c r="GU86" s="328"/>
      <c r="GV86" s="329"/>
      <c r="GW86" s="288"/>
      <c r="GX86" s="288"/>
      <c r="GY86" s="288"/>
      <c r="GZ86" s="288"/>
      <c r="HA86" s="288"/>
      <c r="HB86" s="288"/>
      <c r="HF86" s="327"/>
      <c r="HG86" s="328"/>
      <c r="HH86" s="328"/>
      <c r="HI86" s="328"/>
      <c r="HJ86" s="328"/>
      <c r="HK86" s="328"/>
      <c r="HL86" s="328"/>
      <c r="HM86" s="328"/>
      <c r="HN86" s="328"/>
      <c r="HO86" s="328"/>
      <c r="HP86" s="328"/>
      <c r="HQ86" s="328"/>
      <c r="HR86" s="328"/>
      <c r="HS86" s="328"/>
      <c r="HT86" s="328"/>
      <c r="HU86" s="328"/>
      <c r="HV86" s="328"/>
      <c r="HW86" s="328"/>
      <c r="HX86" s="328"/>
      <c r="HY86" s="328"/>
      <c r="HZ86" s="328"/>
      <c r="IA86" s="328"/>
      <c r="IB86" s="328"/>
      <c r="IC86" s="328"/>
      <c r="ID86" s="328"/>
      <c r="IE86" s="328"/>
      <c r="IF86" s="328"/>
      <c r="IG86" s="328"/>
      <c r="IH86" s="328"/>
      <c r="II86" s="328"/>
      <c r="IJ86" s="328"/>
      <c r="IK86" s="328"/>
      <c r="IL86" s="328"/>
      <c r="IM86" s="328"/>
      <c r="IN86" s="328"/>
      <c r="IO86" s="328"/>
      <c r="IP86" s="328"/>
      <c r="IQ86" s="328"/>
      <c r="IR86" s="328"/>
      <c r="IS86" s="329"/>
      <c r="IT86" s="327"/>
      <c r="IU86" s="328"/>
      <c r="IV86" s="328"/>
      <c r="IW86" s="328"/>
      <c r="IX86" s="329"/>
      <c r="JK86" s="316"/>
      <c r="JL86" s="316"/>
      <c r="JM86" s="316"/>
      <c r="JN86" s="316"/>
      <c r="JO86" s="316"/>
      <c r="JP86" s="316"/>
      <c r="JQ86" s="316"/>
      <c r="JR86" s="316"/>
      <c r="JS86" s="316"/>
      <c r="JT86" s="316"/>
      <c r="JU86" s="316"/>
      <c r="JV86" s="316"/>
      <c r="JW86" s="316"/>
      <c r="JX86" s="316"/>
      <c r="JY86" s="316"/>
      <c r="JZ86" s="316"/>
      <c r="KA86" s="316"/>
      <c r="KB86" s="316"/>
      <c r="KC86" s="316"/>
      <c r="KD86" s="316"/>
      <c r="KE86" s="316"/>
      <c r="KF86" s="316"/>
      <c r="KG86" s="316"/>
      <c r="KH86" s="316"/>
      <c r="KI86" s="316"/>
      <c r="KJ86" s="316"/>
      <c r="KK86" s="316"/>
      <c r="KL86" s="316"/>
      <c r="KM86" s="316"/>
      <c r="KN86" s="316"/>
      <c r="KO86" s="316"/>
      <c r="KP86" s="316"/>
      <c r="KQ86" s="316"/>
      <c r="KR86" s="316"/>
      <c r="KS86" s="316"/>
      <c r="KT86" s="316"/>
      <c r="KU86" s="316"/>
      <c r="KV86" s="316"/>
      <c r="KW86" s="316"/>
      <c r="KX86" s="316"/>
      <c r="KY86" s="316"/>
      <c r="KZ86" s="316"/>
      <c r="LA86" s="316"/>
      <c r="LB86" s="316"/>
      <c r="LC86" s="316"/>
      <c r="LM86" s="316"/>
      <c r="LN86" s="316"/>
      <c r="LO86" s="316"/>
      <c r="LP86" s="316"/>
      <c r="LQ86" s="316"/>
      <c r="LR86" s="316"/>
      <c r="LS86" s="316"/>
      <c r="LT86" s="316"/>
      <c r="LU86" s="316"/>
      <c r="LV86" s="316"/>
      <c r="LW86" s="316"/>
      <c r="LX86" s="316"/>
      <c r="LY86" s="316"/>
      <c r="LZ86" s="316"/>
      <c r="MA86" s="316"/>
      <c r="MB86" s="316"/>
      <c r="MC86" s="316"/>
      <c r="MD86" s="316"/>
      <c r="ME86" s="316"/>
      <c r="MF86" s="316"/>
      <c r="MG86" s="316"/>
      <c r="MH86" s="316"/>
      <c r="MI86" s="316"/>
      <c r="MJ86" s="316"/>
      <c r="MK86" s="316"/>
      <c r="ML86" s="316"/>
      <c r="MM86" s="316"/>
      <c r="MN86" s="316"/>
      <c r="MO86" s="316"/>
      <c r="MP86" s="316"/>
      <c r="MQ86" s="316"/>
      <c r="MR86" s="316"/>
      <c r="MS86" s="316"/>
      <c r="MT86" s="316"/>
      <c r="MU86" s="316"/>
      <c r="MV86" s="316"/>
      <c r="MW86" s="316"/>
      <c r="MX86" s="316"/>
      <c r="MY86" s="316"/>
      <c r="MZ86" s="316"/>
      <c r="NA86" s="316"/>
      <c r="NB86" s="316"/>
      <c r="NC86" s="316"/>
      <c r="ND86" s="316"/>
      <c r="NE86" s="316"/>
      <c r="QQ86" s="18"/>
      <c r="QR86" s="19"/>
    </row>
    <row r="87" spans="3:460" ht="5.0999999999999996" customHeight="1" x14ac:dyDescent="0.3">
      <c r="C87" s="15"/>
      <c r="D87" s="16"/>
      <c r="I87" s="253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  <c r="AT87" s="254"/>
      <c r="AU87" s="254"/>
      <c r="AV87" s="254"/>
      <c r="AW87" s="255"/>
      <c r="AX87" s="313"/>
      <c r="AY87" s="314"/>
      <c r="AZ87" s="314"/>
      <c r="BA87" s="314"/>
      <c r="BB87" s="315"/>
      <c r="BF87" s="288"/>
      <c r="BG87" s="288"/>
      <c r="BH87" s="288"/>
      <c r="BI87" s="288"/>
      <c r="BJ87" s="288"/>
      <c r="BK87" s="288"/>
      <c r="BL87" s="288"/>
      <c r="BM87" s="288"/>
      <c r="BN87" s="288"/>
      <c r="BO87" s="288"/>
      <c r="BP87" s="288"/>
      <c r="BQ87" s="288"/>
      <c r="BR87" s="288"/>
      <c r="BS87" s="288"/>
      <c r="BT87" s="288"/>
      <c r="BU87" s="288"/>
      <c r="BV87" s="288"/>
      <c r="BW87" s="288"/>
      <c r="BX87" s="288"/>
      <c r="BY87" s="288"/>
      <c r="BZ87" s="288"/>
      <c r="CA87" s="288"/>
      <c r="CB87" s="288"/>
      <c r="CC87" s="288"/>
      <c r="CD87" s="288"/>
      <c r="CE87" s="288"/>
      <c r="CF87" s="288"/>
      <c r="CG87" s="288"/>
      <c r="CH87" s="288"/>
      <c r="CI87" s="288"/>
      <c r="CJ87" s="288"/>
      <c r="CK87" s="288"/>
      <c r="CL87" s="288"/>
      <c r="CM87" s="288"/>
      <c r="CN87" s="288"/>
      <c r="CO87" s="288"/>
      <c r="CP87" s="288"/>
      <c r="CQ87" s="288"/>
      <c r="CR87" s="288"/>
      <c r="CS87" s="288"/>
      <c r="CT87" s="288"/>
      <c r="CU87" s="288"/>
      <c r="CV87" s="288"/>
      <c r="CW87" s="288"/>
      <c r="CX87" s="288"/>
      <c r="CY87" s="288"/>
      <c r="EG87" s="21"/>
      <c r="FI87" s="327"/>
      <c r="FJ87" s="328"/>
      <c r="FK87" s="328"/>
      <c r="FL87" s="328"/>
      <c r="FM87" s="328"/>
      <c r="FN87" s="328"/>
      <c r="FO87" s="328"/>
      <c r="FP87" s="328"/>
      <c r="FQ87" s="328"/>
      <c r="FR87" s="328"/>
      <c r="FS87" s="328"/>
      <c r="FT87" s="328"/>
      <c r="FU87" s="328"/>
      <c r="FV87" s="328"/>
      <c r="FW87" s="328"/>
      <c r="FX87" s="328"/>
      <c r="FY87" s="328"/>
      <c r="FZ87" s="328"/>
      <c r="GA87" s="328"/>
      <c r="GB87" s="328"/>
      <c r="GC87" s="328"/>
      <c r="GD87" s="328"/>
      <c r="GE87" s="328"/>
      <c r="GF87" s="328"/>
      <c r="GG87" s="328"/>
      <c r="GH87" s="328"/>
      <c r="GI87" s="328"/>
      <c r="GJ87" s="328"/>
      <c r="GK87" s="328"/>
      <c r="GL87" s="328"/>
      <c r="GM87" s="328"/>
      <c r="GN87" s="328"/>
      <c r="GO87" s="328"/>
      <c r="GP87" s="328"/>
      <c r="GQ87" s="328"/>
      <c r="GR87" s="328"/>
      <c r="GS87" s="328"/>
      <c r="GT87" s="328"/>
      <c r="GU87" s="328"/>
      <c r="GV87" s="329"/>
      <c r="GW87" s="288"/>
      <c r="GX87" s="288"/>
      <c r="GY87" s="288"/>
      <c r="GZ87" s="288"/>
      <c r="HA87" s="288"/>
      <c r="HB87" s="288"/>
      <c r="HF87" s="327"/>
      <c r="HG87" s="328"/>
      <c r="HH87" s="328"/>
      <c r="HI87" s="328"/>
      <c r="HJ87" s="328"/>
      <c r="HK87" s="328"/>
      <c r="HL87" s="328"/>
      <c r="HM87" s="328"/>
      <c r="HN87" s="328"/>
      <c r="HO87" s="328"/>
      <c r="HP87" s="328"/>
      <c r="HQ87" s="328"/>
      <c r="HR87" s="328"/>
      <c r="HS87" s="328"/>
      <c r="HT87" s="328"/>
      <c r="HU87" s="328"/>
      <c r="HV87" s="328"/>
      <c r="HW87" s="328"/>
      <c r="HX87" s="328"/>
      <c r="HY87" s="328"/>
      <c r="HZ87" s="328"/>
      <c r="IA87" s="328"/>
      <c r="IB87" s="328"/>
      <c r="IC87" s="328"/>
      <c r="ID87" s="328"/>
      <c r="IE87" s="328"/>
      <c r="IF87" s="328"/>
      <c r="IG87" s="328"/>
      <c r="IH87" s="328"/>
      <c r="II87" s="328"/>
      <c r="IJ87" s="328"/>
      <c r="IK87" s="328"/>
      <c r="IL87" s="328"/>
      <c r="IM87" s="328"/>
      <c r="IN87" s="328"/>
      <c r="IO87" s="328"/>
      <c r="IP87" s="328"/>
      <c r="IQ87" s="328"/>
      <c r="IR87" s="328"/>
      <c r="IS87" s="329"/>
      <c r="IT87" s="327"/>
      <c r="IU87" s="328"/>
      <c r="IV87" s="328"/>
      <c r="IW87" s="328"/>
      <c r="IX87" s="329"/>
      <c r="JK87" s="316"/>
      <c r="JL87" s="316"/>
      <c r="JM87" s="316"/>
      <c r="JN87" s="316"/>
      <c r="JO87" s="316"/>
      <c r="JP87" s="316"/>
      <c r="JQ87" s="316"/>
      <c r="JR87" s="316"/>
      <c r="JS87" s="316"/>
      <c r="JT87" s="316"/>
      <c r="JU87" s="316"/>
      <c r="JV87" s="316"/>
      <c r="JW87" s="316"/>
      <c r="JX87" s="316"/>
      <c r="JY87" s="316"/>
      <c r="JZ87" s="316"/>
      <c r="KA87" s="316"/>
      <c r="KB87" s="316"/>
      <c r="KC87" s="316"/>
      <c r="KD87" s="316"/>
      <c r="KE87" s="316"/>
      <c r="KF87" s="316"/>
      <c r="KG87" s="316"/>
      <c r="KH87" s="316"/>
      <c r="KI87" s="316"/>
      <c r="KJ87" s="316"/>
      <c r="KK87" s="316"/>
      <c r="KL87" s="316"/>
      <c r="KM87" s="316"/>
      <c r="KN87" s="316"/>
      <c r="KO87" s="316"/>
      <c r="KP87" s="316"/>
      <c r="KQ87" s="316"/>
      <c r="KR87" s="316"/>
      <c r="KS87" s="316"/>
      <c r="KT87" s="316"/>
      <c r="KU87" s="316"/>
      <c r="KV87" s="316"/>
      <c r="KW87" s="316"/>
      <c r="KX87" s="316"/>
      <c r="KY87" s="316"/>
      <c r="KZ87" s="316"/>
      <c r="LA87" s="316"/>
      <c r="LB87" s="316"/>
      <c r="LC87" s="316"/>
      <c r="LM87" s="316"/>
      <c r="LN87" s="316"/>
      <c r="LO87" s="316"/>
      <c r="LP87" s="316"/>
      <c r="LQ87" s="316"/>
      <c r="LR87" s="316"/>
      <c r="LS87" s="316"/>
      <c r="LT87" s="316"/>
      <c r="LU87" s="316"/>
      <c r="LV87" s="316"/>
      <c r="LW87" s="316"/>
      <c r="LX87" s="316"/>
      <c r="LY87" s="316"/>
      <c r="LZ87" s="316"/>
      <c r="MA87" s="316"/>
      <c r="MB87" s="316"/>
      <c r="MC87" s="316"/>
      <c r="MD87" s="316"/>
      <c r="ME87" s="316"/>
      <c r="MF87" s="316"/>
      <c r="MG87" s="316"/>
      <c r="MH87" s="316"/>
      <c r="MI87" s="316"/>
      <c r="MJ87" s="316"/>
      <c r="MK87" s="316"/>
      <c r="ML87" s="316"/>
      <c r="MM87" s="316"/>
      <c r="MN87" s="316"/>
      <c r="MO87" s="316"/>
      <c r="MP87" s="316"/>
      <c r="MQ87" s="316"/>
      <c r="MR87" s="316"/>
      <c r="MS87" s="316"/>
      <c r="MT87" s="316"/>
      <c r="MU87" s="316"/>
      <c r="MV87" s="316"/>
      <c r="MW87" s="316"/>
      <c r="MX87" s="316"/>
      <c r="MY87" s="316"/>
      <c r="MZ87" s="316"/>
      <c r="NA87" s="316"/>
      <c r="NB87" s="316"/>
      <c r="NC87" s="316"/>
      <c r="ND87" s="316"/>
      <c r="NE87" s="316"/>
      <c r="QQ87" s="18"/>
      <c r="QR87" s="19"/>
    </row>
    <row r="88" spans="3:460" ht="5.0999999999999996" customHeight="1" x14ac:dyDescent="0.3">
      <c r="C88" s="15"/>
      <c r="D88" s="16"/>
      <c r="BF88" s="288"/>
      <c r="BG88" s="288"/>
      <c r="BH88" s="288"/>
      <c r="BI88" s="288"/>
      <c r="BJ88" s="288"/>
      <c r="BK88" s="288"/>
      <c r="BL88" s="288"/>
      <c r="BM88" s="288"/>
      <c r="BN88" s="288"/>
      <c r="BO88" s="288"/>
      <c r="BP88" s="288"/>
      <c r="BQ88" s="288"/>
      <c r="BR88" s="288"/>
      <c r="BS88" s="288"/>
      <c r="BT88" s="288"/>
      <c r="BU88" s="288"/>
      <c r="BV88" s="288"/>
      <c r="BW88" s="288"/>
      <c r="BX88" s="288"/>
      <c r="BY88" s="288"/>
      <c r="BZ88" s="288"/>
      <c r="CA88" s="288"/>
      <c r="CB88" s="288"/>
      <c r="CC88" s="288"/>
      <c r="CD88" s="288"/>
      <c r="CE88" s="288"/>
      <c r="CF88" s="288"/>
      <c r="CG88" s="288"/>
      <c r="CH88" s="288"/>
      <c r="CI88" s="288"/>
      <c r="CJ88" s="288"/>
      <c r="CK88" s="288"/>
      <c r="CL88" s="288"/>
      <c r="CM88" s="288"/>
      <c r="CN88" s="288"/>
      <c r="CO88" s="288"/>
      <c r="CP88" s="288"/>
      <c r="CQ88" s="288"/>
      <c r="CR88" s="288"/>
      <c r="CS88" s="288"/>
      <c r="CT88" s="288"/>
      <c r="CU88" s="288"/>
      <c r="CV88" s="288"/>
      <c r="CW88" s="288"/>
      <c r="CX88" s="288"/>
      <c r="CY88" s="288"/>
      <c r="EG88" s="21"/>
      <c r="FI88" s="327"/>
      <c r="FJ88" s="328"/>
      <c r="FK88" s="328"/>
      <c r="FL88" s="328"/>
      <c r="FM88" s="328"/>
      <c r="FN88" s="328"/>
      <c r="FO88" s="328"/>
      <c r="FP88" s="328"/>
      <c r="FQ88" s="328"/>
      <c r="FR88" s="328"/>
      <c r="FS88" s="328"/>
      <c r="FT88" s="328"/>
      <c r="FU88" s="328"/>
      <c r="FV88" s="328"/>
      <c r="FW88" s="328"/>
      <c r="FX88" s="328"/>
      <c r="FY88" s="328"/>
      <c r="FZ88" s="328"/>
      <c r="GA88" s="328"/>
      <c r="GB88" s="328"/>
      <c r="GC88" s="328"/>
      <c r="GD88" s="328"/>
      <c r="GE88" s="328"/>
      <c r="GF88" s="328"/>
      <c r="GG88" s="328"/>
      <c r="GH88" s="328"/>
      <c r="GI88" s="328"/>
      <c r="GJ88" s="328"/>
      <c r="GK88" s="328"/>
      <c r="GL88" s="328"/>
      <c r="GM88" s="328"/>
      <c r="GN88" s="328"/>
      <c r="GO88" s="328"/>
      <c r="GP88" s="328"/>
      <c r="GQ88" s="328"/>
      <c r="GR88" s="328"/>
      <c r="GS88" s="328"/>
      <c r="GT88" s="328"/>
      <c r="GU88" s="328"/>
      <c r="GV88" s="329"/>
      <c r="GW88" s="288"/>
      <c r="GX88" s="288"/>
      <c r="GY88" s="288"/>
      <c r="GZ88" s="288"/>
      <c r="HA88" s="288"/>
      <c r="HB88" s="288"/>
      <c r="HF88" s="327"/>
      <c r="HG88" s="328"/>
      <c r="HH88" s="328"/>
      <c r="HI88" s="328"/>
      <c r="HJ88" s="328"/>
      <c r="HK88" s="328"/>
      <c r="HL88" s="328"/>
      <c r="HM88" s="328"/>
      <c r="HN88" s="328"/>
      <c r="HO88" s="328"/>
      <c r="HP88" s="328"/>
      <c r="HQ88" s="328"/>
      <c r="HR88" s="328"/>
      <c r="HS88" s="328"/>
      <c r="HT88" s="328"/>
      <c r="HU88" s="328"/>
      <c r="HV88" s="328"/>
      <c r="HW88" s="328"/>
      <c r="HX88" s="328"/>
      <c r="HY88" s="328"/>
      <c r="HZ88" s="328"/>
      <c r="IA88" s="328"/>
      <c r="IB88" s="328"/>
      <c r="IC88" s="328"/>
      <c r="ID88" s="328"/>
      <c r="IE88" s="328"/>
      <c r="IF88" s="328"/>
      <c r="IG88" s="328"/>
      <c r="IH88" s="328"/>
      <c r="II88" s="328"/>
      <c r="IJ88" s="328"/>
      <c r="IK88" s="328"/>
      <c r="IL88" s="328"/>
      <c r="IM88" s="328"/>
      <c r="IN88" s="328"/>
      <c r="IO88" s="328"/>
      <c r="IP88" s="328"/>
      <c r="IQ88" s="328"/>
      <c r="IR88" s="328"/>
      <c r="IS88" s="329"/>
      <c r="IT88" s="327"/>
      <c r="IU88" s="328"/>
      <c r="IV88" s="328"/>
      <c r="IW88" s="328"/>
      <c r="IX88" s="329"/>
      <c r="JK88" s="316"/>
      <c r="JL88" s="316"/>
      <c r="JM88" s="316"/>
      <c r="JN88" s="316"/>
      <c r="JO88" s="316"/>
      <c r="JP88" s="316"/>
      <c r="JQ88" s="316"/>
      <c r="JR88" s="316"/>
      <c r="JS88" s="316"/>
      <c r="JT88" s="316"/>
      <c r="JU88" s="316"/>
      <c r="JV88" s="316"/>
      <c r="JW88" s="316"/>
      <c r="JX88" s="316"/>
      <c r="JY88" s="316"/>
      <c r="JZ88" s="316"/>
      <c r="KA88" s="316"/>
      <c r="KB88" s="316"/>
      <c r="KC88" s="316"/>
      <c r="KD88" s="316"/>
      <c r="KE88" s="316"/>
      <c r="KF88" s="316"/>
      <c r="KG88" s="316"/>
      <c r="KH88" s="316"/>
      <c r="KI88" s="316"/>
      <c r="KJ88" s="316"/>
      <c r="KK88" s="316"/>
      <c r="KL88" s="316"/>
      <c r="KM88" s="316"/>
      <c r="KN88" s="316"/>
      <c r="KO88" s="316"/>
      <c r="KP88" s="316"/>
      <c r="KQ88" s="316"/>
      <c r="KR88" s="316"/>
      <c r="KS88" s="316"/>
      <c r="KT88" s="316"/>
      <c r="KU88" s="316"/>
      <c r="KV88" s="316"/>
      <c r="KW88" s="316"/>
      <c r="KX88" s="316"/>
      <c r="KY88" s="316"/>
      <c r="KZ88" s="316"/>
      <c r="LA88" s="316"/>
      <c r="LB88" s="316"/>
      <c r="LC88" s="316"/>
      <c r="LM88" s="316"/>
      <c r="LN88" s="316"/>
      <c r="LO88" s="316"/>
      <c r="LP88" s="316"/>
      <c r="LQ88" s="316"/>
      <c r="LR88" s="316"/>
      <c r="LS88" s="316"/>
      <c r="LT88" s="316"/>
      <c r="LU88" s="316"/>
      <c r="LV88" s="316"/>
      <c r="LW88" s="316"/>
      <c r="LX88" s="316"/>
      <c r="LY88" s="316"/>
      <c r="LZ88" s="316"/>
      <c r="MA88" s="316"/>
      <c r="MB88" s="316"/>
      <c r="MC88" s="316"/>
      <c r="MD88" s="316"/>
      <c r="ME88" s="316"/>
      <c r="MF88" s="316"/>
      <c r="MG88" s="316"/>
      <c r="MH88" s="316"/>
      <c r="MI88" s="316"/>
      <c r="MJ88" s="316"/>
      <c r="MK88" s="316"/>
      <c r="ML88" s="316"/>
      <c r="MM88" s="316"/>
      <c r="MN88" s="316"/>
      <c r="MO88" s="316"/>
      <c r="MP88" s="316"/>
      <c r="MQ88" s="316"/>
      <c r="MR88" s="316"/>
      <c r="MS88" s="316"/>
      <c r="MT88" s="316"/>
      <c r="MU88" s="316"/>
      <c r="MV88" s="316"/>
      <c r="MW88" s="316"/>
      <c r="MX88" s="316"/>
      <c r="MY88" s="316"/>
      <c r="MZ88" s="316"/>
      <c r="NA88" s="316"/>
      <c r="NB88" s="316"/>
      <c r="NC88" s="316"/>
      <c r="ND88" s="316"/>
      <c r="NE88" s="316"/>
      <c r="QQ88" s="18"/>
      <c r="QR88" s="19"/>
    </row>
    <row r="89" spans="3:460" ht="5.0999999999999996" customHeight="1" x14ac:dyDescent="0.3">
      <c r="C89" s="15"/>
      <c r="D89" s="16"/>
      <c r="BF89" s="288"/>
      <c r="BG89" s="288"/>
      <c r="BH89" s="288"/>
      <c r="BI89" s="288"/>
      <c r="BJ89" s="288"/>
      <c r="BK89" s="288"/>
      <c r="BL89" s="288"/>
      <c r="BM89" s="288"/>
      <c r="BN89" s="288"/>
      <c r="BO89" s="288"/>
      <c r="BP89" s="288"/>
      <c r="BQ89" s="288"/>
      <c r="BR89" s="288"/>
      <c r="BS89" s="288"/>
      <c r="BT89" s="288"/>
      <c r="BU89" s="288"/>
      <c r="BV89" s="288"/>
      <c r="BW89" s="288"/>
      <c r="BX89" s="288"/>
      <c r="BY89" s="288"/>
      <c r="BZ89" s="288"/>
      <c r="CA89" s="288"/>
      <c r="CB89" s="288"/>
      <c r="CC89" s="288"/>
      <c r="CD89" s="288"/>
      <c r="CE89" s="288"/>
      <c r="CF89" s="288"/>
      <c r="CG89" s="288"/>
      <c r="CH89" s="288"/>
      <c r="CI89" s="288"/>
      <c r="CJ89" s="288"/>
      <c r="CK89" s="288"/>
      <c r="CL89" s="288"/>
      <c r="CM89" s="288"/>
      <c r="CN89" s="288"/>
      <c r="CO89" s="288"/>
      <c r="CP89" s="288"/>
      <c r="CQ89" s="288"/>
      <c r="CR89" s="288"/>
      <c r="CS89" s="288"/>
      <c r="CT89" s="288"/>
      <c r="CU89" s="288"/>
      <c r="CV89" s="288"/>
      <c r="CW89" s="288"/>
      <c r="CX89" s="288"/>
      <c r="CY89" s="288"/>
      <c r="EG89" s="21"/>
      <c r="FI89" s="327"/>
      <c r="FJ89" s="328"/>
      <c r="FK89" s="328"/>
      <c r="FL89" s="328"/>
      <c r="FM89" s="328"/>
      <c r="FN89" s="328"/>
      <c r="FO89" s="328"/>
      <c r="FP89" s="328"/>
      <c r="FQ89" s="328"/>
      <c r="FR89" s="328"/>
      <c r="FS89" s="328"/>
      <c r="FT89" s="328"/>
      <c r="FU89" s="328"/>
      <c r="FV89" s="328"/>
      <c r="FW89" s="328"/>
      <c r="FX89" s="328"/>
      <c r="FY89" s="328"/>
      <c r="FZ89" s="328"/>
      <c r="GA89" s="328"/>
      <c r="GB89" s="328"/>
      <c r="GC89" s="328"/>
      <c r="GD89" s="328"/>
      <c r="GE89" s="328"/>
      <c r="GF89" s="328"/>
      <c r="GG89" s="328"/>
      <c r="GH89" s="328"/>
      <c r="GI89" s="328"/>
      <c r="GJ89" s="328"/>
      <c r="GK89" s="328"/>
      <c r="GL89" s="328"/>
      <c r="GM89" s="328"/>
      <c r="GN89" s="328"/>
      <c r="GO89" s="328"/>
      <c r="GP89" s="328"/>
      <c r="GQ89" s="328"/>
      <c r="GR89" s="328"/>
      <c r="GS89" s="328"/>
      <c r="GT89" s="328"/>
      <c r="GU89" s="328"/>
      <c r="GV89" s="329"/>
      <c r="GW89" s="288"/>
      <c r="GX89" s="288"/>
      <c r="GY89" s="288"/>
      <c r="GZ89" s="288"/>
      <c r="HA89" s="288"/>
      <c r="HB89" s="288"/>
      <c r="HF89" s="327"/>
      <c r="HG89" s="328"/>
      <c r="HH89" s="328"/>
      <c r="HI89" s="328"/>
      <c r="HJ89" s="328"/>
      <c r="HK89" s="328"/>
      <c r="HL89" s="328"/>
      <c r="HM89" s="328"/>
      <c r="HN89" s="328"/>
      <c r="HO89" s="328"/>
      <c r="HP89" s="328"/>
      <c r="HQ89" s="328"/>
      <c r="HR89" s="328"/>
      <c r="HS89" s="328"/>
      <c r="HT89" s="328"/>
      <c r="HU89" s="328"/>
      <c r="HV89" s="328"/>
      <c r="HW89" s="328"/>
      <c r="HX89" s="328"/>
      <c r="HY89" s="328"/>
      <c r="HZ89" s="328"/>
      <c r="IA89" s="328"/>
      <c r="IB89" s="328"/>
      <c r="IC89" s="328"/>
      <c r="ID89" s="328"/>
      <c r="IE89" s="328"/>
      <c r="IF89" s="328"/>
      <c r="IG89" s="328"/>
      <c r="IH89" s="328"/>
      <c r="II89" s="328"/>
      <c r="IJ89" s="328"/>
      <c r="IK89" s="328"/>
      <c r="IL89" s="328"/>
      <c r="IM89" s="328"/>
      <c r="IN89" s="328"/>
      <c r="IO89" s="328"/>
      <c r="IP89" s="328"/>
      <c r="IQ89" s="328"/>
      <c r="IR89" s="328"/>
      <c r="IS89" s="329"/>
      <c r="IT89" s="327"/>
      <c r="IU89" s="328"/>
      <c r="IV89" s="328"/>
      <c r="IW89" s="328"/>
      <c r="IX89" s="329"/>
      <c r="JK89" s="316"/>
      <c r="JL89" s="316"/>
      <c r="JM89" s="316"/>
      <c r="JN89" s="316"/>
      <c r="JO89" s="316"/>
      <c r="JP89" s="316"/>
      <c r="JQ89" s="316"/>
      <c r="JR89" s="316"/>
      <c r="JS89" s="316"/>
      <c r="JT89" s="316"/>
      <c r="JU89" s="316"/>
      <c r="JV89" s="316"/>
      <c r="JW89" s="316"/>
      <c r="JX89" s="316"/>
      <c r="JY89" s="316"/>
      <c r="JZ89" s="316"/>
      <c r="KA89" s="316"/>
      <c r="KB89" s="316"/>
      <c r="KC89" s="316"/>
      <c r="KD89" s="316"/>
      <c r="KE89" s="316"/>
      <c r="KF89" s="316"/>
      <c r="KG89" s="316"/>
      <c r="KH89" s="316"/>
      <c r="KI89" s="316"/>
      <c r="KJ89" s="316"/>
      <c r="KK89" s="316"/>
      <c r="KL89" s="316"/>
      <c r="KM89" s="316"/>
      <c r="KN89" s="316"/>
      <c r="KO89" s="316"/>
      <c r="KP89" s="316"/>
      <c r="KQ89" s="316"/>
      <c r="KR89" s="316"/>
      <c r="KS89" s="316"/>
      <c r="KT89" s="316"/>
      <c r="KU89" s="316"/>
      <c r="KV89" s="316"/>
      <c r="KW89" s="316"/>
      <c r="KX89" s="316"/>
      <c r="KY89" s="316"/>
      <c r="KZ89" s="316"/>
      <c r="LA89" s="316"/>
      <c r="LB89" s="316"/>
      <c r="LC89" s="316"/>
      <c r="LM89" s="316"/>
      <c r="LN89" s="316"/>
      <c r="LO89" s="316"/>
      <c r="LP89" s="316"/>
      <c r="LQ89" s="316"/>
      <c r="LR89" s="316"/>
      <c r="LS89" s="316"/>
      <c r="LT89" s="316"/>
      <c r="LU89" s="316"/>
      <c r="LV89" s="316"/>
      <c r="LW89" s="316"/>
      <c r="LX89" s="316"/>
      <c r="LY89" s="316"/>
      <c r="LZ89" s="316"/>
      <c r="MA89" s="316"/>
      <c r="MB89" s="316"/>
      <c r="MC89" s="316"/>
      <c r="MD89" s="316"/>
      <c r="ME89" s="316"/>
      <c r="MF89" s="316"/>
      <c r="MG89" s="316"/>
      <c r="MH89" s="316"/>
      <c r="MI89" s="316"/>
      <c r="MJ89" s="316"/>
      <c r="MK89" s="316"/>
      <c r="ML89" s="316"/>
      <c r="MM89" s="316"/>
      <c r="MN89" s="316"/>
      <c r="MO89" s="316"/>
      <c r="MP89" s="316"/>
      <c r="MQ89" s="316"/>
      <c r="MR89" s="316"/>
      <c r="MS89" s="316"/>
      <c r="MT89" s="316"/>
      <c r="MU89" s="316"/>
      <c r="MV89" s="316"/>
      <c r="MW89" s="316"/>
      <c r="MX89" s="316"/>
      <c r="MY89" s="316"/>
      <c r="MZ89" s="316"/>
      <c r="NA89" s="316"/>
      <c r="NB89" s="316"/>
      <c r="NC89" s="316"/>
      <c r="ND89" s="316"/>
      <c r="NE89" s="316"/>
      <c r="QQ89" s="18"/>
      <c r="QR89" s="19"/>
    </row>
    <row r="90" spans="3:460" ht="5.0999999999999996" customHeight="1" x14ac:dyDescent="0.3">
      <c r="C90" s="15"/>
      <c r="D90" s="16"/>
      <c r="BF90" s="288"/>
      <c r="BG90" s="288"/>
      <c r="BH90" s="288"/>
      <c r="BI90" s="288"/>
      <c r="BJ90" s="288"/>
      <c r="BK90" s="288"/>
      <c r="BL90" s="288"/>
      <c r="BM90" s="288"/>
      <c r="BN90" s="288"/>
      <c r="BO90" s="288"/>
      <c r="BP90" s="288"/>
      <c r="BQ90" s="288"/>
      <c r="BR90" s="288"/>
      <c r="BS90" s="288"/>
      <c r="BT90" s="288"/>
      <c r="BU90" s="288"/>
      <c r="BV90" s="288"/>
      <c r="BW90" s="288"/>
      <c r="BX90" s="288"/>
      <c r="BY90" s="288"/>
      <c r="BZ90" s="288"/>
      <c r="CA90" s="288"/>
      <c r="CB90" s="288"/>
      <c r="CC90" s="288"/>
      <c r="CD90" s="288"/>
      <c r="CE90" s="288"/>
      <c r="CF90" s="288"/>
      <c r="CG90" s="288"/>
      <c r="CH90" s="288"/>
      <c r="CI90" s="288"/>
      <c r="CJ90" s="288"/>
      <c r="CK90" s="288"/>
      <c r="CL90" s="288"/>
      <c r="CM90" s="288"/>
      <c r="CN90" s="288"/>
      <c r="CO90" s="288"/>
      <c r="CP90" s="288"/>
      <c r="CQ90" s="288"/>
      <c r="CR90" s="288"/>
      <c r="CS90" s="288"/>
      <c r="CT90" s="288"/>
      <c r="CU90" s="288"/>
      <c r="CV90" s="288"/>
      <c r="CW90" s="288"/>
      <c r="CX90" s="288"/>
      <c r="CY90" s="288"/>
      <c r="EG90" s="21"/>
      <c r="FI90" s="327"/>
      <c r="FJ90" s="328"/>
      <c r="FK90" s="328"/>
      <c r="FL90" s="328"/>
      <c r="FM90" s="328"/>
      <c r="FN90" s="328"/>
      <c r="FO90" s="328"/>
      <c r="FP90" s="328"/>
      <c r="FQ90" s="328"/>
      <c r="FR90" s="328"/>
      <c r="FS90" s="328"/>
      <c r="FT90" s="328"/>
      <c r="FU90" s="328"/>
      <c r="FV90" s="328"/>
      <c r="FW90" s="328"/>
      <c r="FX90" s="328"/>
      <c r="FY90" s="328"/>
      <c r="FZ90" s="328"/>
      <c r="GA90" s="328"/>
      <c r="GB90" s="328"/>
      <c r="GC90" s="328"/>
      <c r="GD90" s="328"/>
      <c r="GE90" s="328"/>
      <c r="GF90" s="328"/>
      <c r="GG90" s="328"/>
      <c r="GH90" s="328"/>
      <c r="GI90" s="328"/>
      <c r="GJ90" s="328"/>
      <c r="GK90" s="328"/>
      <c r="GL90" s="328"/>
      <c r="GM90" s="328"/>
      <c r="GN90" s="328"/>
      <c r="GO90" s="328"/>
      <c r="GP90" s="328"/>
      <c r="GQ90" s="328"/>
      <c r="GR90" s="328"/>
      <c r="GS90" s="328"/>
      <c r="GT90" s="328"/>
      <c r="GU90" s="328"/>
      <c r="GV90" s="329"/>
      <c r="GW90" s="288"/>
      <c r="GX90" s="288"/>
      <c r="GY90" s="288"/>
      <c r="GZ90" s="288"/>
      <c r="HA90" s="288"/>
      <c r="HB90" s="288"/>
      <c r="HF90" s="327"/>
      <c r="HG90" s="328"/>
      <c r="HH90" s="328"/>
      <c r="HI90" s="328"/>
      <c r="HJ90" s="328"/>
      <c r="HK90" s="328"/>
      <c r="HL90" s="328"/>
      <c r="HM90" s="328"/>
      <c r="HN90" s="328"/>
      <c r="HO90" s="328"/>
      <c r="HP90" s="328"/>
      <c r="HQ90" s="328"/>
      <c r="HR90" s="328"/>
      <c r="HS90" s="328"/>
      <c r="HT90" s="328"/>
      <c r="HU90" s="328"/>
      <c r="HV90" s="328"/>
      <c r="HW90" s="328"/>
      <c r="HX90" s="328"/>
      <c r="HY90" s="328"/>
      <c r="HZ90" s="328"/>
      <c r="IA90" s="328"/>
      <c r="IB90" s="328"/>
      <c r="IC90" s="328"/>
      <c r="ID90" s="328"/>
      <c r="IE90" s="328"/>
      <c r="IF90" s="328"/>
      <c r="IG90" s="328"/>
      <c r="IH90" s="328"/>
      <c r="II90" s="328"/>
      <c r="IJ90" s="328"/>
      <c r="IK90" s="328"/>
      <c r="IL90" s="328"/>
      <c r="IM90" s="328"/>
      <c r="IN90" s="328"/>
      <c r="IO90" s="328"/>
      <c r="IP90" s="328"/>
      <c r="IQ90" s="328"/>
      <c r="IR90" s="328"/>
      <c r="IS90" s="329"/>
      <c r="IT90" s="327"/>
      <c r="IU90" s="328"/>
      <c r="IV90" s="328"/>
      <c r="IW90" s="328"/>
      <c r="IX90" s="329"/>
      <c r="JK90" s="316"/>
      <c r="JL90" s="316"/>
      <c r="JM90" s="316"/>
      <c r="JN90" s="316"/>
      <c r="JO90" s="316"/>
      <c r="JP90" s="316"/>
      <c r="JQ90" s="316"/>
      <c r="JR90" s="316"/>
      <c r="JS90" s="316"/>
      <c r="JT90" s="316"/>
      <c r="JU90" s="316"/>
      <c r="JV90" s="316"/>
      <c r="JW90" s="316"/>
      <c r="JX90" s="316"/>
      <c r="JY90" s="316"/>
      <c r="JZ90" s="316"/>
      <c r="KA90" s="316"/>
      <c r="KB90" s="316"/>
      <c r="KC90" s="316"/>
      <c r="KD90" s="316"/>
      <c r="KE90" s="316"/>
      <c r="KF90" s="316"/>
      <c r="KG90" s="316"/>
      <c r="KH90" s="316"/>
      <c r="KI90" s="316"/>
      <c r="KJ90" s="316"/>
      <c r="KK90" s="316"/>
      <c r="KL90" s="316"/>
      <c r="KM90" s="316"/>
      <c r="KN90" s="316"/>
      <c r="KO90" s="316"/>
      <c r="KP90" s="316"/>
      <c r="KQ90" s="316"/>
      <c r="KR90" s="316"/>
      <c r="KS90" s="316"/>
      <c r="KT90" s="316"/>
      <c r="KU90" s="316"/>
      <c r="KV90" s="316"/>
      <c r="KW90" s="316"/>
      <c r="KX90" s="316"/>
      <c r="KY90" s="316"/>
      <c r="KZ90" s="316"/>
      <c r="LA90" s="316"/>
      <c r="LB90" s="316"/>
      <c r="LC90" s="316"/>
      <c r="LM90" s="316"/>
      <c r="LN90" s="316"/>
      <c r="LO90" s="316"/>
      <c r="LP90" s="316"/>
      <c r="LQ90" s="316"/>
      <c r="LR90" s="316"/>
      <c r="LS90" s="316"/>
      <c r="LT90" s="316"/>
      <c r="LU90" s="316"/>
      <c r="LV90" s="316"/>
      <c r="LW90" s="316"/>
      <c r="LX90" s="316"/>
      <c r="LY90" s="316"/>
      <c r="LZ90" s="316"/>
      <c r="MA90" s="316"/>
      <c r="MB90" s="316"/>
      <c r="MC90" s="316"/>
      <c r="MD90" s="316"/>
      <c r="ME90" s="316"/>
      <c r="MF90" s="316"/>
      <c r="MG90" s="316"/>
      <c r="MH90" s="316"/>
      <c r="MI90" s="316"/>
      <c r="MJ90" s="316"/>
      <c r="MK90" s="316"/>
      <c r="ML90" s="316"/>
      <c r="MM90" s="316"/>
      <c r="MN90" s="316"/>
      <c r="MO90" s="316"/>
      <c r="MP90" s="316"/>
      <c r="MQ90" s="316"/>
      <c r="MR90" s="316"/>
      <c r="MS90" s="316"/>
      <c r="MT90" s="316"/>
      <c r="MU90" s="316"/>
      <c r="MV90" s="316"/>
      <c r="MW90" s="316"/>
      <c r="MX90" s="316"/>
      <c r="MY90" s="316"/>
      <c r="MZ90" s="316"/>
      <c r="NA90" s="316"/>
      <c r="NB90" s="316"/>
      <c r="NC90" s="316"/>
      <c r="ND90" s="316"/>
      <c r="NE90" s="316"/>
      <c r="QQ90" s="18"/>
      <c r="QR90" s="19"/>
    </row>
    <row r="91" spans="3:460" ht="5.0999999999999996" customHeight="1" x14ac:dyDescent="0.3">
      <c r="C91" s="15"/>
      <c r="D91" s="16"/>
      <c r="BF91" s="288"/>
      <c r="BG91" s="288"/>
      <c r="BH91" s="288"/>
      <c r="BI91" s="288"/>
      <c r="BJ91" s="288"/>
      <c r="BK91" s="288"/>
      <c r="BL91" s="288"/>
      <c r="BM91" s="288"/>
      <c r="BN91" s="288"/>
      <c r="BO91" s="288"/>
      <c r="BP91" s="288"/>
      <c r="BQ91" s="288"/>
      <c r="BR91" s="288"/>
      <c r="BS91" s="288"/>
      <c r="BT91" s="288"/>
      <c r="BU91" s="288"/>
      <c r="BV91" s="288"/>
      <c r="BW91" s="288"/>
      <c r="BX91" s="288"/>
      <c r="BY91" s="288"/>
      <c r="BZ91" s="288"/>
      <c r="CA91" s="288"/>
      <c r="CB91" s="288"/>
      <c r="CC91" s="288"/>
      <c r="CD91" s="288"/>
      <c r="CE91" s="288"/>
      <c r="CF91" s="288"/>
      <c r="CG91" s="288"/>
      <c r="CH91" s="288"/>
      <c r="CI91" s="288"/>
      <c r="CJ91" s="288"/>
      <c r="CK91" s="288"/>
      <c r="CL91" s="288"/>
      <c r="CM91" s="288"/>
      <c r="CN91" s="288"/>
      <c r="CO91" s="288"/>
      <c r="CP91" s="288"/>
      <c r="CQ91" s="288"/>
      <c r="CR91" s="288"/>
      <c r="CS91" s="288"/>
      <c r="CT91" s="288"/>
      <c r="CU91" s="288"/>
      <c r="CV91" s="288"/>
      <c r="CW91" s="288"/>
      <c r="CX91" s="288"/>
      <c r="CY91" s="288"/>
      <c r="EG91" s="21"/>
      <c r="FI91" s="327"/>
      <c r="FJ91" s="328"/>
      <c r="FK91" s="328"/>
      <c r="FL91" s="328"/>
      <c r="FM91" s="328"/>
      <c r="FN91" s="328"/>
      <c r="FO91" s="328"/>
      <c r="FP91" s="328"/>
      <c r="FQ91" s="328"/>
      <c r="FR91" s="328"/>
      <c r="FS91" s="328"/>
      <c r="FT91" s="328"/>
      <c r="FU91" s="328"/>
      <c r="FV91" s="328"/>
      <c r="FW91" s="328"/>
      <c r="FX91" s="328"/>
      <c r="FY91" s="328"/>
      <c r="FZ91" s="328"/>
      <c r="GA91" s="328"/>
      <c r="GB91" s="328"/>
      <c r="GC91" s="328"/>
      <c r="GD91" s="328"/>
      <c r="GE91" s="328"/>
      <c r="GF91" s="328"/>
      <c r="GG91" s="328"/>
      <c r="GH91" s="328"/>
      <c r="GI91" s="328"/>
      <c r="GJ91" s="328"/>
      <c r="GK91" s="328"/>
      <c r="GL91" s="328"/>
      <c r="GM91" s="328"/>
      <c r="GN91" s="328"/>
      <c r="GO91" s="328"/>
      <c r="GP91" s="328"/>
      <c r="GQ91" s="328"/>
      <c r="GR91" s="328"/>
      <c r="GS91" s="328"/>
      <c r="GT91" s="328"/>
      <c r="GU91" s="328"/>
      <c r="GV91" s="329"/>
      <c r="GW91" s="288"/>
      <c r="GX91" s="288"/>
      <c r="GY91" s="288"/>
      <c r="GZ91" s="288"/>
      <c r="HA91" s="288"/>
      <c r="HB91" s="288"/>
      <c r="HF91" s="330"/>
      <c r="HG91" s="331"/>
      <c r="HH91" s="331"/>
      <c r="HI91" s="331"/>
      <c r="HJ91" s="331"/>
      <c r="HK91" s="331"/>
      <c r="HL91" s="331"/>
      <c r="HM91" s="331"/>
      <c r="HN91" s="331"/>
      <c r="HO91" s="331"/>
      <c r="HP91" s="331"/>
      <c r="HQ91" s="331"/>
      <c r="HR91" s="331"/>
      <c r="HS91" s="331"/>
      <c r="HT91" s="331"/>
      <c r="HU91" s="331"/>
      <c r="HV91" s="331"/>
      <c r="HW91" s="331"/>
      <c r="HX91" s="331"/>
      <c r="HY91" s="331"/>
      <c r="HZ91" s="331"/>
      <c r="IA91" s="331"/>
      <c r="IB91" s="331"/>
      <c r="IC91" s="331"/>
      <c r="ID91" s="331"/>
      <c r="IE91" s="331"/>
      <c r="IF91" s="331"/>
      <c r="IG91" s="331"/>
      <c r="IH91" s="331"/>
      <c r="II91" s="331"/>
      <c r="IJ91" s="331"/>
      <c r="IK91" s="331"/>
      <c r="IL91" s="331"/>
      <c r="IM91" s="331"/>
      <c r="IN91" s="331"/>
      <c r="IO91" s="331"/>
      <c r="IP91" s="331"/>
      <c r="IQ91" s="331"/>
      <c r="IR91" s="331"/>
      <c r="IS91" s="332"/>
      <c r="IT91" s="330"/>
      <c r="IU91" s="331"/>
      <c r="IV91" s="331"/>
      <c r="IW91" s="331"/>
      <c r="IX91" s="332"/>
      <c r="KH91" s="43"/>
      <c r="KI91" s="46"/>
      <c r="MJ91" s="21"/>
      <c r="QQ91" s="18"/>
      <c r="QR91" s="19"/>
    </row>
    <row r="92" spans="3:460" ht="5.0999999999999996" customHeight="1" x14ac:dyDescent="0.3">
      <c r="C92" s="15"/>
      <c r="D92" s="16"/>
      <c r="CB92" s="43"/>
      <c r="EG92" s="21"/>
      <c r="FI92" s="330"/>
      <c r="FJ92" s="331"/>
      <c r="FK92" s="331"/>
      <c r="FL92" s="331"/>
      <c r="FM92" s="331"/>
      <c r="FN92" s="331"/>
      <c r="FO92" s="331"/>
      <c r="FP92" s="331"/>
      <c r="FQ92" s="331"/>
      <c r="FR92" s="331"/>
      <c r="FS92" s="331"/>
      <c r="FT92" s="331"/>
      <c r="FU92" s="331"/>
      <c r="FV92" s="331"/>
      <c r="FW92" s="331"/>
      <c r="FX92" s="331"/>
      <c r="FY92" s="331"/>
      <c r="FZ92" s="331"/>
      <c r="GA92" s="331"/>
      <c r="GB92" s="331"/>
      <c r="GC92" s="331"/>
      <c r="GD92" s="331"/>
      <c r="GE92" s="331"/>
      <c r="GF92" s="331"/>
      <c r="GG92" s="331"/>
      <c r="GH92" s="331"/>
      <c r="GI92" s="331"/>
      <c r="GJ92" s="331"/>
      <c r="GK92" s="331"/>
      <c r="GL92" s="331"/>
      <c r="GM92" s="331"/>
      <c r="GN92" s="331"/>
      <c r="GO92" s="331"/>
      <c r="GP92" s="331"/>
      <c r="GQ92" s="331"/>
      <c r="GR92" s="331"/>
      <c r="GS92" s="331"/>
      <c r="GT92" s="331"/>
      <c r="GU92" s="331"/>
      <c r="GV92" s="332"/>
      <c r="GW92" s="288"/>
      <c r="GX92" s="288"/>
      <c r="GY92" s="288"/>
      <c r="GZ92" s="288"/>
      <c r="HA92" s="288"/>
      <c r="HB92" s="288"/>
      <c r="IC92" s="43"/>
      <c r="ID92" s="46"/>
      <c r="KH92" s="21"/>
      <c r="MJ92" s="21"/>
      <c r="QQ92" s="18"/>
      <c r="QR92" s="19"/>
    </row>
    <row r="93" spans="3:460" ht="5.0999999999999996" customHeight="1" x14ac:dyDescent="0.3">
      <c r="C93" s="15"/>
      <c r="D93" s="16"/>
      <c r="CB93" s="21"/>
      <c r="EG93" s="21"/>
      <c r="GD93" s="43"/>
      <c r="IC93" s="21"/>
      <c r="KH93" s="21"/>
      <c r="MJ93" s="21"/>
      <c r="QQ93" s="18"/>
      <c r="QR93" s="19"/>
    </row>
    <row r="94" spans="3:460" ht="5.0999999999999996" customHeight="1" x14ac:dyDescent="0.3">
      <c r="C94" s="15"/>
      <c r="D94" s="16"/>
      <c r="CB94" s="21"/>
      <c r="EG94" s="21"/>
      <c r="GD94" s="21"/>
      <c r="IC94" s="21"/>
      <c r="KH94" s="30"/>
      <c r="KI94" s="31"/>
      <c r="MJ94" s="30"/>
      <c r="QQ94" s="18"/>
      <c r="QR94" s="19"/>
    </row>
    <row r="95" spans="3:460" ht="5.0999999999999996" customHeight="1" x14ac:dyDescent="0.3">
      <c r="C95" s="15"/>
      <c r="D95" s="16"/>
      <c r="CB95" s="21"/>
      <c r="EG95" s="21"/>
      <c r="GD95" s="30"/>
      <c r="IC95" s="30"/>
      <c r="ID95" s="31"/>
      <c r="JK95" s="247" t="s">
        <v>24</v>
      </c>
      <c r="JL95" s="248"/>
      <c r="JM95" s="248"/>
      <c r="JN95" s="248"/>
      <c r="JO95" s="248"/>
      <c r="JP95" s="248"/>
      <c r="JQ95" s="248"/>
      <c r="JR95" s="248"/>
      <c r="JS95" s="248"/>
      <c r="JT95" s="248"/>
      <c r="JU95" s="248"/>
      <c r="JV95" s="248"/>
      <c r="JW95" s="248"/>
      <c r="JX95" s="248"/>
      <c r="JY95" s="248"/>
      <c r="JZ95" s="248"/>
      <c r="KA95" s="248"/>
      <c r="KB95" s="248"/>
      <c r="KC95" s="248"/>
      <c r="KD95" s="248"/>
      <c r="KE95" s="248"/>
      <c r="KF95" s="248"/>
      <c r="KG95" s="248"/>
      <c r="KH95" s="248"/>
      <c r="KI95" s="248"/>
      <c r="KJ95" s="248"/>
      <c r="KK95" s="248"/>
      <c r="KL95" s="248"/>
      <c r="KM95" s="248"/>
      <c r="KN95" s="248"/>
      <c r="KO95" s="248"/>
      <c r="KP95" s="248"/>
      <c r="KQ95" s="248"/>
      <c r="KR95" s="248"/>
      <c r="KS95" s="248"/>
      <c r="KT95" s="248"/>
      <c r="KU95" s="248"/>
      <c r="KV95" s="248"/>
      <c r="KW95" s="248">
        <v>1</v>
      </c>
      <c r="KX95" s="249"/>
      <c r="KY95" s="247">
        <v>8</v>
      </c>
      <c r="KZ95" s="248"/>
      <c r="LA95" s="248"/>
      <c r="LB95" s="248"/>
      <c r="LC95" s="249"/>
      <c r="LM95" s="247" t="s">
        <v>25</v>
      </c>
      <c r="LN95" s="248"/>
      <c r="LO95" s="248"/>
      <c r="LP95" s="248"/>
      <c r="LQ95" s="248"/>
      <c r="LR95" s="248"/>
      <c r="LS95" s="248"/>
      <c r="LT95" s="248"/>
      <c r="LU95" s="248"/>
      <c r="LV95" s="248"/>
      <c r="LW95" s="248"/>
      <c r="LX95" s="248"/>
      <c r="LY95" s="248"/>
      <c r="LZ95" s="248"/>
      <c r="MA95" s="248"/>
      <c r="MB95" s="248"/>
      <c r="MC95" s="248"/>
      <c r="MD95" s="248"/>
      <c r="ME95" s="248"/>
      <c r="MF95" s="248"/>
      <c r="MG95" s="248"/>
      <c r="MH95" s="248"/>
      <c r="MI95" s="248"/>
      <c r="MJ95" s="248"/>
      <c r="MK95" s="248"/>
      <c r="ML95" s="248"/>
      <c r="MM95" s="248"/>
      <c r="MN95" s="248"/>
      <c r="MO95" s="248"/>
      <c r="MP95" s="248"/>
      <c r="MQ95" s="248"/>
      <c r="MR95" s="248"/>
      <c r="MS95" s="248"/>
      <c r="MT95" s="248"/>
      <c r="MU95" s="248"/>
      <c r="MV95" s="248"/>
      <c r="MW95" s="248"/>
      <c r="MX95" s="248"/>
      <c r="MY95" s="248"/>
      <c r="MZ95" s="249"/>
      <c r="NA95" s="247">
        <v>3</v>
      </c>
      <c r="NB95" s="248"/>
      <c r="NC95" s="248"/>
      <c r="ND95" s="248"/>
      <c r="NE95" s="249"/>
      <c r="QQ95" s="18"/>
      <c r="QR95" s="19"/>
    </row>
    <row r="96" spans="3:460" ht="5.0999999999999996" customHeight="1" x14ac:dyDescent="0.3">
      <c r="C96" s="15"/>
      <c r="D96" s="16"/>
      <c r="CB96" s="21"/>
      <c r="EG96" s="21"/>
      <c r="FI96" s="288" t="s">
        <v>26</v>
      </c>
      <c r="FJ96" s="288"/>
      <c r="FK96" s="288"/>
      <c r="FL96" s="288"/>
      <c r="FM96" s="288"/>
      <c r="FN96" s="288"/>
      <c r="FO96" s="288"/>
      <c r="FP96" s="288"/>
      <c r="FQ96" s="288"/>
      <c r="FR96" s="288"/>
      <c r="FS96" s="288"/>
      <c r="FT96" s="288"/>
      <c r="FU96" s="288"/>
      <c r="FV96" s="288"/>
      <c r="FW96" s="288"/>
      <c r="FX96" s="288"/>
      <c r="FY96" s="288"/>
      <c r="FZ96" s="288"/>
      <c r="GA96" s="288"/>
      <c r="GB96" s="288"/>
      <c r="GC96" s="288"/>
      <c r="GD96" s="288"/>
      <c r="GE96" s="288"/>
      <c r="GF96" s="288"/>
      <c r="GG96" s="288"/>
      <c r="GH96" s="288"/>
      <c r="GI96" s="288"/>
      <c r="GJ96" s="288"/>
      <c r="GK96" s="288"/>
      <c r="GL96" s="288"/>
      <c r="GM96" s="288"/>
      <c r="GN96" s="288"/>
      <c r="GO96" s="288"/>
      <c r="GP96" s="288"/>
      <c r="GQ96" s="288"/>
      <c r="GR96" s="288"/>
      <c r="GS96" s="288"/>
      <c r="GT96" s="288"/>
      <c r="GU96" s="288"/>
      <c r="GV96" s="288"/>
      <c r="GW96" s="288">
        <v>2</v>
      </c>
      <c r="GX96" s="288"/>
      <c r="GY96" s="288"/>
      <c r="GZ96" s="288"/>
      <c r="HA96" s="288"/>
      <c r="HB96" s="288"/>
      <c r="HF96" s="247" t="s">
        <v>27</v>
      </c>
      <c r="HG96" s="248"/>
      <c r="HH96" s="248"/>
      <c r="HI96" s="248"/>
      <c r="HJ96" s="248"/>
      <c r="HK96" s="248"/>
      <c r="HL96" s="248"/>
      <c r="HM96" s="248"/>
      <c r="HN96" s="248"/>
      <c r="HO96" s="248"/>
      <c r="HP96" s="248"/>
      <c r="HQ96" s="248"/>
      <c r="HR96" s="248"/>
      <c r="HS96" s="248"/>
      <c r="HT96" s="248"/>
      <c r="HU96" s="248"/>
      <c r="HV96" s="248"/>
      <c r="HW96" s="248"/>
      <c r="HX96" s="248"/>
      <c r="HY96" s="248"/>
      <c r="HZ96" s="248"/>
      <c r="IA96" s="248"/>
      <c r="IB96" s="248"/>
      <c r="IC96" s="248"/>
      <c r="ID96" s="248"/>
      <c r="IE96" s="248"/>
      <c r="IF96" s="248"/>
      <c r="IG96" s="248"/>
      <c r="IH96" s="248"/>
      <c r="II96" s="248"/>
      <c r="IJ96" s="248"/>
      <c r="IK96" s="248"/>
      <c r="IL96" s="248"/>
      <c r="IM96" s="248"/>
      <c r="IN96" s="248"/>
      <c r="IO96" s="248"/>
      <c r="IP96" s="248"/>
      <c r="IQ96" s="248"/>
      <c r="IR96" s="248">
        <v>4</v>
      </c>
      <c r="IS96" s="249"/>
      <c r="IT96" s="247">
        <v>6</v>
      </c>
      <c r="IU96" s="248"/>
      <c r="IV96" s="248"/>
      <c r="IW96" s="248"/>
      <c r="IX96" s="249"/>
      <c r="JK96" s="250"/>
      <c r="JL96" s="251"/>
      <c r="JM96" s="251"/>
      <c r="JN96" s="251"/>
      <c r="JO96" s="251"/>
      <c r="JP96" s="251"/>
      <c r="JQ96" s="251"/>
      <c r="JR96" s="251"/>
      <c r="JS96" s="251"/>
      <c r="JT96" s="251"/>
      <c r="JU96" s="251"/>
      <c r="JV96" s="251"/>
      <c r="JW96" s="251"/>
      <c r="JX96" s="251"/>
      <c r="JY96" s="251"/>
      <c r="JZ96" s="251"/>
      <c r="KA96" s="251"/>
      <c r="KB96" s="251"/>
      <c r="KC96" s="251"/>
      <c r="KD96" s="251"/>
      <c r="KE96" s="251"/>
      <c r="KF96" s="251"/>
      <c r="KG96" s="251"/>
      <c r="KH96" s="251"/>
      <c r="KI96" s="251"/>
      <c r="KJ96" s="251"/>
      <c r="KK96" s="251"/>
      <c r="KL96" s="251"/>
      <c r="KM96" s="251"/>
      <c r="KN96" s="251"/>
      <c r="KO96" s="251"/>
      <c r="KP96" s="251"/>
      <c r="KQ96" s="251"/>
      <c r="KR96" s="251"/>
      <c r="KS96" s="251"/>
      <c r="KT96" s="251"/>
      <c r="KU96" s="251"/>
      <c r="KV96" s="251"/>
      <c r="KW96" s="251"/>
      <c r="KX96" s="252"/>
      <c r="KY96" s="250"/>
      <c r="KZ96" s="251"/>
      <c r="LA96" s="251"/>
      <c r="LB96" s="251"/>
      <c r="LC96" s="252"/>
      <c r="LM96" s="250"/>
      <c r="LN96" s="251"/>
      <c r="LO96" s="251"/>
      <c r="LP96" s="251"/>
      <c r="LQ96" s="251"/>
      <c r="LR96" s="251"/>
      <c r="LS96" s="251"/>
      <c r="LT96" s="251"/>
      <c r="LU96" s="251"/>
      <c r="LV96" s="251"/>
      <c r="LW96" s="251"/>
      <c r="LX96" s="251"/>
      <c r="LY96" s="251"/>
      <c r="LZ96" s="251"/>
      <c r="MA96" s="251"/>
      <c r="MB96" s="251"/>
      <c r="MC96" s="251"/>
      <c r="MD96" s="251"/>
      <c r="ME96" s="251"/>
      <c r="MF96" s="251"/>
      <c r="MG96" s="251"/>
      <c r="MH96" s="251"/>
      <c r="MI96" s="251"/>
      <c r="MJ96" s="251"/>
      <c r="MK96" s="251"/>
      <c r="ML96" s="251"/>
      <c r="MM96" s="251"/>
      <c r="MN96" s="251"/>
      <c r="MO96" s="251"/>
      <c r="MP96" s="251"/>
      <c r="MQ96" s="251"/>
      <c r="MR96" s="251"/>
      <c r="MS96" s="251"/>
      <c r="MT96" s="251"/>
      <c r="MU96" s="251"/>
      <c r="MV96" s="251"/>
      <c r="MW96" s="251"/>
      <c r="MX96" s="251"/>
      <c r="MY96" s="251"/>
      <c r="MZ96" s="252"/>
      <c r="NA96" s="250"/>
      <c r="NB96" s="251"/>
      <c r="NC96" s="251"/>
      <c r="ND96" s="251"/>
      <c r="NE96" s="252"/>
      <c r="QQ96" s="18"/>
      <c r="QR96" s="19"/>
    </row>
    <row r="97" spans="3:460" ht="5.0999999999999996" customHeight="1" x14ac:dyDescent="0.3">
      <c r="C97" s="15"/>
      <c r="D97" s="16"/>
      <c r="CB97" s="21"/>
      <c r="EG97" s="21"/>
      <c r="FI97" s="288"/>
      <c r="FJ97" s="288"/>
      <c r="FK97" s="288"/>
      <c r="FL97" s="288"/>
      <c r="FM97" s="288"/>
      <c r="FN97" s="288"/>
      <c r="FO97" s="288"/>
      <c r="FP97" s="288"/>
      <c r="FQ97" s="288"/>
      <c r="FR97" s="288"/>
      <c r="FS97" s="288"/>
      <c r="FT97" s="288"/>
      <c r="FU97" s="288"/>
      <c r="FV97" s="288"/>
      <c r="FW97" s="288"/>
      <c r="FX97" s="288"/>
      <c r="FY97" s="288"/>
      <c r="FZ97" s="288"/>
      <c r="GA97" s="288"/>
      <c r="GB97" s="288"/>
      <c r="GC97" s="288"/>
      <c r="GD97" s="288"/>
      <c r="GE97" s="288"/>
      <c r="GF97" s="288"/>
      <c r="GG97" s="288"/>
      <c r="GH97" s="288"/>
      <c r="GI97" s="288"/>
      <c r="GJ97" s="288"/>
      <c r="GK97" s="288"/>
      <c r="GL97" s="288"/>
      <c r="GM97" s="288"/>
      <c r="GN97" s="288"/>
      <c r="GO97" s="288"/>
      <c r="GP97" s="288"/>
      <c r="GQ97" s="288"/>
      <c r="GR97" s="288"/>
      <c r="GS97" s="288"/>
      <c r="GT97" s="288"/>
      <c r="GU97" s="288"/>
      <c r="GV97" s="288"/>
      <c r="GW97" s="288"/>
      <c r="GX97" s="288"/>
      <c r="GY97" s="288"/>
      <c r="GZ97" s="288"/>
      <c r="HA97" s="288"/>
      <c r="HB97" s="288"/>
      <c r="HF97" s="250"/>
      <c r="HG97" s="251"/>
      <c r="HH97" s="251"/>
      <c r="HI97" s="251"/>
      <c r="HJ97" s="251"/>
      <c r="HK97" s="251"/>
      <c r="HL97" s="251"/>
      <c r="HM97" s="251"/>
      <c r="HN97" s="251"/>
      <c r="HO97" s="251"/>
      <c r="HP97" s="251"/>
      <c r="HQ97" s="251"/>
      <c r="HR97" s="251"/>
      <c r="HS97" s="251"/>
      <c r="HT97" s="251"/>
      <c r="HU97" s="251"/>
      <c r="HV97" s="251"/>
      <c r="HW97" s="251"/>
      <c r="HX97" s="251"/>
      <c r="HY97" s="251"/>
      <c r="HZ97" s="251"/>
      <c r="IA97" s="251"/>
      <c r="IB97" s="251"/>
      <c r="IC97" s="251"/>
      <c r="ID97" s="251"/>
      <c r="IE97" s="251"/>
      <c r="IF97" s="251"/>
      <c r="IG97" s="251"/>
      <c r="IH97" s="251"/>
      <c r="II97" s="251"/>
      <c r="IJ97" s="251"/>
      <c r="IK97" s="251"/>
      <c r="IL97" s="251"/>
      <c r="IM97" s="251"/>
      <c r="IN97" s="251"/>
      <c r="IO97" s="251"/>
      <c r="IP97" s="251"/>
      <c r="IQ97" s="251"/>
      <c r="IR97" s="251"/>
      <c r="IS97" s="252"/>
      <c r="IT97" s="250"/>
      <c r="IU97" s="251"/>
      <c r="IV97" s="251"/>
      <c r="IW97" s="251"/>
      <c r="IX97" s="252"/>
      <c r="JK97" s="250"/>
      <c r="JL97" s="251"/>
      <c r="JM97" s="251"/>
      <c r="JN97" s="251"/>
      <c r="JO97" s="251"/>
      <c r="JP97" s="251"/>
      <c r="JQ97" s="251"/>
      <c r="JR97" s="251"/>
      <c r="JS97" s="251"/>
      <c r="JT97" s="251"/>
      <c r="JU97" s="251"/>
      <c r="JV97" s="251"/>
      <c r="JW97" s="251"/>
      <c r="JX97" s="251"/>
      <c r="JY97" s="251"/>
      <c r="JZ97" s="251"/>
      <c r="KA97" s="251"/>
      <c r="KB97" s="251"/>
      <c r="KC97" s="251"/>
      <c r="KD97" s="251"/>
      <c r="KE97" s="251"/>
      <c r="KF97" s="251"/>
      <c r="KG97" s="251"/>
      <c r="KH97" s="251"/>
      <c r="KI97" s="251"/>
      <c r="KJ97" s="251"/>
      <c r="KK97" s="251"/>
      <c r="KL97" s="251"/>
      <c r="KM97" s="251"/>
      <c r="KN97" s="251"/>
      <c r="KO97" s="251"/>
      <c r="KP97" s="251"/>
      <c r="KQ97" s="251"/>
      <c r="KR97" s="251"/>
      <c r="KS97" s="251"/>
      <c r="KT97" s="251"/>
      <c r="KU97" s="251"/>
      <c r="KV97" s="251"/>
      <c r="KW97" s="251"/>
      <c r="KX97" s="252"/>
      <c r="KY97" s="250"/>
      <c r="KZ97" s="251"/>
      <c r="LA97" s="251"/>
      <c r="LB97" s="251"/>
      <c r="LC97" s="252"/>
      <c r="LM97" s="250"/>
      <c r="LN97" s="251"/>
      <c r="LO97" s="251"/>
      <c r="LP97" s="251"/>
      <c r="LQ97" s="251"/>
      <c r="LR97" s="251"/>
      <c r="LS97" s="251"/>
      <c r="LT97" s="251"/>
      <c r="LU97" s="251"/>
      <c r="LV97" s="251"/>
      <c r="LW97" s="251"/>
      <c r="LX97" s="251"/>
      <c r="LY97" s="251"/>
      <c r="LZ97" s="251"/>
      <c r="MA97" s="251"/>
      <c r="MB97" s="251"/>
      <c r="MC97" s="251"/>
      <c r="MD97" s="251"/>
      <c r="ME97" s="251"/>
      <c r="MF97" s="251"/>
      <c r="MG97" s="251"/>
      <c r="MH97" s="251"/>
      <c r="MI97" s="251"/>
      <c r="MJ97" s="251"/>
      <c r="MK97" s="251"/>
      <c r="ML97" s="251"/>
      <c r="MM97" s="251"/>
      <c r="MN97" s="251"/>
      <c r="MO97" s="251"/>
      <c r="MP97" s="251"/>
      <c r="MQ97" s="251"/>
      <c r="MR97" s="251"/>
      <c r="MS97" s="251"/>
      <c r="MT97" s="251"/>
      <c r="MU97" s="251"/>
      <c r="MV97" s="251"/>
      <c r="MW97" s="251"/>
      <c r="MX97" s="251"/>
      <c r="MY97" s="251"/>
      <c r="MZ97" s="252"/>
      <c r="NA97" s="250"/>
      <c r="NB97" s="251"/>
      <c r="NC97" s="251"/>
      <c r="ND97" s="251"/>
      <c r="NE97" s="252"/>
      <c r="QQ97" s="18"/>
      <c r="QR97" s="19"/>
    </row>
    <row r="98" spans="3:460" ht="5.0999999999999996" customHeight="1" x14ac:dyDescent="0.3">
      <c r="C98" s="15"/>
      <c r="D98" s="16"/>
      <c r="CB98" s="21"/>
      <c r="EG98" s="21"/>
      <c r="FI98" s="288"/>
      <c r="FJ98" s="288"/>
      <c r="FK98" s="288"/>
      <c r="FL98" s="288"/>
      <c r="FM98" s="288"/>
      <c r="FN98" s="288"/>
      <c r="FO98" s="288"/>
      <c r="FP98" s="288"/>
      <c r="FQ98" s="288"/>
      <c r="FR98" s="288"/>
      <c r="FS98" s="288"/>
      <c r="FT98" s="288"/>
      <c r="FU98" s="288"/>
      <c r="FV98" s="288"/>
      <c r="FW98" s="288"/>
      <c r="FX98" s="288"/>
      <c r="FY98" s="288"/>
      <c r="FZ98" s="288"/>
      <c r="GA98" s="288"/>
      <c r="GB98" s="288"/>
      <c r="GC98" s="288"/>
      <c r="GD98" s="288"/>
      <c r="GE98" s="288"/>
      <c r="GF98" s="288"/>
      <c r="GG98" s="288"/>
      <c r="GH98" s="288"/>
      <c r="GI98" s="288"/>
      <c r="GJ98" s="288"/>
      <c r="GK98" s="288"/>
      <c r="GL98" s="288"/>
      <c r="GM98" s="288"/>
      <c r="GN98" s="288"/>
      <c r="GO98" s="288"/>
      <c r="GP98" s="288"/>
      <c r="GQ98" s="288"/>
      <c r="GR98" s="288"/>
      <c r="GS98" s="288"/>
      <c r="GT98" s="288"/>
      <c r="GU98" s="288"/>
      <c r="GV98" s="288"/>
      <c r="GW98" s="288"/>
      <c r="GX98" s="288"/>
      <c r="GY98" s="288"/>
      <c r="GZ98" s="288"/>
      <c r="HA98" s="288"/>
      <c r="HB98" s="288"/>
      <c r="HF98" s="250"/>
      <c r="HG98" s="251"/>
      <c r="HH98" s="251"/>
      <c r="HI98" s="251"/>
      <c r="HJ98" s="251"/>
      <c r="HK98" s="251"/>
      <c r="HL98" s="251"/>
      <c r="HM98" s="251"/>
      <c r="HN98" s="251"/>
      <c r="HO98" s="251"/>
      <c r="HP98" s="251"/>
      <c r="HQ98" s="251"/>
      <c r="HR98" s="251"/>
      <c r="HS98" s="251"/>
      <c r="HT98" s="251"/>
      <c r="HU98" s="251"/>
      <c r="HV98" s="251"/>
      <c r="HW98" s="251"/>
      <c r="HX98" s="251"/>
      <c r="HY98" s="251"/>
      <c r="HZ98" s="251"/>
      <c r="IA98" s="251"/>
      <c r="IB98" s="251"/>
      <c r="IC98" s="251"/>
      <c r="ID98" s="251"/>
      <c r="IE98" s="251"/>
      <c r="IF98" s="251"/>
      <c r="IG98" s="251"/>
      <c r="IH98" s="251"/>
      <c r="II98" s="251"/>
      <c r="IJ98" s="251"/>
      <c r="IK98" s="251"/>
      <c r="IL98" s="251"/>
      <c r="IM98" s="251"/>
      <c r="IN98" s="251"/>
      <c r="IO98" s="251"/>
      <c r="IP98" s="251"/>
      <c r="IQ98" s="251"/>
      <c r="IR98" s="251"/>
      <c r="IS98" s="252"/>
      <c r="IT98" s="250"/>
      <c r="IU98" s="251"/>
      <c r="IV98" s="251"/>
      <c r="IW98" s="251"/>
      <c r="IX98" s="252"/>
      <c r="JK98" s="250"/>
      <c r="JL98" s="251"/>
      <c r="JM98" s="251"/>
      <c r="JN98" s="251"/>
      <c r="JO98" s="251"/>
      <c r="JP98" s="251"/>
      <c r="JQ98" s="251"/>
      <c r="JR98" s="251"/>
      <c r="JS98" s="251"/>
      <c r="JT98" s="251"/>
      <c r="JU98" s="251"/>
      <c r="JV98" s="251"/>
      <c r="JW98" s="251"/>
      <c r="JX98" s="251"/>
      <c r="JY98" s="251"/>
      <c r="JZ98" s="251"/>
      <c r="KA98" s="251"/>
      <c r="KB98" s="251"/>
      <c r="KC98" s="251"/>
      <c r="KD98" s="251"/>
      <c r="KE98" s="251"/>
      <c r="KF98" s="251"/>
      <c r="KG98" s="251"/>
      <c r="KH98" s="251"/>
      <c r="KI98" s="251"/>
      <c r="KJ98" s="251"/>
      <c r="KK98" s="251"/>
      <c r="KL98" s="251"/>
      <c r="KM98" s="251"/>
      <c r="KN98" s="251"/>
      <c r="KO98" s="251"/>
      <c r="KP98" s="251"/>
      <c r="KQ98" s="251"/>
      <c r="KR98" s="251"/>
      <c r="KS98" s="251"/>
      <c r="KT98" s="251"/>
      <c r="KU98" s="251"/>
      <c r="KV98" s="251"/>
      <c r="KW98" s="251"/>
      <c r="KX98" s="252"/>
      <c r="KY98" s="250"/>
      <c r="KZ98" s="251"/>
      <c r="LA98" s="251"/>
      <c r="LB98" s="251"/>
      <c r="LC98" s="252"/>
      <c r="LM98" s="250"/>
      <c r="LN98" s="251"/>
      <c r="LO98" s="251"/>
      <c r="LP98" s="251"/>
      <c r="LQ98" s="251"/>
      <c r="LR98" s="251"/>
      <c r="LS98" s="251"/>
      <c r="LT98" s="251"/>
      <c r="LU98" s="251"/>
      <c r="LV98" s="251"/>
      <c r="LW98" s="251"/>
      <c r="LX98" s="251"/>
      <c r="LY98" s="251"/>
      <c r="LZ98" s="251"/>
      <c r="MA98" s="251"/>
      <c r="MB98" s="251"/>
      <c r="MC98" s="251"/>
      <c r="MD98" s="251"/>
      <c r="ME98" s="251"/>
      <c r="MF98" s="251"/>
      <c r="MG98" s="251"/>
      <c r="MH98" s="251"/>
      <c r="MI98" s="251"/>
      <c r="MJ98" s="251"/>
      <c r="MK98" s="251"/>
      <c r="ML98" s="251"/>
      <c r="MM98" s="251"/>
      <c r="MN98" s="251"/>
      <c r="MO98" s="251"/>
      <c r="MP98" s="251"/>
      <c r="MQ98" s="251"/>
      <c r="MR98" s="251"/>
      <c r="MS98" s="251"/>
      <c r="MT98" s="251"/>
      <c r="MU98" s="251"/>
      <c r="MV98" s="251"/>
      <c r="MW98" s="251"/>
      <c r="MX98" s="251"/>
      <c r="MY98" s="251"/>
      <c r="MZ98" s="252"/>
      <c r="NA98" s="250"/>
      <c r="NB98" s="251"/>
      <c r="NC98" s="251"/>
      <c r="ND98" s="251"/>
      <c r="NE98" s="252"/>
      <c r="QQ98" s="18"/>
      <c r="QR98" s="19"/>
    </row>
    <row r="99" spans="3:460" ht="5.0999999999999996" customHeight="1" x14ac:dyDescent="0.3">
      <c r="C99" s="15"/>
      <c r="D99" s="16"/>
      <c r="CB99" s="30"/>
      <c r="EG99" s="21"/>
      <c r="FI99" s="288"/>
      <c r="FJ99" s="288"/>
      <c r="FK99" s="288"/>
      <c r="FL99" s="288"/>
      <c r="FM99" s="288"/>
      <c r="FN99" s="288"/>
      <c r="FO99" s="288"/>
      <c r="FP99" s="288"/>
      <c r="FQ99" s="288"/>
      <c r="FR99" s="288"/>
      <c r="FS99" s="288"/>
      <c r="FT99" s="288"/>
      <c r="FU99" s="288"/>
      <c r="FV99" s="288"/>
      <c r="FW99" s="288"/>
      <c r="FX99" s="288"/>
      <c r="FY99" s="288"/>
      <c r="FZ99" s="288"/>
      <c r="GA99" s="288"/>
      <c r="GB99" s="288"/>
      <c r="GC99" s="288"/>
      <c r="GD99" s="288"/>
      <c r="GE99" s="288"/>
      <c r="GF99" s="288"/>
      <c r="GG99" s="288"/>
      <c r="GH99" s="288"/>
      <c r="GI99" s="288"/>
      <c r="GJ99" s="288"/>
      <c r="GK99" s="288"/>
      <c r="GL99" s="288"/>
      <c r="GM99" s="288"/>
      <c r="GN99" s="288"/>
      <c r="GO99" s="288"/>
      <c r="GP99" s="288"/>
      <c r="GQ99" s="288"/>
      <c r="GR99" s="288"/>
      <c r="GS99" s="288"/>
      <c r="GT99" s="288"/>
      <c r="GU99" s="288"/>
      <c r="GV99" s="288"/>
      <c r="GW99" s="288"/>
      <c r="GX99" s="288"/>
      <c r="GY99" s="288"/>
      <c r="GZ99" s="288"/>
      <c r="HA99" s="288"/>
      <c r="HB99" s="288"/>
      <c r="HF99" s="250"/>
      <c r="HG99" s="251"/>
      <c r="HH99" s="251"/>
      <c r="HI99" s="251"/>
      <c r="HJ99" s="251"/>
      <c r="HK99" s="251"/>
      <c r="HL99" s="251"/>
      <c r="HM99" s="251"/>
      <c r="HN99" s="251"/>
      <c r="HO99" s="251"/>
      <c r="HP99" s="251"/>
      <c r="HQ99" s="251"/>
      <c r="HR99" s="251"/>
      <c r="HS99" s="251"/>
      <c r="HT99" s="251"/>
      <c r="HU99" s="251"/>
      <c r="HV99" s="251"/>
      <c r="HW99" s="251"/>
      <c r="HX99" s="251"/>
      <c r="HY99" s="251"/>
      <c r="HZ99" s="251"/>
      <c r="IA99" s="251"/>
      <c r="IB99" s="251"/>
      <c r="IC99" s="251"/>
      <c r="ID99" s="251"/>
      <c r="IE99" s="251"/>
      <c r="IF99" s="251"/>
      <c r="IG99" s="251"/>
      <c r="IH99" s="251"/>
      <c r="II99" s="251"/>
      <c r="IJ99" s="251"/>
      <c r="IK99" s="251"/>
      <c r="IL99" s="251"/>
      <c r="IM99" s="251"/>
      <c r="IN99" s="251"/>
      <c r="IO99" s="251"/>
      <c r="IP99" s="251"/>
      <c r="IQ99" s="251"/>
      <c r="IR99" s="251"/>
      <c r="IS99" s="252"/>
      <c r="IT99" s="250"/>
      <c r="IU99" s="251"/>
      <c r="IV99" s="251"/>
      <c r="IW99" s="251"/>
      <c r="IX99" s="252"/>
      <c r="JK99" s="250"/>
      <c r="JL99" s="251"/>
      <c r="JM99" s="251"/>
      <c r="JN99" s="251"/>
      <c r="JO99" s="251"/>
      <c r="JP99" s="251"/>
      <c r="JQ99" s="251"/>
      <c r="JR99" s="251"/>
      <c r="JS99" s="251"/>
      <c r="JT99" s="251"/>
      <c r="JU99" s="251"/>
      <c r="JV99" s="251"/>
      <c r="JW99" s="251"/>
      <c r="JX99" s="251"/>
      <c r="JY99" s="251"/>
      <c r="JZ99" s="251"/>
      <c r="KA99" s="251"/>
      <c r="KB99" s="251"/>
      <c r="KC99" s="251"/>
      <c r="KD99" s="251"/>
      <c r="KE99" s="251"/>
      <c r="KF99" s="251"/>
      <c r="KG99" s="251"/>
      <c r="KH99" s="251"/>
      <c r="KI99" s="251"/>
      <c r="KJ99" s="251"/>
      <c r="KK99" s="251"/>
      <c r="KL99" s="251"/>
      <c r="KM99" s="251"/>
      <c r="KN99" s="251"/>
      <c r="KO99" s="251"/>
      <c r="KP99" s="251"/>
      <c r="KQ99" s="251"/>
      <c r="KR99" s="251"/>
      <c r="KS99" s="251"/>
      <c r="KT99" s="251"/>
      <c r="KU99" s="251"/>
      <c r="KV99" s="251"/>
      <c r="KW99" s="251"/>
      <c r="KX99" s="252"/>
      <c r="KY99" s="250"/>
      <c r="KZ99" s="251"/>
      <c r="LA99" s="251"/>
      <c r="LB99" s="251"/>
      <c r="LC99" s="252"/>
      <c r="LM99" s="250"/>
      <c r="LN99" s="251"/>
      <c r="LO99" s="251"/>
      <c r="LP99" s="251"/>
      <c r="LQ99" s="251"/>
      <c r="LR99" s="251"/>
      <c r="LS99" s="251"/>
      <c r="LT99" s="251"/>
      <c r="LU99" s="251"/>
      <c r="LV99" s="251"/>
      <c r="LW99" s="251"/>
      <c r="LX99" s="251"/>
      <c r="LY99" s="251"/>
      <c r="LZ99" s="251"/>
      <c r="MA99" s="251"/>
      <c r="MB99" s="251"/>
      <c r="MC99" s="251"/>
      <c r="MD99" s="251"/>
      <c r="ME99" s="251"/>
      <c r="MF99" s="251"/>
      <c r="MG99" s="251"/>
      <c r="MH99" s="251"/>
      <c r="MI99" s="251"/>
      <c r="MJ99" s="251"/>
      <c r="MK99" s="251"/>
      <c r="ML99" s="251"/>
      <c r="MM99" s="251"/>
      <c r="MN99" s="251"/>
      <c r="MO99" s="251"/>
      <c r="MP99" s="251"/>
      <c r="MQ99" s="251"/>
      <c r="MR99" s="251"/>
      <c r="MS99" s="251"/>
      <c r="MT99" s="251"/>
      <c r="MU99" s="251"/>
      <c r="MV99" s="251"/>
      <c r="MW99" s="251"/>
      <c r="MX99" s="251"/>
      <c r="MY99" s="251"/>
      <c r="MZ99" s="252"/>
      <c r="NA99" s="250"/>
      <c r="NB99" s="251"/>
      <c r="NC99" s="251"/>
      <c r="ND99" s="251"/>
      <c r="NE99" s="252"/>
      <c r="QQ99" s="18"/>
      <c r="QR99" s="19"/>
    </row>
    <row r="100" spans="3:460" ht="5.0999999999999996" customHeight="1" x14ac:dyDescent="0.3">
      <c r="C100" s="15"/>
      <c r="D100" s="16"/>
      <c r="BF100" s="247" t="s">
        <v>28</v>
      </c>
      <c r="BG100" s="248"/>
      <c r="BH100" s="248"/>
      <c r="BI100" s="248"/>
      <c r="BJ100" s="248"/>
      <c r="BK100" s="248"/>
      <c r="BL100" s="248"/>
      <c r="BM100" s="248"/>
      <c r="BN100" s="248"/>
      <c r="BO100" s="248"/>
      <c r="BP100" s="248"/>
      <c r="BQ100" s="248"/>
      <c r="BR100" s="248"/>
      <c r="BS100" s="248"/>
      <c r="BT100" s="248"/>
      <c r="BU100" s="248"/>
      <c r="BV100" s="248"/>
      <c r="BW100" s="248"/>
      <c r="BX100" s="248"/>
      <c r="BY100" s="248"/>
      <c r="BZ100" s="248"/>
      <c r="CA100" s="248"/>
      <c r="CB100" s="248"/>
      <c r="CC100" s="248"/>
      <c r="CD100" s="248"/>
      <c r="CE100" s="248"/>
      <c r="CF100" s="248"/>
      <c r="CG100" s="248"/>
      <c r="CH100" s="248"/>
      <c r="CI100" s="248"/>
      <c r="CJ100" s="248"/>
      <c r="CK100" s="248"/>
      <c r="CL100" s="248"/>
      <c r="CM100" s="248"/>
      <c r="CN100" s="248"/>
      <c r="CO100" s="248"/>
      <c r="CP100" s="248"/>
      <c r="CQ100" s="248"/>
      <c r="CR100" s="248"/>
      <c r="CS100" s="248"/>
      <c r="CT100" s="284"/>
      <c r="CU100" s="287">
        <v>1</v>
      </c>
      <c r="CV100" s="287"/>
      <c r="CW100" s="287"/>
      <c r="CX100" s="287"/>
      <c r="EG100" s="21"/>
      <c r="FI100" s="288"/>
      <c r="FJ100" s="288"/>
      <c r="FK100" s="288"/>
      <c r="FL100" s="288"/>
      <c r="FM100" s="288"/>
      <c r="FN100" s="288"/>
      <c r="FO100" s="288"/>
      <c r="FP100" s="288"/>
      <c r="FQ100" s="288"/>
      <c r="FR100" s="288"/>
      <c r="FS100" s="288"/>
      <c r="FT100" s="288"/>
      <c r="FU100" s="288"/>
      <c r="FV100" s="288"/>
      <c r="FW100" s="288"/>
      <c r="FX100" s="288"/>
      <c r="FY100" s="288"/>
      <c r="FZ100" s="288"/>
      <c r="GA100" s="288"/>
      <c r="GB100" s="288"/>
      <c r="GC100" s="288"/>
      <c r="GD100" s="288"/>
      <c r="GE100" s="288"/>
      <c r="GF100" s="288"/>
      <c r="GG100" s="288"/>
      <c r="GH100" s="288"/>
      <c r="GI100" s="288"/>
      <c r="GJ100" s="288"/>
      <c r="GK100" s="288"/>
      <c r="GL100" s="288"/>
      <c r="GM100" s="288"/>
      <c r="GN100" s="288"/>
      <c r="GO100" s="288"/>
      <c r="GP100" s="288"/>
      <c r="GQ100" s="288"/>
      <c r="GR100" s="288"/>
      <c r="GS100" s="288"/>
      <c r="GT100" s="288"/>
      <c r="GU100" s="288"/>
      <c r="GV100" s="288"/>
      <c r="GW100" s="288"/>
      <c r="GX100" s="288"/>
      <c r="GY100" s="288"/>
      <c r="GZ100" s="288"/>
      <c r="HA100" s="288"/>
      <c r="HB100" s="288"/>
      <c r="HF100" s="250"/>
      <c r="HG100" s="251"/>
      <c r="HH100" s="251"/>
      <c r="HI100" s="251"/>
      <c r="HJ100" s="251"/>
      <c r="HK100" s="251"/>
      <c r="HL100" s="251"/>
      <c r="HM100" s="251"/>
      <c r="HN100" s="251"/>
      <c r="HO100" s="251"/>
      <c r="HP100" s="251"/>
      <c r="HQ100" s="251"/>
      <c r="HR100" s="251"/>
      <c r="HS100" s="251"/>
      <c r="HT100" s="251"/>
      <c r="HU100" s="251"/>
      <c r="HV100" s="251"/>
      <c r="HW100" s="251"/>
      <c r="HX100" s="251"/>
      <c r="HY100" s="251"/>
      <c r="HZ100" s="251"/>
      <c r="IA100" s="251"/>
      <c r="IB100" s="251"/>
      <c r="IC100" s="251"/>
      <c r="ID100" s="251"/>
      <c r="IE100" s="251"/>
      <c r="IF100" s="251"/>
      <c r="IG100" s="251"/>
      <c r="IH100" s="251"/>
      <c r="II100" s="251"/>
      <c r="IJ100" s="251"/>
      <c r="IK100" s="251"/>
      <c r="IL100" s="251"/>
      <c r="IM100" s="251"/>
      <c r="IN100" s="251"/>
      <c r="IO100" s="251"/>
      <c r="IP100" s="251"/>
      <c r="IQ100" s="251"/>
      <c r="IR100" s="251"/>
      <c r="IS100" s="252"/>
      <c r="IT100" s="250"/>
      <c r="IU100" s="251"/>
      <c r="IV100" s="251"/>
      <c r="IW100" s="251"/>
      <c r="IX100" s="252"/>
      <c r="JK100" s="250"/>
      <c r="JL100" s="251"/>
      <c r="JM100" s="251"/>
      <c r="JN100" s="251"/>
      <c r="JO100" s="251"/>
      <c r="JP100" s="251"/>
      <c r="JQ100" s="251"/>
      <c r="JR100" s="251"/>
      <c r="JS100" s="251"/>
      <c r="JT100" s="251"/>
      <c r="JU100" s="251"/>
      <c r="JV100" s="251"/>
      <c r="JW100" s="251"/>
      <c r="JX100" s="251"/>
      <c r="JY100" s="251"/>
      <c r="JZ100" s="251"/>
      <c r="KA100" s="251"/>
      <c r="KB100" s="251"/>
      <c r="KC100" s="251"/>
      <c r="KD100" s="251"/>
      <c r="KE100" s="251"/>
      <c r="KF100" s="251"/>
      <c r="KG100" s="251"/>
      <c r="KH100" s="251"/>
      <c r="KI100" s="251"/>
      <c r="KJ100" s="251"/>
      <c r="KK100" s="251"/>
      <c r="KL100" s="251"/>
      <c r="KM100" s="251"/>
      <c r="KN100" s="251"/>
      <c r="KO100" s="251"/>
      <c r="KP100" s="251"/>
      <c r="KQ100" s="251"/>
      <c r="KR100" s="251"/>
      <c r="KS100" s="251"/>
      <c r="KT100" s="251"/>
      <c r="KU100" s="251"/>
      <c r="KV100" s="251"/>
      <c r="KW100" s="251"/>
      <c r="KX100" s="252"/>
      <c r="KY100" s="250"/>
      <c r="KZ100" s="251"/>
      <c r="LA100" s="251"/>
      <c r="LB100" s="251"/>
      <c r="LC100" s="252"/>
      <c r="LM100" s="250"/>
      <c r="LN100" s="251"/>
      <c r="LO100" s="251"/>
      <c r="LP100" s="251"/>
      <c r="LQ100" s="251"/>
      <c r="LR100" s="251"/>
      <c r="LS100" s="251"/>
      <c r="LT100" s="251"/>
      <c r="LU100" s="251"/>
      <c r="LV100" s="251"/>
      <c r="LW100" s="251"/>
      <c r="LX100" s="251"/>
      <c r="LY100" s="251"/>
      <c r="LZ100" s="251"/>
      <c r="MA100" s="251"/>
      <c r="MB100" s="251"/>
      <c r="MC100" s="251"/>
      <c r="MD100" s="251"/>
      <c r="ME100" s="251"/>
      <c r="MF100" s="251"/>
      <c r="MG100" s="251"/>
      <c r="MH100" s="251"/>
      <c r="MI100" s="251"/>
      <c r="MJ100" s="251"/>
      <c r="MK100" s="251"/>
      <c r="ML100" s="251"/>
      <c r="MM100" s="251"/>
      <c r="MN100" s="251"/>
      <c r="MO100" s="251"/>
      <c r="MP100" s="251"/>
      <c r="MQ100" s="251"/>
      <c r="MR100" s="251"/>
      <c r="MS100" s="251"/>
      <c r="MT100" s="251"/>
      <c r="MU100" s="251"/>
      <c r="MV100" s="251"/>
      <c r="MW100" s="251"/>
      <c r="MX100" s="251"/>
      <c r="MY100" s="251"/>
      <c r="MZ100" s="252"/>
      <c r="NA100" s="250"/>
      <c r="NB100" s="251"/>
      <c r="NC100" s="251"/>
      <c r="ND100" s="251"/>
      <c r="NE100" s="252"/>
      <c r="QQ100" s="18"/>
      <c r="QR100" s="19"/>
    </row>
    <row r="101" spans="3:460" ht="5.0999999999999996" customHeight="1" x14ac:dyDescent="0.3">
      <c r="C101" s="15"/>
      <c r="D101" s="16"/>
      <c r="BF101" s="250"/>
      <c r="BG101" s="251"/>
      <c r="BH101" s="251"/>
      <c r="BI101" s="251"/>
      <c r="BJ101" s="251"/>
      <c r="BK101" s="251"/>
      <c r="BL101" s="251"/>
      <c r="BM101" s="251"/>
      <c r="BN101" s="251"/>
      <c r="BO101" s="251"/>
      <c r="BP101" s="251"/>
      <c r="BQ101" s="251"/>
      <c r="BR101" s="251"/>
      <c r="BS101" s="251"/>
      <c r="BT101" s="251"/>
      <c r="BU101" s="251"/>
      <c r="BV101" s="251"/>
      <c r="BW101" s="251"/>
      <c r="BX101" s="251"/>
      <c r="BY101" s="251"/>
      <c r="BZ101" s="251"/>
      <c r="CA101" s="251"/>
      <c r="CB101" s="251"/>
      <c r="CC101" s="251"/>
      <c r="CD101" s="251"/>
      <c r="CE101" s="251"/>
      <c r="CF101" s="251"/>
      <c r="CG101" s="251"/>
      <c r="CH101" s="251"/>
      <c r="CI101" s="251"/>
      <c r="CJ101" s="251"/>
      <c r="CK101" s="251"/>
      <c r="CL101" s="251"/>
      <c r="CM101" s="251"/>
      <c r="CN101" s="251"/>
      <c r="CO101" s="251"/>
      <c r="CP101" s="251"/>
      <c r="CQ101" s="251"/>
      <c r="CR101" s="251"/>
      <c r="CS101" s="251"/>
      <c r="CT101" s="285"/>
      <c r="CU101" s="287"/>
      <c r="CV101" s="287"/>
      <c r="CW101" s="287"/>
      <c r="CX101" s="287"/>
      <c r="EG101" s="21"/>
      <c r="FI101" s="288"/>
      <c r="FJ101" s="288"/>
      <c r="FK101" s="288"/>
      <c r="FL101" s="288"/>
      <c r="FM101" s="288"/>
      <c r="FN101" s="288"/>
      <c r="FO101" s="288"/>
      <c r="FP101" s="288"/>
      <c r="FQ101" s="288"/>
      <c r="FR101" s="288"/>
      <c r="FS101" s="288"/>
      <c r="FT101" s="288"/>
      <c r="FU101" s="288"/>
      <c r="FV101" s="288"/>
      <c r="FW101" s="288"/>
      <c r="FX101" s="288"/>
      <c r="FY101" s="288"/>
      <c r="FZ101" s="288"/>
      <c r="GA101" s="288"/>
      <c r="GB101" s="288"/>
      <c r="GC101" s="288"/>
      <c r="GD101" s="288"/>
      <c r="GE101" s="288"/>
      <c r="GF101" s="288"/>
      <c r="GG101" s="288"/>
      <c r="GH101" s="288"/>
      <c r="GI101" s="288"/>
      <c r="GJ101" s="288"/>
      <c r="GK101" s="288"/>
      <c r="GL101" s="288"/>
      <c r="GM101" s="288"/>
      <c r="GN101" s="288"/>
      <c r="GO101" s="288"/>
      <c r="GP101" s="288"/>
      <c r="GQ101" s="288"/>
      <c r="GR101" s="288"/>
      <c r="GS101" s="288"/>
      <c r="GT101" s="288"/>
      <c r="GU101" s="288"/>
      <c r="GV101" s="288"/>
      <c r="GW101" s="288"/>
      <c r="GX101" s="288"/>
      <c r="GY101" s="288"/>
      <c r="GZ101" s="288"/>
      <c r="HA101" s="288"/>
      <c r="HB101" s="288"/>
      <c r="HF101" s="250"/>
      <c r="HG101" s="251"/>
      <c r="HH101" s="251"/>
      <c r="HI101" s="251"/>
      <c r="HJ101" s="251"/>
      <c r="HK101" s="251"/>
      <c r="HL101" s="251"/>
      <c r="HM101" s="251"/>
      <c r="HN101" s="251"/>
      <c r="HO101" s="251"/>
      <c r="HP101" s="251"/>
      <c r="HQ101" s="251"/>
      <c r="HR101" s="251"/>
      <c r="HS101" s="251"/>
      <c r="HT101" s="251"/>
      <c r="HU101" s="251"/>
      <c r="HV101" s="251"/>
      <c r="HW101" s="251"/>
      <c r="HX101" s="251"/>
      <c r="HY101" s="251"/>
      <c r="HZ101" s="251"/>
      <c r="IA101" s="251"/>
      <c r="IB101" s="251"/>
      <c r="IC101" s="251"/>
      <c r="ID101" s="251"/>
      <c r="IE101" s="251"/>
      <c r="IF101" s="251"/>
      <c r="IG101" s="251"/>
      <c r="IH101" s="251"/>
      <c r="II101" s="251"/>
      <c r="IJ101" s="251"/>
      <c r="IK101" s="251"/>
      <c r="IL101" s="251"/>
      <c r="IM101" s="251"/>
      <c r="IN101" s="251"/>
      <c r="IO101" s="251"/>
      <c r="IP101" s="251"/>
      <c r="IQ101" s="251"/>
      <c r="IR101" s="251"/>
      <c r="IS101" s="252"/>
      <c r="IT101" s="250"/>
      <c r="IU101" s="251"/>
      <c r="IV101" s="251"/>
      <c r="IW101" s="251"/>
      <c r="IX101" s="252"/>
      <c r="JK101" s="250"/>
      <c r="JL101" s="251"/>
      <c r="JM101" s="251"/>
      <c r="JN101" s="251"/>
      <c r="JO101" s="251"/>
      <c r="JP101" s="251"/>
      <c r="JQ101" s="251"/>
      <c r="JR101" s="251"/>
      <c r="JS101" s="251"/>
      <c r="JT101" s="251"/>
      <c r="JU101" s="251"/>
      <c r="JV101" s="251"/>
      <c r="JW101" s="251"/>
      <c r="JX101" s="251"/>
      <c r="JY101" s="251"/>
      <c r="JZ101" s="251"/>
      <c r="KA101" s="251"/>
      <c r="KB101" s="251"/>
      <c r="KC101" s="251"/>
      <c r="KD101" s="251"/>
      <c r="KE101" s="251"/>
      <c r="KF101" s="251"/>
      <c r="KG101" s="251"/>
      <c r="KH101" s="251"/>
      <c r="KI101" s="251"/>
      <c r="KJ101" s="251"/>
      <c r="KK101" s="251"/>
      <c r="KL101" s="251"/>
      <c r="KM101" s="251"/>
      <c r="KN101" s="251"/>
      <c r="KO101" s="251"/>
      <c r="KP101" s="251"/>
      <c r="KQ101" s="251"/>
      <c r="KR101" s="251"/>
      <c r="KS101" s="251"/>
      <c r="KT101" s="251"/>
      <c r="KU101" s="251"/>
      <c r="KV101" s="251"/>
      <c r="KW101" s="251"/>
      <c r="KX101" s="252"/>
      <c r="KY101" s="250"/>
      <c r="KZ101" s="251"/>
      <c r="LA101" s="251"/>
      <c r="LB101" s="251"/>
      <c r="LC101" s="252"/>
      <c r="LM101" s="250"/>
      <c r="LN101" s="251"/>
      <c r="LO101" s="251"/>
      <c r="LP101" s="251"/>
      <c r="LQ101" s="251"/>
      <c r="LR101" s="251"/>
      <c r="LS101" s="251"/>
      <c r="LT101" s="251"/>
      <c r="LU101" s="251"/>
      <c r="LV101" s="251"/>
      <c r="LW101" s="251"/>
      <c r="LX101" s="251"/>
      <c r="LY101" s="251"/>
      <c r="LZ101" s="251"/>
      <c r="MA101" s="251"/>
      <c r="MB101" s="251"/>
      <c r="MC101" s="251"/>
      <c r="MD101" s="251"/>
      <c r="ME101" s="251"/>
      <c r="MF101" s="251"/>
      <c r="MG101" s="251"/>
      <c r="MH101" s="251"/>
      <c r="MI101" s="251"/>
      <c r="MJ101" s="251"/>
      <c r="MK101" s="251"/>
      <c r="ML101" s="251"/>
      <c r="MM101" s="251"/>
      <c r="MN101" s="251"/>
      <c r="MO101" s="251"/>
      <c r="MP101" s="251"/>
      <c r="MQ101" s="251"/>
      <c r="MR101" s="251"/>
      <c r="MS101" s="251"/>
      <c r="MT101" s="251"/>
      <c r="MU101" s="251"/>
      <c r="MV101" s="251"/>
      <c r="MW101" s="251"/>
      <c r="MX101" s="251"/>
      <c r="MY101" s="251"/>
      <c r="MZ101" s="252"/>
      <c r="NA101" s="250"/>
      <c r="NB101" s="251"/>
      <c r="NC101" s="251"/>
      <c r="ND101" s="251"/>
      <c r="NE101" s="252"/>
      <c r="QQ101" s="18"/>
      <c r="QR101" s="19"/>
    </row>
    <row r="102" spans="3:460" ht="5.0999999999999996" customHeight="1" x14ac:dyDescent="0.3">
      <c r="C102" s="15"/>
      <c r="D102" s="16"/>
      <c r="BF102" s="250"/>
      <c r="BG102" s="251"/>
      <c r="BH102" s="251"/>
      <c r="BI102" s="251"/>
      <c r="BJ102" s="251"/>
      <c r="BK102" s="251"/>
      <c r="BL102" s="251"/>
      <c r="BM102" s="251"/>
      <c r="BN102" s="251"/>
      <c r="BO102" s="251"/>
      <c r="BP102" s="251"/>
      <c r="BQ102" s="251"/>
      <c r="BR102" s="251"/>
      <c r="BS102" s="251"/>
      <c r="BT102" s="251"/>
      <c r="BU102" s="251"/>
      <c r="BV102" s="251"/>
      <c r="BW102" s="251"/>
      <c r="BX102" s="251"/>
      <c r="BY102" s="251"/>
      <c r="BZ102" s="251"/>
      <c r="CA102" s="251"/>
      <c r="CB102" s="251"/>
      <c r="CC102" s="251"/>
      <c r="CD102" s="251"/>
      <c r="CE102" s="251"/>
      <c r="CF102" s="251"/>
      <c r="CG102" s="251"/>
      <c r="CH102" s="251"/>
      <c r="CI102" s="251"/>
      <c r="CJ102" s="251"/>
      <c r="CK102" s="251"/>
      <c r="CL102" s="251"/>
      <c r="CM102" s="251"/>
      <c r="CN102" s="251"/>
      <c r="CO102" s="251"/>
      <c r="CP102" s="251"/>
      <c r="CQ102" s="251"/>
      <c r="CR102" s="251"/>
      <c r="CS102" s="251"/>
      <c r="CT102" s="285"/>
      <c r="CU102" s="287"/>
      <c r="CV102" s="287"/>
      <c r="CW102" s="287"/>
      <c r="CX102" s="287"/>
      <c r="EG102" s="21"/>
      <c r="FI102" s="288"/>
      <c r="FJ102" s="288"/>
      <c r="FK102" s="288"/>
      <c r="FL102" s="288"/>
      <c r="FM102" s="288"/>
      <c r="FN102" s="288"/>
      <c r="FO102" s="288"/>
      <c r="FP102" s="288"/>
      <c r="FQ102" s="288"/>
      <c r="FR102" s="288"/>
      <c r="FS102" s="288"/>
      <c r="FT102" s="288"/>
      <c r="FU102" s="288"/>
      <c r="FV102" s="288"/>
      <c r="FW102" s="288"/>
      <c r="FX102" s="288"/>
      <c r="FY102" s="288"/>
      <c r="FZ102" s="288"/>
      <c r="GA102" s="288"/>
      <c r="GB102" s="288"/>
      <c r="GC102" s="288"/>
      <c r="GD102" s="288"/>
      <c r="GE102" s="288"/>
      <c r="GF102" s="288"/>
      <c r="GG102" s="288"/>
      <c r="GH102" s="288"/>
      <c r="GI102" s="288"/>
      <c r="GJ102" s="288"/>
      <c r="GK102" s="288"/>
      <c r="GL102" s="288"/>
      <c r="GM102" s="288"/>
      <c r="GN102" s="288"/>
      <c r="GO102" s="288"/>
      <c r="GP102" s="288"/>
      <c r="GQ102" s="288"/>
      <c r="GR102" s="288"/>
      <c r="GS102" s="288"/>
      <c r="GT102" s="288"/>
      <c r="GU102" s="288"/>
      <c r="GV102" s="288"/>
      <c r="GW102" s="288"/>
      <c r="GX102" s="288"/>
      <c r="GY102" s="288"/>
      <c r="GZ102" s="288"/>
      <c r="HA102" s="288"/>
      <c r="HB102" s="288"/>
      <c r="HF102" s="250"/>
      <c r="HG102" s="251"/>
      <c r="HH102" s="251"/>
      <c r="HI102" s="251"/>
      <c r="HJ102" s="251"/>
      <c r="HK102" s="251"/>
      <c r="HL102" s="251"/>
      <c r="HM102" s="251"/>
      <c r="HN102" s="251"/>
      <c r="HO102" s="251"/>
      <c r="HP102" s="251"/>
      <c r="HQ102" s="251"/>
      <c r="HR102" s="251"/>
      <c r="HS102" s="251"/>
      <c r="HT102" s="251"/>
      <c r="HU102" s="251"/>
      <c r="HV102" s="251"/>
      <c r="HW102" s="251"/>
      <c r="HX102" s="251"/>
      <c r="HY102" s="251"/>
      <c r="HZ102" s="251"/>
      <c r="IA102" s="251"/>
      <c r="IB102" s="251"/>
      <c r="IC102" s="251"/>
      <c r="ID102" s="251"/>
      <c r="IE102" s="251"/>
      <c r="IF102" s="251"/>
      <c r="IG102" s="251"/>
      <c r="IH102" s="251"/>
      <c r="II102" s="251"/>
      <c r="IJ102" s="251"/>
      <c r="IK102" s="251"/>
      <c r="IL102" s="251"/>
      <c r="IM102" s="251"/>
      <c r="IN102" s="251"/>
      <c r="IO102" s="251"/>
      <c r="IP102" s="251"/>
      <c r="IQ102" s="251"/>
      <c r="IR102" s="251"/>
      <c r="IS102" s="252"/>
      <c r="IT102" s="250"/>
      <c r="IU102" s="251"/>
      <c r="IV102" s="251"/>
      <c r="IW102" s="251"/>
      <c r="IX102" s="252"/>
      <c r="JK102" s="250"/>
      <c r="JL102" s="251"/>
      <c r="JM102" s="251"/>
      <c r="JN102" s="251"/>
      <c r="JO102" s="251"/>
      <c r="JP102" s="251"/>
      <c r="JQ102" s="251"/>
      <c r="JR102" s="251"/>
      <c r="JS102" s="251"/>
      <c r="JT102" s="251"/>
      <c r="JU102" s="251"/>
      <c r="JV102" s="251"/>
      <c r="JW102" s="251"/>
      <c r="JX102" s="251"/>
      <c r="JY102" s="251"/>
      <c r="JZ102" s="251"/>
      <c r="KA102" s="251"/>
      <c r="KB102" s="251"/>
      <c r="KC102" s="251"/>
      <c r="KD102" s="251"/>
      <c r="KE102" s="251"/>
      <c r="KF102" s="251"/>
      <c r="KG102" s="251"/>
      <c r="KH102" s="251"/>
      <c r="KI102" s="251"/>
      <c r="KJ102" s="251"/>
      <c r="KK102" s="251"/>
      <c r="KL102" s="251"/>
      <c r="KM102" s="251"/>
      <c r="KN102" s="251"/>
      <c r="KO102" s="251"/>
      <c r="KP102" s="251"/>
      <c r="KQ102" s="251"/>
      <c r="KR102" s="251"/>
      <c r="KS102" s="251"/>
      <c r="KT102" s="251"/>
      <c r="KU102" s="251"/>
      <c r="KV102" s="251"/>
      <c r="KW102" s="251"/>
      <c r="KX102" s="252"/>
      <c r="KY102" s="250"/>
      <c r="KZ102" s="251"/>
      <c r="LA102" s="251"/>
      <c r="LB102" s="251"/>
      <c r="LC102" s="252"/>
      <c r="LM102" s="250"/>
      <c r="LN102" s="251"/>
      <c r="LO102" s="251"/>
      <c r="LP102" s="251"/>
      <c r="LQ102" s="251"/>
      <c r="LR102" s="251"/>
      <c r="LS102" s="251"/>
      <c r="LT102" s="251"/>
      <c r="LU102" s="251"/>
      <c r="LV102" s="251"/>
      <c r="LW102" s="251"/>
      <c r="LX102" s="251"/>
      <c r="LY102" s="251"/>
      <c r="LZ102" s="251"/>
      <c r="MA102" s="251"/>
      <c r="MB102" s="251"/>
      <c r="MC102" s="251"/>
      <c r="MD102" s="251"/>
      <c r="ME102" s="251"/>
      <c r="MF102" s="251"/>
      <c r="MG102" s="251"/>
      <c r="MH102" s="251"/>
      <c r="MI102" s="251"/>
      <c r="MJ102" s="251"/>
      <c r="MK102" s="251"/>
      <c r="ML102" s="251"/>
      <c r="MM102" s="251"/>
      <c r="MN102" s="251"/>
      <c r="MO102" s="251"/>
      <c r="MP102" s="251"/>
      <c r="MQ102" s="251"/>
      <c r="MR102" s="251"/>
      <c r="MS102" s="251"/>
      <c r="MT102" s="251"/>
      <c r="MU102" s="251"/>
      <c r="MV102" s="251"/>
      <c r="MW102" s="251"/>
      <c r="MX102" s="251"/>
      <c r="MY102" s="251"/>
      <c r="MZ102" s="252"/>
      <c r="NA102" s="250"/>
      <c r="NB102" s="251"/>
      <c r="NC102" s="251"/>
      <c r="ND102" s="251"/>
      <c r="NE102" s="252"/>
      <c r="QQ102" s="18"/>
      <c r="QR102" s="19"/>
    </row>
    <row r="103" spans="3:460" ht="5.0999999999999996" customHeight="1" x14ac:dyDescent="0.3">
      <c r="C103" s="15"/>
      <c r="D103" s="16"/>
      <c r="BF103" s="250"/>
      <c r="BG103" s="251"/>
      <c r="BH103" s="251"/>
      <c r="BI103" s="251"/>
      <c r="BJ103" s="251"/>
      <c r="BK103" s="251"/>
      <c r="BL103" s="251"/>
      <c r="BM103" s="251"/>
      <c r="BN103" s="251"/>
      <c r="BO103" s="251"/>
      <c r="BP103" s="251"/>
      <c r="BQ103" s="251"/>
      <c r="BR103" s="251"/>
      <c r="BS103" s="251"/>
      <c r="BT103" s="251"/>
      <c r="BU103" s="251"/>
      <c r="BV103" s="251"/>
      <c r="BW103" s="251"/>
      <c r="BX103" s="251"/>
      <c r="BY103" s="251"/>
      <c r="BZ103" s="251"/>
      <c r="CA103" s="251"/>
      <c r="CB103" s="251"/>
      <c r="CC103" s="251"/>
      <c r="CD103" s="251"/>
      <c r="CE103" s="251"/>
      <c r="CF103" s="251"/>
      <c r="CG103" s="251"/>
      <c r="CH103" s="251"/>
      <c r="CI103" s="251"/>
      <c r="CJ103" s="251"/>
      <c r="CK103" s="251"/>
      <c r="CL103" s="251"/>
      <c r="CM103" s="251"/>
      <c r="CN103" s="251"/>
      <c r="CO103" s="251"/>
      <c r="CP103" s="251"/>
      <c r="CQ103" s="251"/>
      <c r="CR103" s="251"/>
      <c r="CS103" s="251"/>
      <c r="CT103" s="285"/>
      <c r="CU103" s="287"/>
      <c r="CV103" s="287"/>
      <c r="CW103" s="287"/>
      <c r="CX103" s="287"/>
      <c r="EG103" s="21"/>
      <c r="FI103" s="288"/>
      <c r="FJ103" s="288"/>
      <c r="FK103" s="288"/>
      <c r="FL103" s="288"/>
      <c r="FM103" s="288"/>
      <c r="FN103" s="288"/>
      <c r="FO103" s="288"/>
      <c r="FP103" s="288"/>
      <c r="FQ103" s="288"/>
      <c r="FR103" s="288"/>
      <c r="FS103" s="288"/>
      <c r="FT103" s="288"/>
      <c r="FU103" s="288"/>
      <c r="FV103" s="288"/>
      <c r="FW103" s="288"/>
      <c r="FX103" s="288"/>
      <c r="FY103" s="288"/>
      <c r="FZ103" s="288"/>
      <c r="GA103" s="288"/>
      <c r="GB103" s="288"/>
      <c r="GC103" s="288"/>
      <c r="GD103" s="288"/>
      <c r="GE103" s="288"/>
      <c r="GF103" s="288"/>
      <c r="GG103" s="288"/>
      <c r="GH103" s="288"/>
      <c r="GI103" s="288"/>
      <c r="GJ103" s="288"/>
      <c r="GK103" s="288"/>
      <c r="GL103" s="288"/>
      <c r="GM103" s="288"/>
      <c r="GN103" s="288"/>
      <c r="GO103" s="288"/>
      <c r="GP103" s="288"/>
      <c r="GQ103" s="288"/>
      <c r="GR103" s="288"/>
      <c r="GS103" s="288"/>
      <c r="GT103" s="288"/>
      <c r="GU103" s="288"/>
      <c r="GV103" s="288"/>
      <c r="GW103" s="288"/>
      <c r="GX103" s="288"/>
      <c r="GY103" s="288"/>
      <c r="GZ103" s="288"/>
      <c r="HA103" s="288"/>
      <c r="HB103" s="288"/>
      <c r="HF103" s="250"/>
      <c r="HG103" s="251"/>
      <c r="HH103" s="251"/>
      <c r="HI103" s="251"/>
      <c r="HJ103" s="251"/>
      <c r="HK103" s="251"/>
      <c r="HL103" s="251"/>
      <c r="HM103" s="251"/>
      <c r="HN103" s="251"/>
      <c r="HO103" s="251"/>
      <c r="HP103" s="251"/>
      <c r="HQ103" s="251"/>
      <c r="HR103" s="251"/>
      <c r="HS103" s="251"/>
      <c r="HT103" s="251"/>
      <c r="HU103" s="251"/>
      <c r="HV103" s="251"/>
      <c r="HW103" s="251"/>
      <c r="HX103" s="251"/>
      <c r="HY103" s="251"/>
      <c r="HZ103" s="251"/>
      <c r="IA103" s="251"/>
      <c r="IB103" s="251"/>
      <c r="IC103" s="251"/>
      <c r="ID103" s="251"/>
      <c r="IE103" s="251"/>
      <c r="IF103" s="251"/>
      <c r="IG103" s="251"/>
      <c r="IH103" s="251"/>
      <c r="II103" s="251"/>
      <c r="IJ103" s="251"/>
      <c r="IK103" s="251"/>
      <c r="IL103" s="251"/>
      <c r="IM103" s="251"/>
      <c r="IN103" s="251"/>
      <c r="IO103" s="251"/>
      <c r="IP103" s="251"/>
      <c r="IQ103" s="251"/>
      <c r="IR103" s="251"/>
      <c r="IS103" s="252"/>
      <c r="IT103" s="250"/>
      <c r="IU103" s="251"/>
      <c r="IV103" s="251"/>
      <c r="IW103" s="251"/>
      <c r="IX103" s="252"/>
      <c r="JK103" s="250"/>
      <c r="JL103" s="251"/>
      <c r="JM103" s="251"/>
      <c r="JN103" s="251"/>
      <c r="JO103" s="251"/>
      <c r="JP103" s="251"/>
      <c r="JQ103" s="251"/>
      <c r="JR103" s="251"/>
      <c r="JS103" s="251"/>
      <c r="JT103" s="251"/>
      <c r="JU103" s="251"/>
      <c r="JV103" s="251"/>
      <c r="JW103" s="251"/>
      <c r="JX103" s="251"/>
      <c r="JY103" s="251"/>
      <c r="JZ103" s="251"/>
      <c r="KA103" s="251"/>
      <c r="KB103" s="251"/>
      <c r="KC103" s="251"/>
      <c r="KD103" s="251"/>
      <c r="KE103" s="251"/>
      <c r="KF103" s="251"/>
      <c r="KG103" s="251"/>
      <c r="KH103" s="251"/>
      <c r="KI103" s="251"/>
      <c r="KJ103" s="251"/>
      <c r="KK103" s="251"/>
      <c r="KL103" s="251"/>
      <c r="KM103" s="251"/>
      <c r="KN103" s="251"/>
      <c r="KO103" s="251"/>
      <c r="KP103" s="251"/>
      <c r="KQ103" s="251"/>
      <c r="KR103" s="251"/>
      <c r="KS103" s="251"/>
      <c r="KT103" s="251"/>
      <c r="KU103" s="251"/>
      <c r="KV103" s="251"/>
      <c r="KW103" s="251"/>
      <c r="KX103" s="252"/>
      <c r="KY103" s="250"/>
      <c r="KZ103" s="251"/>
      <c r="LA103" s="251"/>
      <c r="LB103" s="251"/>
      <c r="LC103" s="252"/>
      <c r="LM103" s="250"/>
      <c r="LN103" s="251"/>
      <c r="LO103" s="251"/>
      <c r="LP103" s="251"/>
      <c r="LQ103" s="251"/>
      <c r="LR103" s="251"/>
      <c r="LS103" s="251"/>
      <c r="LT103" s="251"/>
      <c r="LU103" s="251"/>
      <c r="LV103" s="251"/>
      <c r="LW103" s="251"/>
      <c r="LX103" s="251"/>
      <c r="LY103" s="251"/>
      <c r="LZ103" s="251"/>
      <c r="MA103" s="251"/>
      <c r="MB103" s="251"/>
      <c r="MC103" s="251"/>
      <c r="MD103" s="251"/>
      <c r="ME103" s="251"/>
      <c r="MF103" s="251"/>
      <c r="MG103" s="251"/>
      <c r="MH103" s="251"/>
      <c r="MI103" s="251"/>
      <c r="MJ103" s="251"/>
      <c r="MK103" s="251"/>
      <c r="ML103" s="251"/>
      <c r="MM103" s="251"/>
      <c r="MN103" s="251"/>
      <c r="MO103" s="251"/>
      <c r="MP103" s="251"/>
      <c r="MQ103" s="251"/>
      <c r="MR103" s="251"/>
      <c r="MS103" s="251"/>
      <c r="MT103" s="251"/>
      <c r="MU103" s="251"/>
      <c r="MV103" s="251"/>
      <c r="MW103" s="251"/>
      <c r="MX103" s="251"/>
      <c r="MY103" s="251"/>
      <c r="MZ103" s="252"/>
      <c r="NA103" s="250"/>
      <c r="NB103" s="251"/>
      <c r="NC103" s="251"/>
      <c r="ND103" s="251"/>
      <c r="NE103" s="252"/>
      <c r="QQ103" s="18"/>
      <c r="QR103" s="19"/>
    </row>
    <row r="104" spans="3:460" ht="5.0999999999999996" customHeight="1" x14ac:dyDescent="0.3">
      <c r="C104" s="15"/>
      <c r="D104" s="16"/>
      <c r="BF104" s="250"/>
      <c r="BG104" s="251"/>
      <c r="BH104" s="251"/>
      <c r="BI104" s="251"/>
      <c r="BJ104" s="251"/>
      <c r="BK104" s="251"/>
      <c r="BL104" s="251"/>
      <c r="BM104" s="251"/>
      <c r="BN104" s="251"/>
      <c r="BO104" s="251"/>
      <c r="BP104" s="251"/>
      <c r="BQ104" s="251"/>
      <c r="BR104" s="251"/>
      <c r="BS104" s="251"/>
      <c r="BT104" s="251"/>
      <c r="BU104" s="251"/>
      <c r="BV104" s="251"/>
      <c r="BW104" s="251"/>
      <c r="BX104" s="251"/>
      <c r="BY104" s="251"/>
      <c r="BZ104" s="251"/>
      <c r="CA104" s="251"/>
      <c r="CB104" s="251"/>
      <c r="CC104" s="251"/>
      <c r="CD104" s="251"/>
      <c r="CE104" s="251"/>
      <c r="CF104" s="251"/>
      <c r="CG104" s="251"/>
      <c r="CH104" s="251"/>
      <c r="CI104" s="251"/>
      <c r="CJ104" s="251"/>
      <c r="CK104" s="251"/>
      <c r="CL104" s="251"/>
      <c r="CM104" s="251"/>
      <c r="CN104" s="251"/>
      <c r="CO104" s="251"/>
      <c r="CP104" s="251"/>
      <c r="CQ104" s="251"/>
      <c r="CR104" s="251"/>
      <c r="CS104" s="251"/>
      <c r="CT104" s="285"/>
      <c r="CU104" s="287"/>
      <c r="CV104" s="287"/>
      <c r="CW104" s="287"/>
      <c r="CX104" s="287"/>
      <c r="EG104" s="21"/>
      <c r="FI104" s="288"/>
      <c r="FJ104" s="288"/>
      <c r="FK104" s="288"/>
      <c r="FL104" s="288"/>
      <c r="FM104" s="288"/>
      <c r="FN104" s="288"/>
      <c r="FO104" s="288"/>
      <c r="FP104" s="288"/>
      <c r="FQ104" s="288"/>
      <c r="FR104" s="288"/>
      <c r="FS104" s="288"/>
      <c r="FT104" s="288"/>
      <c r="FU104" s="288"/>
      <c r="FV104" s="288"/>
      <c r="FW104" s="288"/>
      <c r="FX104" s="288"/>
      <c r="FY104" s="288"/>
      <c r="FZ104" s="288"/>
      <c r="GA104" s="288"/>
      <c r="GB104" s="288"/>
      <c r="GC104" s="288"/>
      <c r="GD104" s="288"/>
      <c r="GE104" s="288"/>
      <c r="GF104" s="288"/>
      <c r="GG104" s="288"/>
      <c r="GH104" s="288"/>
      <c r="GI104" s="288"/>
      <c r="GJ104" s="288"/>
      <c r="GK104" s="288"/>
      <c r="GL104" s="288"/>
      <c r="GM104" s="288"/>
      <c r="GN104" s="288"/>
      <c r="GO104" s="288"/>
      <c r="GP104" s="288"/>
      <c r="GQ104" s="288"/>
      <c r="GR104" s="288"/>
      <c r="GS104" s="288"/>
      <c r="GT104" s="288"/>
      <c r="GU104" s="288"/>
      <c r="GV104" s="288"/>
      <c r="GW104" s="288"/>
      <c r="GX104" s="288"/>
      <c r="GY104" s="288"/>
      <c r="GZ104" s="288"/>
      <c r="HA104" s="288"/>
      <c r="HB104" s="288"/>
      <c r="HF104" s="250"/>
      <c r="HG104" s="251"/>
      <c r="HH104" s="251"/>
      <c r="HI104" s="251"/>
      <c r="HJ104" s="251"/>
      <c r="HK104" s="251"/>
      <c r="HL104" s="251"/>
      <c r="HM104" s="251"/>
      <c r="HN104" s="251"/>
      <c r="HO104" s="251"/>
      <c r="HP104" s="251"/>
      <c r="HQ104" s="251"/>
      <c r="HR104" s="251"/>
      <c r="HS104" s="251"/>
      <c r="HT104" s="251"/>
      <c r="HU104" s="251"/>
      <c r="HV104" s="251"/>
      <c r="HW104" s="251"/>
      <c r="HX104" s="251"/>
      <c r="HY104" s="251"/>
      <c r="HZ104" s="251"/>
      <c r="IA104" s="251"/>
      <c r="IB104" s="251"/>
      <c r="IC104" s="251"/>
      <c r="ID104" s="251"/>
      <c r="IE104" s="251"/>
      <c r="IF104" s="251"/>
      <c r="IG104" s="251"/>
      <c r="IH104" s="251"/>
      <c r="II104" s="251"/>
      <c r="IJ104" s="251"/>
      <c r="IK104" s="251"/>
      <c r="IL104" s="251"/>
      <c r="IM104" s="251"/>
      <c r="IN104" s="251"/>
      <c r="IO104" s="251"/>
      <c r="IP104" s="251"/>
      <c r="IQ104" s="251"/>
      <c r="IR104" s="251"/>
      <c r="IS104" s="252"/>
      <c r="IT104" s="250"/>
      <c r="IU104" s="251"/>
      <c r="IV104" s="251"/>
      <c r="IW104" s="251"/>
      <c r="IX104" s="252"/>
      <c r="JK104" s="253"/>
      <c r="JL104" s="254"/>
      <c r="JM104" s="254"/>
      <c r="JN104" s="254"/>
      <c r="JO104" s="254"/>
      <c r="JP104" s="254"/>
      <c r="JQ104" s="254"/>
      <c r="JR104" s="254"/>
      <c r="JS104" s="254"/>
      <c r="JT104" s="254"/>
      <c r="JU104" s="254"/>
      <c r="JV104" s="254"/>
      <c r="JW104" s="254"/>
      <c r="JX104" s="254"/>
      <c r="JY104" s="254"/>
      <c r="JZ104" s="254"/>
      <c r="KA104" s="254"/>
      <c r="KB104" s="254"/>
      <c r="KC104" s="254"/>
      <c r="KD104" s="254"/>
      <c r="KE104" s="254"/>
      <c r="KF104" s="254"/>
      <c r="KG104" s="254"/>
      <c r="KH104" s="254"/>
      <c r="KI104" s="254"/>
      <c r="KJ104" s="254"/>
      <c r="KK104" s="254"/>
      <c r="KL104" s="254"/>
      <c r="KM104" s="254"/>
      <c r="KN104" s="254"/>
      <c r="KO104" s="254"/>
      <c r="KP104" s="254"/>
      <c r="KQ104" s="254"/>
      <c r="KR104" s="254"/>
      <c r="KS104" s="254"/>
      <c r="KT104" s="254"/>
      <c r="KU104" s="254"/>
      <c r="KV104" s="254"/>
      <c r="KW104" s="254"/>
      <c r="KX104" s="255"/>
      <c r="KY104" s="253"/>
      <c r="KZ104" s="254"/>
      <c r="LA104" s="254"/>
      <c r="LB104" s="254"/>
      <c r="LC104" s="255"/>
      <c r="LM104" s="253"/>
      <c r="LN104" s="254"/>
      <c r="LO104" s="254"/>
      <c r="LP104" s="254"/>
      <c r="LQ104" s="254"/>
      <c r="LR104" s="254"/>
      <c r="LS104" s="254"/>
      <c r="LT104" s="254"/>
      <c r="LU104" s="254"/>
      <c r="LV104" s="254"/>
      <c r="LW104" s="254"/>
      <c r="LX104" s="254"/>
      <c r="LY104" s="254"/>
      <c r="LZ104" s="254"/>
      <c r="MA104" s="254"/>
      <c r="MB104" s="254"/>
      <c r="MC104" s="254"/>
      <c r="MD104" s="254"/>
      <c r="ME104" s="254"/>
      <c r="MF104" s="254"/>
      <c r="MG104" s="254"/>
      <c r="MH104" s="254"/>
      <c r="MI104" s="254"/>
      <c r="MJ104" s="254"/>
      <c r="MK104" s="254"/>
      <c r="ML104" s="254"/>
      <c r="MM104" s="254"/>
      <c r="MN104" s="254"/>
      <c r="MO104" s="254"/>
      <c r="MP104" s="254"/>
      <c r="MQ104" s="254"/>
      <c r="MR104" s="254"/>
      <c r="MS104" s="254"/>
      <c r="MT104" s="254"/>
      <c r="MU104" s="254"/>
      <c r="MV104" s="254"/>
      <c r="MW104" s="254"/>
      <c r="MX104" s="254"/>
      <c r="MY104" s="254"/>
      <c r="MZ104" s="255"/>
      <c r="NA104" s="253"/>
      <c r="NB104" s="254"/>
      <c r="NC104" s="254"/>
      <c r="ND104" s="254"/>
      <c r="NE104" s="255"/>
      <c r="QQ104" s="18"/>
      <c r="QR104" s="19"/>
    </row>
    <row r="105" spans="3:460" ht="5.0999999999999996" customHeight="1" x14ac:dyDescent="0.3">
      <c r="C105" s="15"/>
      <c r="D105" s="16"/>
      <c r="BF105" s="250"/>
      <c r="BG105" s="251"/>
      <c r="BH105" s="251"/>
      <c r="BI105" s="251"/>
      <c r="BJ105" s="251"/>
      <c r="BK105" s="251"/>
      <c r="BL105" s="251"/>
      <c r="BM105" s="251"/>
      <c r="BN105" s="251"/>
      <c r="BO105" s="251"/>
      <c r="BP105" s="251"/>
      <c r="BQ105" s="251"/>
      <c r="BR105" s="251"/>
      <c r="BS105" s="251"/>
      <c r="BT105" s="251"/>
      <c r="BU105" s="251"/>
      <c r="BV105" s="251"/>
      <c r="BW105" s="251"/>
      <c r="BX105" s="251"/>
      <c r="BY105" s="251"/>
      <c r="BZ105" s="251"/>
      <c r="CA105" s="251"/>
      <c r="CB105" s="251"/>
      <c r="CC105" s="251"/>
      <c r="CD105" s="251"/>
      <c r="CE105" s="251"/>
      <c r="CF105" s="251"/>
      <c r="CG105" s="251"/>
      <c r="CH105" s="251"/>
      <c r="CI105" s="251"/>
      <c r="CJ105" s="251"/>
      <c r="CK105" s="251"/>
      <c r="CL105" s="251"/>
      <c r="CM105" s="251"/>
      <c r="CN105" s="251"/>
      <c r="CO105" s="251"/>
      <c r="CP105" s="251"/>
      <c r="CQ105" s="251"/>
      <c r="CR105" s="251"/>
      <c r="CS105" s="251"/>
      <c r="CT105" s="285"/>
      <c r="CU105" s="287"/>
      <c r="CV105" s="287"/>
      <c r="CW105" s="287"/>
      <c r="CX105" s="287"/>
      <c r="EG105" s="21"/>
      <c r="FI105" s="288"/>
      <c r="FJ105" s="288"/>
      <c r="FK105" s="288"/>
      <c r="FL105" s="288"/>
      <c r="FM105" s="288"/>
      <c r="FN105" s="288"/>
      <c r="FO105" s="288"/>
      <c r="FP105" s="288"/>
      <c r="FQ105" s="288"/>
      <c r="FR105" s="288"/>
      <c r="FS105" s="288"/>
      <c r="FT105" s="288"/>
      <c r="FU105" s="288"/>
      <c r="FV105" s="288"/>
      <c r="FW105" s="288"/>
      <c r="FX105" s="288"/>
      <c r="FY105" s="288"/>
      <c r="FZ105" s="288"/>
      <c r="GA105" s="288"/>
      <c r="GB105" s="288"/>
      <c r="GC105" s="288"/>
      <c r="GD105" s="288"/>
      <c r="GE105" s="288"/>
      <c r="GF105" s="288"/>
      <c r="GG105" s="288"/>
      <c r="GH105" s="288"/>
      <c r="GI105" s="288"/>
      <c r="GJ105" s="288"/>
      <c r="GK105" s="288"/>
      <c r="GL105" s="288"/>
      <c r="GM105" s="288"/>
      <c r="GN105" s="288"/>
      <c r="GO105" s="288"/>
      <c r="GP105" s="288"/>
      <c r="GQ105" s="288"/>
      <c r="GR105" s="288"/>
      <c r="GS105" s="288"/>
      <c r="GT105" s="288"/>
      <c r="GU105" s="288"/>
      <c r="GV105" s="288"/>
      <c r="GW105" s="288"/>
      <c r="GX105" s="288"/>
      <c r="GY105" s="288"/>
      <c r="GZ105" s="288"/>
      <c r="HA105" s="288"/>
      <c r="HB105" s="288"/>
      <c r="HF105" s="253"/>
      <c r="HG105" s="254"/>
      <c r="HH105" s="254"/>
      <c r="HI105" s="254"/>
      <c r="HJ105" s="254"/>
      <c r="HK105" s="254"/>
      <c r="HL105" s="254"/>
      <c r="HM105" s="254"/>
      <c r="HN105" s="254"/>
      <c r="HO105" s="254"/>
      <c r="HP105" s="254"/>
      <c r="HQ105" s="254"/>
      <c r="HR105" s="254"/>
      <c r="HS105" s="254"/>
      <c r="HT105" s="254"/>
      <c r="HU105" s="254"/>
      <c r="HV105" s="254"/>
      <c r="HW105" s="254"/>
      <c r="HX105" s="254"/>
      <c r="HY105" s="254"/>
      <c r="HZ105" s="254"/>
      <c r="IA105" s="254"/>
      <c r="IB105" s="254"/>
      <c r="IC105" s="254"/>
      <c r="ID105" s="254"/>
      <c r="IE105" s="254"/>
      <c r="IF105" s="254"/>
      <c r="IG105" s="254"/>
      <c r="IH105" s="254"/>
      <c r="II105" s="254"/>
      <c r="IJ105" s="254"/>
      <c r="IK105" s="254"/>
      <c r="IL105" s="254"/>
      <c r="IM105" s="254"/>
      <c r="IN105" s="254"/>
      <c r="IO105" s="254"/>
      <c r="IP105" s="254"/>
      <c r="IQ105" s="254"/>
      <c r="IR105" s="254"/>
      <c r="IS105" s="255"/>
      <c r="IT105" s="253"/>
      <c r="IU105" s="254"/>
      <c r="IV105" s="254"/>
      <c r="IW105" s="254"/>
      <c r="IX105" s="255"/>
      <c r="JK105" s="247" t="s">
        <v>29</v>
      </c>
      <c r="JL105" s="248"/>
      <c r="JM105" s="248"/>
      <c r="JN105" s="248"/>
      <c r="JO105" s="248"/>
      <c r="JP105" s="248"/>
      <c r="JQ105" s="248"/>
      <c r="JR105" s="248"/>
      <c r="JS105" s="248"/>
      <c r="JT105" s="248"/>
      <c r="JU105" s="248"/>
      <c r="JV105" s="248"/>
      <c r="JW105" s="248"/>
      <c r="JX105" s="248"/>
      <c r="JY105" s="248"/>
      <c r="JZ105" s="248"/>
      <c r="KA105" s="248"/>
      <c r="KB105" s="248"/>
      <c r="KC105" s="248"/>
      <c r="KD105" s="248"/>
      <c r="KE105" s="248"/>
      <c r="KF105" s="248"/>
      <c r="KG105" s="248"/>
      <c r="KH105" s="248"/>
      <c r="KI105" s="248"/>
      <c r="KJ105" s="248"/>
      <c r="KK105" s="248"/>
      <c r="KL105" s="248"/>
      <c r="KM105" s="248"/>
      <c r="KN105" s="248"/>
      <c r="KO105" s="248"/>
      <c r="KP105" s="248"/>
      <c r="KQ105" s="248"/>
      <c r="KR105" s="248"/>
      <c r="KS105" s="248"/>
      <c r="KT105" s="248"/>
      <c r="KU105" s="248"/>
      <c r="KV105" s="248"/>
      <c r="KW105" s="248">
        <v>1</v>
      </c>
      <c r="KX105" s="249"/>
      <c r="KY105" s="247">
        <v>17</v>
      </c>
      <c r="KZ105" s="248"/>
      <c r="LA105" s="248"/>
      <c r="LB105" s="248"/>
      <c r="LC105" s="249"/>
      <c r="LM105" s="247" t="s">
        <v>30</v>
      </c>
      <c r="LN105" s="248"/>
      <c r="LO105" s="248"/>
      <c r="LP105" s="248"/>
      <c r="LQ105" s="248"/>
      <c r="LR105" s="248"/>
      <c r="LS105" s="248"/>
      <c r="LT105" s="248"/>
      <c r="LU105" s="248"/>
      <c r="LV105" s="248"/>
      <c r="LW105" s="248"/>
      <c r="LX105" s="248"/>
      <c r="LY105" s="248"/>
      <c r="LZ105" s="248"/>
      <c r="MA105" s="248"/>
      <c r="MB105" s="248"/>
      <c r="MC105" s="248"/>
      <c r="MD105" s="248"/>
      <c r="ME105" s="248"/>
      <c r="MF105" s="248"/>
      <c r="MG105" s="248"/>
      <c r="MH105" s="248"/>
      <c r="MI105" s="248"/>
      <c r="MJ105" s="248"/>
      <c r="MK105" s="248"/>
      <c r="ML105" s="248"/>
      <c r="MM105" s="248"/>
      <c r="MN105" s="248"/>
      <c r="MO105" s="248"/>
      <c r="MP105" s="248"/>
      <c r="MQ105" s="248"/>
      <c r="MR105" s="248"/>
      <c r="MS105" s="248"/>
      <c r="MT105" s="248"/>
      <c r="MU105" s="248"/>
      <c r="MV105" s="248"/>
      <c r="MW105" s="248"/>
      <c r="MX105" s="248"/>
      <c r="MY105" s="248"/>
      <c r="MZ105" s="249"/>
      <c r="NA105" s="247">
        <v>1</v>
      </c>
      <c r="NB105" s="248"/>
      <c r="NC105" s="248"/>
      <c r="ND105" s="248"/>
      <c r="NE105" s="249"/>
      <c r="QQ105" s="18"/>
      <c r="QR105" s="19"/>
    </row>
    <row r="106" spans="3:460" ht="5.0999999999999996" customHeight="1" x14ac:dyDescent="0.3">
      <c r="C106" s="15"/>
      <c r="D106" s="16"/>
      <c r="BF106" s="250"/>
      <c r="BG106" s="251"/>
      <c r="BH106" s="251"/>
      <c r="BI106" s="251"/>
      <c r="BJ106" s="251"/>
      <c r="BK106" s="251"/>
      <c r="BL106" s="251"/>
      <c r="BM106" s="251"/>
      <c r="BN106" s="251"/>
      <c r="BO106" s="251"/>
      <c r="BP106" s="251"/>
      <c r="BQ106" s="251"/>
      <c r="BR106" s="251"/>
      <c r="BS106" s="251"/>
      <c r="BT106" s="251"/>
      <c r="BU106" s="251"/>
      <c r="BV106" s="251"/>
      <c r="BW106" s="251"/>
      <c r="BX106" s="251"/>
      <c r="BY106" s="251"/>
      <c r="BZ106" s="251"/>
      <c r="CA106" s="251"/>
      <c r="CB106" s="251"/>
      <c r="CC106" s="251"/>
      <c r="CD106" s="251"/>
      <c r="CE106" s="251"/>
      <c r="CF106" s="251"/>
      <c r="CG106" s="251"/>
      <c r="CH106" s="251"/>
      <c r="CI106" s="251"/>
      <c r="CJ106" s="251"/>
      <c r="CK106" s="251"/>
      <c r="CL106" s="251"/>
      <c r="CM106" s="251"/>
      <c r="CN106" s="251"/>
      <c r="CO106" s="251"/>
      <c r="CP106" s="251"/>
      <c r="CQ106" s="251"/>
      <c r="CR106" s="251"/>
      <c r="CS106" s="251"/>
      <c r="CT106" s="285"/>
      <c r="CU106" s="287"/>
      <c r="CV106" s="287"/>
      <c r="CW106" s="287"/>
      <c r="CX106" s="287"/>
      <c r="EG106" s="21"/>
      <c r="IB106" s="47"/>
      <c r="IC106" s="46"/>
      <c r="JK106" s="250"/>
      <c r="JL106" s="251"/>
      <c r="JM106" s="251"/>
      <c r="JN106" s="251"/>
      <c r="JO106" s="251"/>
      <c r="JP106" s="251"/>
      <c r="JQ106" s="251"/>
      <c r="JR106" s="251"/>
      <c r="JS106" s="251"/>
      <c r="JT106" s="251"/>
      <c r="JU106" s="251"/>
      <c r="JV106" s="251"/>
      <c r="JW106" s="251"/>
      <c r="JX106" s="251"/>
      <c r="JY106" s="251"/>
      <c r="JZ106" s="251"/>
      <c r="KA106" s="251"/>
      <c r="KB106" s="251"/>
      <c r="KC106" s="251"/>
      <c r="KD106" s="251"/>
      <c r="KE106" s="251"/>
      <c r="KF106" s="251"/>
      <c r="KG106" s="251"/>
      <c r="KH106" s="251"/>
      <c r="KI106" s="251"/>
      <c r="KJ106" s="251"/>
      <c r="KK106" s="251"/>
      <c r="KL106" s="251"/>
      <c r="KM106" s="251"/>
      <c r="KN106" s="251"/>
      <c r="KO106" s="251"/>
      <c r="KP106" s="251"/>
      <c r="KQ106" s="251"/>
      <c r="KR106" s="251"/>
      <c r="KS106" s="251"/>
      <c r="KT106" s="251"/>
      <c r="KU106" s="251"/>
      <c r="KV106" s="251"/>
      <c r="KW106" s="251"/>
      <c r="KX106" s="252"/>
      <c r="KY106" s="250"/>
      <c r="KZ106" s="251"/>
      <c r="LA106" s="251"/>
      <c r="LB106" s="251"/>
      <c r="LC106" s="252"/>
      <c r="LM106" s="250"/>
      <c r="LN106" s="251"/>
      <c r="LO106" s="251"/>
      <c r="LP106" s="251"/>
      <c r="LQ106" s="251"/>
      <c r="LR106" s="251"/>
      <c r="LS106" s="251"/>
      <c r="LT106" s="251"/>
      <c r="LU106" s="251"/>
      <c r="LV106" s="251"/>
      <c r="LW106" s="251"/>
      <c r="LX106" s="251"/>
      <c r="LY106" s="251"/>
      <c r="LZ106" s="251"/>
      <c r="MA106" s="251"/>
      <c r="MB106" s="251"/>
      <c r="MC106" s="251"/>
      <c r="MD106" s="251"/>
      <c r="ME106" s="251"/>
      <c r="MF106" s="251"/>
      <c r="MG106" s="251"/>
      <c r="MH106" s="251"/>
      <c r="MI106" s="251"/>
      <c r="MJ106" s="251"/>
      <c r="MK106" s="251"/>
      <c r="ML106" s="251"/>
      <c r="MM106" s="251"/>
      <c r="MN106" s="251"/>
      <c r="MO106" s="251"/>
      <c r="MP106" s="251"/>
      <c r="MQ106" s="251"/>
      <c r="MR106" s="251"/>
      <c r="MS106" s="251"/>
      <c r="MT106" s="251"/>
      <c r="MU106" s="251"/>
      <c r="MV106" s="251"/>
      <c r="MW106" s="251"/>
      <c r="MX106" s="251"/>
      <c r="MY106" s="251"/>
      <c r="MZ106" s="252"/>
      <c r="NA106" s="250"/>
      <c r="NB106" s="251"/>
      <c r="NC106" s="251"/>
      <c r="ND106" s="251"/>
      <c r="NE106" s="252"/>
      <c r="QQ106" s="18"/>
      <c r="QR106" s="19"/>
    </row>
    <row r="107" spans="3:460" ht="5.0999999999999996" customHeight="1" x14ac:dyDescent="0.3">
      <c r="C107" s="15"/>
      <c r="D107" s="16"/>
      <c r="BF107" s="250"/>
      <c r="BG107" s="251"/>
      <c r="BH107" s="251"/>
      <c r="BI107" s="251"/>
      <c r="BJ107" s="251"/>
      <c r="BK107" s="251"/>
      <c r="BL107" s="251"/>
      <c r="BM107" s="251"/>
      <c r="BN107" s="251"/>
      <c r="BO107" s="251"/>
      <c r="BP107" s="251"/>
      <c r="BQ107" s="251"/>
      <c r="BR107" s="251"/>
      <c r="BS107" s="251"/>
      <c r="BT107" s="251"/>
      <c r="BU107" s="251"/>
      <c r="BV107" s="251"/>
      <c r="BW107" s="251"/>
      <c r="BX107" s="251"/>
      <c r="BY107" s="251"/>
      <c r="BZ107" s="251"/>
      <c r="CA107" s="251"/>
      <c r="CB107" s="251"/>
      <c r="CC107" s="251"/>
      <c r="CD107" s="251"/>
      <c r="CE107" s="251"/>
      <c r="CF107" s="251"/>
      <c r="CG107" s="251"/>
      <c r="CH107" s="251"/>
      <c r="CI107" s="251"/>
      <c r="CJ107" s="251"/>
      <c r="CK107" s="251"/>
      <c r="CL107" s="251"/>
      <c r="CM107" s="251"/>
      <c r="CN107" s="251"/>
      <c r="CO107" s="251"/>
      <c r="CP107" s="251"/>
      <c r="CQ107" s="251"/>
      <c r="CR107" s="251"/>
      <c r="CS107" s="251"/>
      <c r="CT107" s="285"/>
      <c r="CU107" s="287"/>
      <c r="CV107" s="287"/>
      <c r="CW107" s="287"/>
      <c r="CX107" s="287"/>
      <c r="EG107" s="21"/>
      <c r="IB107" s="24"/>
      <c r="JK107" s="250"/>
      <c r="JL107" s="251"/>
      <c r="JM107" s="251"/>
      <c r="JN107" s="251"/>
      <c r="JO107" s="251"/>
      <c r="JP107" s="251"/>
      <c r="JQ107" s="251"/>
      <c r="JR107" s="251"/>
      <c r="JS107" s="251"/>
      <c r="JT107" s="251"/>
      <c r="JU107" s="251"/>
      <c r="JV107" s="251"/>
      <c r="JW107" s="251"/>
      <c r="JX107" s="251"/>
      <c r="JY107" s="251"/>
      <c r="JZ107" s="251"/>
      <c r="KA107" s="251"/>
      <c r="KB107" s="251"/>
      <c r="KC107" s="251"/>
      <c r="KD107" s="251"/>
      <c r="KE107" s="251"/>
      <c r="KF107" s="251"/>
      <c r="KG107" s="251"/>
      <c r="KH107" s="251"/>
      <c r="KI107" s="251"/>
      <c r="KJ107" s="251"/>
      <c r="KK107" s="251"/>
      <c r="KL107" s="251"/>
      <c r="KM107" s="251"/>
      <c r="KN107" s="251"/>
      <c r="KO107" s="251"/>
      <c r="KP107" s="251"/>
      <c r="KQ107" s="251"/>
      <c r="KR107" s="251"/>
      <c r="KS107" s="251"/>
      <c r="KT107" s="251"/>
      <c r="KU107" s="251"/>
      <c r="KV107" s="251"/>
      <c r="KW107" s="251"/>
      <c r="KX107" s="252"/>
      <c r="KY107" s="250"/>
      <c r="KZ107" s="251"/>
      <c r="LA107" s="251"/>
      <c r="LB107" s="251"/>
      <c r="LC107" s="252"/>
      <c r="LM107" s="250"/>
      <c r="LN107" s="251"/>
      <c r="LO107" s="251"/>
      <c r="LP107" s="251"/>
      <c r="LQ107" s="251"/>
      <c r="LR107" s="251"/>
      <c r="LS107" s="251"/>
      <c r="LT107" s="251"/>
      <c r="LU107" s="251"/>
      <c r="LV107" s="251"/>
      <c r="LW107" s="251"/>
      <c r="LX107" s="251"/>
      <c r="LY107" s="251"/>
      <c r="LZ107" s="251"/>
      <c r="MA107" s="251"/>
      <c r="MB107" s="251"/>
      <c r="MC107" s="251"/>
      <c r="MD107" s="251"/>
      <c r="ME107" s="251"/>
      <c r="MF107" s="251"/>
      <c r="MG107" s="251"/>
      <c r="MH107" s="251"/>
      <c r="MI107" s="251"/>
      <c r="MJ107" s="251"/>
      <c r="MK107" s="251"/>
      <c r="ML107" s="251"/>
      <c r="MM107" s="251"/>
      <c r="MN107" s="251"/>
      <c r="MO107" s="251"/>
      <c r="MP107" s="251"/>
      <c r="MQ107" s="251"/>
      <c r="MR107" s="251"/>
      <c r="MS107" s="251"/>
      <c r="MT107" s="251"/>
      <c r="MU107" s="251"/>
      <c r="MV107" s="251"/>
      <c r="MW107" s="251"/>
      <c r="MX107" s="251"/>
      <c r="MY107" s="251"/>
      <c r="MZ107" s="252"/>
      <c r="NA107" s="250"/>
      <c r="NB107" s="251"/>
      <c r="NC107" s="251"/>
      <c r="ND107" s="251"/>
      <c r="NE107" s="252"/>
      <c r="QQ107" s="18"/>
      <c r="QR107" s="19"/>
    </row>
    <row r="108" spans="3:460" ht="5.0999999999999996" customHeight="1" x14ac:dyDescent="0.3">
      <c r="C108" s="15"/>
      <c r="D108" s="16"/>
      <c r="BF108" s="253"/>
      <c r="BG108" s="254"/>
      <c r="BH108" s="254"/>
      <c r="BI108" s="254"/>
      <c r="BJ108" s="254"/>
      <c r="BK108" s="254"/>
      <c r="BL108" s="254"/>
      <c r="BM108" s="254"/>
      <c r="BN108" s="254"/>
      <c r="BO108" s="254"/>
      <c r="BP108" s="254"/>
      <c r="BQ108" s="254"/>
      <c r="BR108" s="254"/>
      <c r="BS108" s="254"/>
      <c r="BT108" s="254"/>
      <c r="BU108" s="254"/>
      <c r="BV108" s="254"/>
      <c r="BW108" s="254"/>
      <c r="BX108" s="254"/>
      <c r="BY108" s="254"/>
      <c r="BZ108" s="254"/>
      <c r="CA108" s="254"/>
      <c r="CB108" s="254"/>
      <c r="CC108" s="254"/>
      <c r="CD108" s="254"/>
      <c r="CE108" s="254"/>
      <c r="CF108" s="254"/>
      <c r="CG108" s="254"/>
      <c r="CH108" s="254"/>
      <c r="CI108" s="254"/>
      <c r="CJ108" s="254"/>
      <c r="CK108" s="254"/>
      <c r="CL108" s="254"/>
      <c r="CM108" s="254"/>
      <c r="CN108" s="254"/>
      <c r="CO108" s="254"/>
      <c r="CP108" s="254"/>
      <c r="CQ108" s="254"/>
      <c r="CR108" s="254"/>
      <c r="CS108" s="254"/>
      <c r="CT108" s="286"/>
      <c r="CU108" s="287"/>
      <c r="CV108" s="287"/>
      <c r="CW108" s="287"/>
      <c r="CX108" s="287"/>
      <c r="EG108" s="21"/>
      <c r="HF108" s="288" t="s">
        <v>31</v>
      </c>
      <c r="HG108" s="288"/>
      <c r="HH108" s="288"/>
      <c r="HI108" s="288"/>
      <c r="HJ108" s="288"/>
      <c r="HK108" s="288"/>
      <c r="HL108" s="288"/>
      <c r="HM108" s="288"/>
      <c r="HN108" s="288"/>
      <c r="HO108" s="288"/>
      <c r="HP108" s="288"/>
      <c r="HQ108" s="288"/>
      <c r="HR108" s="288"/>
      <c r="HS108" s="288"/>
      <c r="HT108" s="288"/>
      <c r="HU108" s="288"/>
      <c r="HV108" s="288"/>
      <c r="HW108" s="288"/>
      <c r="HX108" s="288"/>
      <c r="HY108" s="288"/>
      <c r="HZ108" s="288"/>
      <c r="IA108" s="288"/>
      <c r="IB108" s="288"/>
      <c r="IC108" s="288"/>
      <c r="ID108" s="288"/>
      <c r="IE108" s="288"/>
      <c r="IF108" s="288"/>
      <c r="IG108" s="288"/>
      <c r="IH108" s="288"/>
      <c r="II108" s="288"/>
      <c r="IJ108" s="288"/>
      <c r="IK108" s="288"/>
      <c r="IL108" s="288"/>
      <c r="IM108" s="288"/>
      <c r="IN108" s="288"/>
      <c r="IO108" s="288"/>
      <c r="IP108" s="288"/>
      <c r="IQ108" s="288"/>
      <c r="IR108" s="288">
        <v>1</v>
      </c>
      <c r="IS108" s="288"/>
      <c r="IT108" s="288">
        <v>27</v>
      </c>
      <c r="IU108" s="288"/>
      <c r="IV108" s="288"/>
      <c r="IW108" s="288"/>
      <c r="IX108" s="288"/>
      <c r="JK108" s="250"/>
      <c r="JL108" s="251"/>
      <c r="JM108" s="251"/>
      <c r="JN108" s="251"/>
      <c r="JO108" s="251"/>
      <c r="JP108" s="251"/>
      <c r="JQ108" s="251"/>
      <c r="JR108" s="251"/>
      <c r="JS108" s="251"/>
      <c r="JT108" s="251"/>
      <c r="JU108" s="251"/>
      <c r="JV108" s="251"/>
      <c r="JW108" s="251"/>
      <c r="JX108" s="251"/>
      <c r="JY108" s="251"/>
      <c r="JZ108" s="251"/>
      <c r="KA108" s="251"/>
      <c r="KB108" s="251"/>
      <c r="KC108" s="251"/>
      <c r="KD108" s="251"/>
      <c r="KE108" s="251"/>
      <c r="KF108" s="251"/>
      <c r="KG108" s="251"/>
      <c r="KH108" s="251"/>
      <c r="KI108" s="251"/>
      <c r="KJ108" s="251"/>
      <c r="KK108" s="251"/>
      <c r="KL108" s="251"/>
      <c r="KM108" s="251"/>
      <c r="KN108" s="251"/>
      <c r="KO108" s="251"/>
      <c r="KP108" s="251"/>
      <c r="KQ108" s="251"/>
      <c r="KR108" s="251"/>
      <c r="KS108" s="251"/>
      <c r="KT108" s="251"/>
      <c r="KU108" s="251"/>
      <c r="KV108" s="251"/>
      <c r="KW108" s="251"/>
      <c r="KX108" s="252"/>
      <c r="KY108" s="250"/>
      <c r="KZ108" s="251"/>
      <c r="LA108" s="251"/>
      <c r="LB108" s="251"/>
      <c r="LC108" s="252"/>
      <c r="LM108" s="250"/>
      <c r="LN108" s="251"/>
      <c r="LO108" s="251"/>
      <c r="LP108" s="251"/>
      <c r="LQ108" s="251"/>
      <c r="LR108" s="251"/>
      <c r="LS108" s="251"/>
      <c r="LT108" s="251"/>
      <c r="LU108" s="251"/>
      <c r="LV108" s="251"/>
      <c r="LW108" s="251"/>
      <c r="LX108" s="251"/>
      <c r="LY108" s="251"/>
      <c r="LZ108" s="251"/>
      <c r="MA108" s="251"/>
      <c r="MB108" s="251"/>
      <c r="MC108" s="251"/>
      <c r="MD108" s="251"/>
      <c r="ME108" s="251"/>
      <c r="MF108" s="251"/>
      <c r="MG108" s="251"/>
      <c r="MH108" s="251"/>
      <c r="MI108" s="251"/>
      <c r="MJ108" s="251"/>
      <c r="MK108" s="251"/>
      <c r="ML108" s="251"/>
      <c r="MM108" s="251"/>
      <c r="MN108" s="251"/>
      <c r="MO108" s="251"/>
      <c r="MP108" s="251"/>
      <c r="MQ108" s="251"/>
      <c r="MR108" s="251"/>
      <c r="MS108" s="251"/>
      <c r="MT108" s="251"/>
      <c r="MU108" s="251"/>
      <c r="MV108" s="251"/>
      <c r="MW108" s="251"/>
      <c r="MX108" s="251"/>
      <c r="MY108" s="251"/>
      <c r="MZ108" s="252"/>
      <c r="NA108" s="250"/>
      <c r="NB108" s="251"/>
      <c r="NC108" s="251"/>
      <c r="ND108" s="251"/>
      <c r="NE108" s="252"/>
      <c r="QQ108" s="18"/>
      <c r="QR108" s="19"/>
    </row>
    <row r="109" spans="3:460" ht="5.0999999999999996" customHeight="1" x14ac:dyDescent="0.3">
      <c r="C109" s="15"/>
      <c r="D109" s="16"/>
      <c r="EG109" s="21"/>
      <c r="HF109" s="288"/>
      <c r="HG109" s="288"/>
      <c r="HH109" s="288"/>
      <c r="HI109" s="288"/>
      <c r="HJ109" s="288"/>
      <c r="HK109" s="288"/>
      <c r="HL109" s="288"/>
      <c r="HM109" s="288"/>
      <c r="HN109" s="288"/>
      <c r="HO109" s="288"/>
      <c r="HP109" s="288"/>
      <c r="HQ109" s="288"/>
      <c r="HR109" s="288"/>
      <c r="HS109" s="288"/>
      <c r="HT109" s="288"/>
      <c r="HU109" s="288"/>
      <c r="HV109" s="288"/>
      <c r="HW109" s="288"/>
      <c r="HX109" s="288"/>
      <c r="HY109" s="288"/>
      <c r="HZ109" s="288"/>
      <c r="IA109" s="288"/>
      <c r="IB109" s="288"/>
      <c r="IC109" s="288"/>
      <c r="ID109" s="288"/>
      <c r="IE109" s="288"/>
      <c r="IF109" s="288"/>
      <c r="IG109" s="288"/>
      <c r="IH109" s="288"/>
      <c r="II109" s="288"/>
      <c r="IJ109" s="288"/>
      <c r="IK109" s="288"/>
      <c r="IL109" s="288"/>
      <c r="IM109" s="288"/>
      <c r="IN109" s="288"/>
      <c r="IO109" s="288"/>
      <c r="IP109" s="288"/>
      <c r="IQ109" s="288"/>
      <c r="IR109" s="288"/>
      <c r="IS109" s="288"/>
      <c r="IT109" s="288"/>
      <c r="IU109" s="288"/>
      <c r="IV109" s="288"/>
      <c r="IW109" s="288"/>
      <c r="IX109" s="288"/>
      <c r="JK109" s="250"/>
      <c r="JL109" s="251"/>
      <c r="JM109" s="251"/>
      <c r="JN109" s="251"/>
      <c r="JO109" s="251"/>
      <c r="JP109" s="251"/>
      <c r="JQ109" s="251"/>
      <c r="JR109" s="251"/>
      <c r="JS109" s="251"/>
      <c r="JT109" s="251"/>
      <c r="JU109" s="251"/>
      <c r="JV109" s="251"/>
      <c r="JW109" s="251"/>
      <c r="JX109" s="251"/>
      <c r="JY109" s="251"/>
      <c r="JZ109" s="251"/>
      <c r="KA109" s="251"/>
      <c r="KB109" s="251"/>
      <c r="KC109" s="251"/>
      <c r="KD109" s="251"/>
      <c r="KE109" s="251"/>
      <c r="KF109" s="251"/>
      <c r="KG109" s="251"/>
      <c r="KH109" s="251"/>
      <c r="KI109" s="251"/>
      <c r="KJ109" s="251"/>
      <c r="KK109" s="251"/>
      <c r="KL109" s="251"/>
      <c r="KM109" s="251"/>
      <c r="KN109" s="251"/>
      <c r="KO109" s="251"/>
      <c r="KP109" s="251"/>
      <c r="KQ109" s="251"/>
      <c r="KR109" s="251"/>
      <c r="KS109" s="251"/>
      <c r="KT109" s="251"/>
      <c r="KU109" s="251"/>
      <c r="KV109" s="251"/>
      <c r="KW109" s="251"/>
      <c r="KX109" s="252"/>
      <c r="KY109" s="250"/>
      <c r="KZ109" s="251"/>
      <c r="LA109" s="251"/>
      <c r="LB109" s="251"/>
      <c r="LC109" s="252"/>
      <c r="LM109" s="250"/>
      <c r="LN109" s="251"/>
      <c r="LO109" s="251"/>
      <c r="LP109" s="251"/>
      <c r="LQ109" s="251"/>
      <c r="LR109" s="251"/>
      <c r="LS109" s="251"/>
      <c r="LT109" s="251"/>
      <c r="LU109" s="251"/>
      <c r="LV109" s="251"/>
      <c r="LW109" s="251"/>
      <c r="LX109" s="251"/>
      <c r="LY109" s="251"/>
      <c r="LZ109" s="251"/>
      <c r="MA109" s="251"/>
      <c r="MB109" s="251"/>
      <c r="MC109" s="251"/>
      <c r="MD109" s="251"/>
      <c r="ME109" s="251"/>
      <c r="MF109" s="251"/>
      <c r="MG109" s="251"/>
      <c r="MH109" s="251"/>
      <c r="MI109" s="251"/>
      <c r="MJ109" s="251"/>
      <c r="MK109" s="251"/>
      <c r="ML109" s="251"/>
      <c r="MM109" s="251"/>
      <c r="MN109" s="251"/>
      <c r="MO109" s="251"/>
      <c r="MP109" s="251"/>
      <c r="MQ109" s="251"/>
      <c r="MR109" s="251"/>
      <c r="MS109" s="251"/>
      <c r="MT109" s="251"/>
      <c r="MU109" s="251"/>
      <c r="MV109" s="251"/>
      <c r="MW109" s="251"/>
      <c r="MX109" s="251"/>
      <c r="MY109" s="251"/>
      <c r="MZ109" s="252"/>
      <c r="NA109" s="250"/>
      <c r="NB109" s="251"/>
      <c r="NC109" s="251"/>
      <c r="ND109" s="251"/>
      <c r="NE109" s="252"/>
      <c r="QQ109" s="18"/>
      <c r="QR109" s="19"/>
    </row>
    <row r="110" spans="3:460" ht="5.0999999999999996" customHeight="1" x14ac:dyDescent="0.3">
      <c r="C110" s="15"/>
      <c r="D110" s="16"/>
      <c r="EG110" s="21"/>
      <c r="HF110" s="288"/>
      <c r="HG110" s="288"/>
      <c r="HH110" s="288"/>
      <c r="HI110" s="288"/>
      <c r="HJ110" s="288"/>
      <c r="HK110" s="288"/>
      <c r="HL110" s="288"/>
      <c r="HM110" s="288"/>
      <c r="HN110" s="288"/>
      <c r="HO110" s="288"/>
      <c r="HP110" s="288"/>
      <c r="HQ110" s="288"/>
      <c r="HR110" s="288"/>
      <c r="HS110" s="288"/>
      <c r="HT110" s="288"/>
      <c r="HU110" s="288"/>
      <c r="HV110" s="288"/>
      <c r="HW110" s="288"/>
      <c r="HX110" s="288"/>
      <c r="HY110" s="288"/>
      <c r="HZ110" s="288"/>
      <c r="IA110" s="288"/>
      <c r="IB110" s="288"/>
      <c r="IC110" s="288"/>
      <c r="ID110" s="288"/>
      <c r="IE110" s="288"/>
      <c r="IF110" s="288"/>
      <c r="IG110" s="288"/>
      <c r="IH110" s="288"/>
      <c r="II110" s="288"/>
      <c r="IJ110" s="288"/>
      <c r="IK110" s="288"/>
      <c r="IL110" s="288"/>
      <c r="IM110" s="288"/>
      <c r="IN110" s="288"/>
      <c r="IO110" s="288"/>
      <c r="IP110" s="288"/>
      <c r="IQ110" s="288"/>
      <c r="IR110" s="288"/>
      <c r="IS110" s="288"/>
      <c r="IT110" s="288"/>
      <c r="IU110" s="288"/>
      <c r="IV110" s="288"/>
      <c r="IW110" s="288"/>
      <c r="IX110" s="288"/>
      <c r="JK110" s="250"/>
      <c r="JL110" s="251"/>
      <c r="JM110" s="251"/>
      <c r="JN110" s="251"/>
      <c r="JO110" s="251"/>
      <c r="JP110" s="251"/>
      <c r="JQ110" s="251"/>
      <c r="JR110" s="251"/>
      <c r="JS110" s="251"/>
      <c r="JT110" s="251"/>
      <c r="JU110" s="251"/>
      <c r="JV110" s="251"/>
      <c r="JW110" s="251"/>
      <c r="JX110" s="251"/>
      <c r="JY110" s="251"/>
      <c r="JZ110" s="251"/>
      <c r="KA110" s="251"/>
      <c r="KB110" s="251"/>
      <c r="KC110" s="251"/>
      <c r="KD110" s="251"/>
      <c r="KE110" s="251"/>
      <c r="KF110" s="251"/>
      <c r="KG110" s="251"/>
      <c r="KH110" s="251"/>
      <c r="KI110" s="251"/>
      <c r="KJ110" s="251"/>
      <c r="KK110" s="251"/>
      <c r="KL110" s="251"/>
      <c r="KM110" s="251"/>
      <c r="KN110" s="251"/>
      <c r="KO110" s="251"/>
      <c r="KP110" s="251"/>
      <c r="KQ110" s="251"/>
      <c r="KR110" s="251"/>
      <c r="KS110" s="251"/>
      <c r="KT110" s="251"/>
      <c r="KU110" s="251"/>
      <c r="KV110" s="251"/>
      <c r="KW110" s="251"/>
      <c r="KX110" s="252"/>
      <c r="KY110" s="250"/>
      <c r="KZ110" s="251"/>
      <c r="LA110" s="251"/>
      <c r="LB110" s="251"/>
      <c r="LC110" s="252"/>
      <c r="LM110" s="250"/>
      <c r="LN110" s="251"/>
      <c r="LO110" s="251"/>
      <c r="LP110" s="251"/>
      <c r="LQ110" s="251"/>
      <c r="LR110" s="251"/>
      <c r="LS110" s="251"/>
      <c r="LT110" s="251"/>
      <c r="LU110" s="251"/>
      <c r="LV110" s="251"/>
      <c r="LW110" s="251"/>
      <c r="LX110" s="251"/>
      <c r="LY110" s="251"/>
      <c r="LZ110" s="251"/>
      <c r="MA110" s="251"/>
      <c r="MB110" s="251"/>
      <c r="MC110" s="251"/>
      <c r="MD110" s="251"/>
      <c r="ME110" s="251"/>
      <c r="MF110" s="251"/>
      <c r="MG110" s="251"/>
      <c r="MH110" s="251"/>
      <c r="MI110" s="251"/>
      <c r="MJ110" s="251"/>
      <c r="MK110" s="251"/>
      <c r="ML110" s="251"/>
      <c r="MM110" s="251"/>
      <c r="MN110" s="251"/>
      <c r="MO110" s="251"/>
      <c r="MP110" s="251"/>
      <c r="MQ110" s="251"/>
      <c r="MR110" s="251"/>
      <c r="MS110" s="251"/>
      <c r="MT110" s="251"/>
      <c r="MU110" s="251"/>
      <c r="MV110" s="251"/>
      <c r="MW110" s="251"/>
      <c r="MX110" s="251"/>
      <c r="MY110" s="251"/>
      <c r="MZ110" s="252"/>
      <c r="NA110" s="250"/>
      <c r="NB110" s="251"/>
      <c r="NC110" s="251"/>
      <c r="ND110" s="251"/>
      <c r="NE110" s="252"/>
      <c r="QQ110" s="18"/>
      <c r="QR110" s="19"/>
    </row>
    <row r="111" spans="3:460" ht="5.0999999999999996" customHeight="1" x14ac:dyDescent="0.3">
      <c r="C111" s="15"/>
      <c r="D111" s="16"/>
      <c r="DH111" s="289" t="s">
        <v>32</v>
      </c>
      <c r="DI111" s="290"/>
      <c r="DJ111" s="290"/>
      <c r="DK111" s="290"/>
      <c r="DL111" s="290"/>
      <c r="DM111" s="290"/>
      <c r="DN111" s="290"/>
      <c r="DO111" s="290"/>
      <c r="DP111" s="290"/>
      <c r="DQ111" s="290"/>
      <c r="DR111" s="290"/>
      <c r="DS111" s="290"/>
      <c r="DT111" s="290"/>
      <c r="DU111" s="290"/>
      <c r="DV111" s="290"/>
      <c r="DW111" s="290"/>
      <c r="DX111" s="290"/>
      <c r="DY111" s="290"/>
      <c r="DZ111" s="290"/>
      <c r="EA111" s="290"/>
      <c r="EB111" s="290"/>
      <c r="EC111" s="290"/>
      <c r="ED111" s="290"/>
      <c r="EE111" s="290"/>
      <c r="EF111" s="290"/>
      <c r="EG111" s="290"/>
      <c r="EH111" s="290"/>
      <c r="EI111" s="290"/>
      <c r="EJ111" s="290"/>
      <c r="EK111" s="290"/>
      <c r="EL111" s="290"/>
      <c r="EM111" s="290"/>
      <c r="EN111" s="290"/>
      <c r="EO111" s="290"/>
      <c r="EP111" s="290"/>
      <c r="EQ111" s="290"/>
      <c r="ER111" s="290"/>
      <c r="ES111" s="290"/>
      <c r="ET111" s="291"/>
      <c r="EU111" s="298">
        <f>AY129+CU129+EQ129+GM129+II129</f>
        <v>39</v>
      </c>
      <c r="EV111" s="299"/>
      <c r="EW111" s="299"/>
      <c r="EX111" s="299"/>
      <c r="EY111" s="299"/>
      <c r="EZ111" s="299"/>
      <c r="FA111" s="299"/>
      <c r="FB111" s="300"/>
      <c r="HF111" s="288"/>
      <c r="HG111" s="288"/>
      <c r="HH111" s="288"/>
      <c r="HI111" s="288"/>
      <c r="HJ111" s="288"/>
      <c r="HK111" s="288"/>
      <c r="HL111" s="288"/>
      <c r="HM111" s="288"/>
      <c r="HN111" s="288"/>
      <c r="HO111" s="288"/>
      <c r="HP111" s="288"/>
      <c r="HQ111" s="288"/>
      <c r="HR111" s="288"/>
      <c r="HS111" s="288"/>
      <c r="HT111" s="288"/>
      <c r="HU111" s="288"/>
      <c r="HV111" s="288"/>
      <c r="HW111" s="288"/>
      <c r="HX111" s="288"/>
      <c r="HY111" s="288"/>
      <c r="HZ111" s="288"/>
      <c r="IA111" s="288"/>
      <c r="IB111" s="288"/>
      <c r="IC111" s="288"/>
      <c r="ID111" s="288"/>
      <c r="IE111" s="288"/>
      <c r="IF111" s="288"/>
      <c r="IG111" s="288"/>
      <c r="IH111" s="288"/>
      <c r="II111" s="288"/>
      <c r="IJ111" s="288"/>
      <c r="IK111" s="288"/>
      <c r="IL111" s="288"/>
      <c r="IM111" s="288"/>
      <c r="IN111" s="288"/>
      <c r="IO111" s="288"/>
      <c r="IP111" s="288"/>
      <c r="IQ111" s="288"/>
      <c r="IR111" s="288"/>
      <c r="IS111" s="288"/>
      <c r="IT111" s="288"/>
      <c r="IU111" s="288"/>
      <c r="IV111" s="288"/>
      <c r="IW111" s="288"/>
      <c r="IX111" s="288"/>
      <c r="JK111" s="250"/>
      <c r="JL111" s="251"/>
      <c r="JM111" s="251"/>
      <c r="JN111" s="251"/>
      <c r="JO111" s="251"/>
      <c r="JP111" s="251"/>
      <c r="JQ111" s="251"/>
      <c r="JR111" s="251"/>
      <c r="JS111" s="251"/>
      <c r="JT111" s="251"/>
      <c r="JU111" s="251"/>
      <c r="JV111" s="251"/>
      <c r="JW111" s="251"/>
      <c r="JX111" s="251"/>
      <c r="JY111" s="251"/>
      <c r="JZ111" s="251"/>
      <c r="KA111" s="251"/>
      <c r="KB111" s="251"/>
      <c r="KC111" s="251"/>
      <c r="KD111" s="251"/>
      <c r="KE111" s="251"/>
      <c r="KF111" s="251"/>
      <c r="KG111" s="251"/>
      <c r="KH111" s="251"/>
      <c r="KI111" s="251"/>
      <c r="KJ111" s="251"/>
      <c r="KK111" s="251"/>
      <c r="KL111" s="251"/>
      <c r="KM111" s="251"/>
      <c r="KN111" s="251"/>
      <c r="KO111" s="251"/>
      <c r="KP111" s="251"/>
      <c r="KQ111" s="251"/>
      <c r="KR111" s="251"/>
      <c r="KS111" s="251"/>
      <c r="KT111" s="251"/>
      <c r="KU111" s="251"/>
      <c r="KV111" s="251"/>
      <c r="KW111" s="251"/>
      <c r="KX111" s="252"/>
      <c r="KY111" s="250"/>
      <c r="KZ111" s="251"/>
      <c r="LA111" s="251"/>
      <c r="LB111" s="251"/>
      <c r="LC111" s="252"/>
      <c r="LM111" s="250"/>
      <c r="LN111" s="251"/>
      <c r="LO111" s="251"/>
      <c r="LP111" s="251"/>
      <c r="LQ111" s="251"/>
      <c r="LR111" s="251"/>
      <c r="LS111" s="251"/>
      <c r="LT111" s="251"/>
      <c r="LU111" s="251"/>
      <c r="LV111" s="251"/>
      <c r="LW111" s="251"/>
      <c r="LX111" s="251"/>
      <c r="LY111" s="251"/>
      <c r="LZ111" s="251"/>
      <c r="MA111" s="251"/>
      <c r="MB111" s="251"/>
      <c r="MC111" s="251"/>
      <c r="MD111" s="251"/>
      <c r="ME111" s="251"/>
      <c r="MF111" s="251"/>
      <c r="MG111" s="251"/>
      <c r="MH111" s="251"/>
      <c r="MI111" s="251"/>
      <c r="MJ111" s="251"/>
      <c r="MK111" s="251"/>
      <c r="ML111" s="251"/>
      <c r="MM111" s="251"/>
      <c r="MN111" s="251"/>
      <c r="MO111" s="251"/>
      <c r="MP111" s="251"/>
      <c r="MQ111" s="251"/>
      <c r="MR111" s="251"/>
      <c r="MS111" s="251"/>
      <c r="MT111" s="251"/>
      <c r="MU111" s="251"/>
      <c r="MV111" s="251"/>
      <c r="MW111" s="251"/>
      <c r="MX111" s="251"/>
      <c r="MY111" s="251"/>
      <c r="MZ111" s="252"/>
      <c r="NA111" s="250"/>
      <c r="NB111" s="251"/>
      <c r="NC111" s="251"/>
      <c r="ND111" s="251"/>
      <c r="NE111" s="252"/>
      <c r="QQ111" s="18"/>
      <c r="QR111" s="19"/>
    </row>
    <row r="112" spans="3:460" ht="5.0999999999999996" customHeight="1" x14ac:dyDescent="0.3">
      <c r="C112" s="15"/>
      <c r="D112" s="16"/>
      <c r="DH112" s="292"/>
      <c r="DI112" s="293"/>
      <c r="DJ112" s="293"/>
      <c r="DK112" s="293"/>
      <c r="DL112" s="293"/>
      <c r="DM112" s="293"/>
      <c r="DN112" s="293"/>
      <c r="DO112" s="293"/>
      <c r="DP112" s="293"/>
      <c r="DQ112" s="293"/>
      <c r="DR112" s="293"/>
      <c r="DS112" s="293"/>
      <c r="DT112" s="293"/>
      <c r="DU112" s="293"/>
      <c r="DV112" s="293"/>
      <c r="DW112" s="293"/>
      <c r="DX112" s="293"/>
      <c r="DY112" s="293"/>
      <c r="DZ112" s="293"/>
      <c r="EA112" s="293"/>
      <c r="EB112" s="293"/>
      <c r="EC112" s="293"/>
      <c r="ED112" s="293"/>
      <c r="EE112" s="293"/>
      <c r="EF112" s="293"/>
      <c r="EG112" s="293"/>
      <c r="EH112" s="293"/>
      <c r="EI112" s="293"/>
      <c r="EJ112" s="293"/>
      <c r="EK112" s="293"/>
      <c r="EL112" s="293"/>
      <c r="EM112" s="293"/>
      <c r="EN112" s="293"/>
      <c r="EO112" s="293"/>
      <c r="EP112" s="293"/>
      <c r="EQ112" s="293"/>
      <c r="ER112" s="293"/>
      <c r="ES112" s="293"/>
      <c r="ET112" s="294"/>
      <c r="EU112" s="301"/>
      <c r="EV112" s="302"/>
      <c r="EW112" s="302"/>
      <c r="EX112" s="302"/>
      <c r="EY112" s="302"/>
      <c r="EZ112" s="302"/>
      <c r="FA112" s="302"/>
      <c r="FB112" s="303"/>
      <c r="HF112" s="288"/>
      <c r="HG112" s="288"/>
      <c r="HH112" s="288"/>
      <c r="HI112" s="288"/>
      <c r="HJ112" s="288"/>
      <c r="HK112" s="288"/>
      <c r="HL112" s="288"/>
      <c r="HM112" s="288"/>
      <c r="HN112" s="288"/>
      <c r="HO112" s="288"/>
      <c r="HP112" s="288"/>
      <c r="HQ112" s="288"/>
      <c r="HR112" s="288"/>
      <c r="HS112" s="288"/>
      <c r="HT112" s="288"/>
      <c r="HU112" s="288"/>
      <c r="HV112" s="288"/>
      <c r="HW112" s="288"/>
      <c r="HX112" s="288"/>
      <c r="HY112" s="288"/>
      <c r="HZ112" s="288"/>
      <c r="IA112" s="288"/>
      <c r="IB112" s="288"/>
      <c r="IC112" s="288"/>
      <c r="ID112" s="288"/>
      <c r="IE112" s="288"/>
      <c r="IF112" s="288"/>
      <c r="IG112" s="288"/>
      <c r="IH112" s="288"/>
      <c r="II112" s="288"/>
      <c r="IJ112" s="288"/>
      <c r="IK112" s="288"/>
      <c r="IL112" s="288"/>
      <c r="IM112" s="288"/>
      <c r="IN112" s="288"/>
      <c r="IO112" s="288"/>
      <c r="IP112" s="288"/>
      <c r="IQ112" s="288"/>
      <c r="IR112" s="288"/>
      <c r="IS112" s="288"/>
      <c r="IT112" s="288"/>
      <c r="IU112" s="288"/>
      <c r="IV112" s="288"/>
      <c r="IW112" s="288"/>
      <c r="IX112" s="288"/>
      <c r="JK112" s="250"/>
      <c r="JL112" s="251"/>
      <c r="JM112" s="251"/>
      <c r="JN112" s="251"/>
      <c r="JO112" s="251"/>
      <c r="JP112" s="251"/>
      <c r="JQ112" s="251"/>
      <c r="JR112" s="251"/>
      <c r="JS112" s="251"/>
      <c r="JT112" s="251"/>
      <c r="JU112" s="251"/>
      <c r="JV112" s="251"/>
      <c r="JW112" s="251"/>
      <c r="JX112" s="251"/>
      <c r="JY112" s="251"/>
      <c r="JZ112" s="251"/>
      <c r="KA112" s="251"/>
      <c r="KB112" s="251"/>
      <c r="KC112" s="251"/>
      <c r="KD112" s="251"/>
      <c r="KE112" s="251"/>
      <c r="KF112" s="251"/>
      <c r="KG112" s="251"/>
      <c r="KH112" s="251"/>
      <c r="KI112" s="251"/>
      <c r="KJ112" s="251"/>
      <c r="KK112" s="251"/>
      <c r="KL112" s="251"/>
      <c r="KM112" s="251"/>
      <c r="KN112" s="251"/>
      <c r="KO112" s="251"/>
      <c r="KP112" s="251"/>
      <c r="KQ112" s="251"/>
      <c r="KR112" s="251"/>
      <c r="KS112" s="251"/>
      <c r="KT112" s="251"/>
      <c r="KU112" s="251"/>
      <c r="KV112" s="251"/>
      <c r="KW112" s="251"/>
      <c r="KX112" s="252"/>
      <c r="KY112" s="250"/>
      <c r="KZ112" s="251"/>
      <c r="LA112" s="251"/>
      <c r="LB112" s="251"/>
      <c r="LC112" s="252"/>
      <c r="LM112" s="250"/>
      <c r="LN112" s="251"/>
      <c r="LO112" s="251"/>
      <c r="LP112" s="251"/>
      <c r="LQ112" s="251"/>
      <c r="LR112" s="251"/>
      <c r="LS112" s="251"/>
      <c r="LT112" s="251"/>
      <c r="LU112" s="251"/>
      <c r="LV112" s="251"/>
      <c r="LW112" s="251"/>
      <c r="LX112" s="251"/>
      <c r="LY112" s="251"/>
      <c r="LZ112" s="251"/>
      <c r="MA112" s="251"/>
      <c r="MB112" s="251"/>
      <c r="MC112" s="251"/>
      <c r="MD112" s="251"/>
      <c r="ME112" s="251"/>
      <c r="MF112" s="251"/>
      <c r="MG112" s="251"/>
      <c r="MH112" s="251"/>
      <c r="MI112" s="251"/>
      <c r="MJ112" s="251"/>
      <c r="MK112" s="251"/>
      <c r="ML112" s="251"/>
      <c r="MM112" s="251"/>
      <c r="MN112" s="251"/>
      <c r="MO112" s="251"/>
      <c r="MP112" s="251"/>
      <c r="MQ112" s="251"/>
      <c r="MR112" s="251"/>
      <c r="MS112" s="251"/>
      <c r="MT112" s="251"/>
      <c r="MU112" s="251"/>
      <c r="MV112" s="251"/>
      <c r="MW112" s="251"/>
      <c r="MX112" s="251"/>
      <c r="MY112" s="251"/>
      <c r="MZ112" s="252"/>
      <c r="NA112" s="250"/>
      <c r="NB112" s="251"/>
      <c r="NC112" s="251"/>
      <c r="ND112" s="251"/>
      <c r="NE112" s="252"/>
      <c r="QQ112" s="18"/>
      <c r="QR112" s="19"/>
    </row>
    <row r="113" spans="3:465" ht="5.0999999999999996" customHeight="1" x14ac:dyDescent="0.3">
      <c r="C113" s="15"/>
      <c r="D113" s="16"/>
      <c r="DH113" s="292"/>
      <c r="DI113" s="293"/>
      <c r="DJ113" s="293"/>
      <c r="DK113" s="293"/>
      <c r="DL113" s="293"/>
      <c r="DM113" s="293"/>
      <c r="DN113" s="293"/>
      <c r="DO113" s="293"/>
      <c r="DP113" s="293"/>
      <c r="DQ113" s="293"/>
      <c r="DR113" s="293"/>
      <c r="DS113" s="293"/>
      <c r="DT113" s="293"/>
      <c r="DU113" s="293"/>
      <c r="DV113" s="293"/>
      <c r="DW113" s="293"/>
      <c r="DX113" s="293"/>
      <c r="DY113" s="293"/>
      <c r="DZ113" s="293"/>
      <c r="EA113" s="293"/>
      <c r="EB113" s="293"/>
      <c r="EC113" s="293"/>
      <c r="ED113" s="293"/>
      <c r="EE113" s="293"/>
      <c r="EF113" s="293"/>
      <c r="EG113" s="293"/>
      <c r="EH113" s="293"/>
      <c r="EI113" s="293"/>
      <c r="EJ113" s="293"/>
      <c r="EK113" s="293"/>
      <c r="EL113" s="293"/>
      <c r="EM113" s="293"/>
      <c r="EN113" s="293"/>
      <c r="EO113" s="293"/>
      <c r="EP113" s="293"/>
      <c r="EQ113" s="293"/>
      <c r="ER113" s="293"/>
      <c r="ES113" s="293"/>
      <c r="ET113" s="294"/>
      <c r="EU113" s="301"/>
      <c r="EV113" s="302"/>
      <c r="EW113" s="302"/>
      <c r="EX113" s="302"/>
      <c r="EY113" s="302"/>
      <c r="EZ113" s="302"/>
      <c r="FA113" s="302"/>
      <c r="FB113" s="303"/>
      <c r="HF113" s="288"/>
      <c r="HG113" s="288"/>
      <c r="HH113" s="288"/>
      <c r="HI113" s="288"/>
      <c r="HJ113" s="288"/>
      <c r="HK113" s="288"/>
      <c r="HL113" s="288"/>
      <c r="HM113" s="288"/>
      <c r="HN113" s="288"/>
      <c r="HO113" s="288"/>
      <c r="HP113" s="288"/>
      <c r="HQ113" s="288"/>
      <c r="HR113" s="288"/>
      <c r="HS113" s="288"/>
      <c r="HT113" s="288"/>
      <c r="HU113" s="288"/>
      <c r="HV113" s="288"/>
      <c r="HW113" s="288"/>
      <c r="HX113" s="288"/>
      <c r="HY113" s="288"/>
      <c r="HZ113" s="288"/>
      <c r="IA113" s="288"/>
      <c r="IB113" s="288"/>
      <c r="IC113" s="288"/>
      <c r="ID113" s="288"/>
      <c r="IE113" s="288"/>
      <c r="IF113" s="288"/>
      <c r="IG113" s="288"/>
      <c r="IH113" s="288"/>
      <c r="II113" s="288"/>
      <c r="IJ113" s="288"/>
      <c r="IK113" s="288"/>
      <c r="IL113" s="288"/>
      <c r="IM113" s="288"/>
      <c r="IN113" s="288"/>
      <c r="IO113" s="288"/>
      <c r="IP113" s="288"/>
      <c r="IQ113" s="288"/>
      <c r="IR113" s="288"/>
      <c r="IS113" s="288"/>
      <c r="IT113" s="288"/>
      <c r="IU113" s="288"/>
      <c r="IV113" s="288"/>
      <c r="IW113" s="288"/>
      <c r="IX113" s="288"/>
      <c r="JK113" s="250"/>
      <c r="JL113" s="251"/>
      <c r="JM113" s="251"/>
      <c r="JN113" s="251"/>
      <c r="JO113" s="251"/>
      <c r="JP113" s="251"/>
      <c r="JQ113" s="251"/>
      <c r="JR113" s="251"/>
      <c r="JS113" s="251"/>
      <c r="JT113" s="251"/>
      <c r="JU113" s="251"/>
      <c r="JV113" s="251"/>
      <c r="JW113" s="251"/>
      <c r="JX113" s="251"/>
      <c r="JY113" s="251"/>
      <c r="JZ113" s="251"/>
      <c r="KA113" s="251"/>
      <c r="KB113" s="251"/>
      <c r="KC113" s="251"/>
      <c r="KD113" s="251"/>
      <c r="KE113" s="251"/>
      <c r="KF113" s="251"/>
      <c r="KG113" s="251"/>
      <c r="KH113" s="251"/>
      <c r="KI113" s="251"/>
      <c r="KJ113" s="251"/>
      <c r="KK113" s="251"/>
      <c r="KL113" s="251"/>
      <c r="KM113" s="251"/>
      <c r="KN113" s="251"/>
      <c r="KO113" s="251"/>
      <c r="KP113" s="251"/>
      <c r="KQ113" s="251"/>
      <c r="KR113" s="251"/>
      <c r="KS113" s="251"/>
      <c r="KT113" s="251"/>
      <c r="KU113" s="251"/>
      <c r="KV113" s="251"/>
      <c r="KW113" s="251"/>
      <c r="KX113" s="252"/>
      <c r="KY113" s="250"/>
      <c r="KZ113" s="251"/>
      <c r="LA113" s="251"/>
      <c r="LB113" s="251"/>
      <c r="LC113" s="252"/>
      <c r="LM113" s="250"/>
      <c r="LN113" s="251"/>
      <c r="LO113" s="251"/>
      <c r="LP113" s="251"/>
      <c r="LQ113" s="251"/>
      <c r="LR113" s="251"/>
      <c r="LS113" s="251"/>
      <c r="LT113" s="251"/>
      <c r="LU113" s="251"/>
      <c r="LV113" s="251"/>
      <c r="LW113" s="251"/>
      <c r="LX113" s="251"/>
      <c r="LY113" s="251"/>
      <c r="LZ113" s="251"/>
      <c r="MA113" s="251"/>
      <c r="MB113" s="251"/>
      <c r="MC113" s="251"/>
      <c r="MD113" s="251"/>
      <c r="ME113" s="251"/>
      <c r="MF113" s="251"/>
      <c r="MG113" s="251"/>
      <c r="MH113" s="251"/>
      <c r="MI113" s="251"/>
      <c r="MJ113" s="251"/>
      <c r="MK113" s="251"/>
      <c r="ML113" s="251"/>
      <c r="MM113" s="251"/>
      <c r="MN113" s="251"/>
      <c r="MO113" s="251"/>
      <c r="MP113" s="251"/>
      <c r="MQ113" s="251"/>
      <c r="MR113" s="251"/>
      <c r="MS113" s="251"/>
      <c r="MT113" s="251"/>
      <c r="MU113" s="251"/>
      <c r="MV113" s="251"/>
      <c r="MW113" s="251"/>
      <c r="MX113" s="251"/>
      <c r="MY113" s="251"/>
      <c r="MZ113" s="252"/>
      <c r="NA113" s="250"/>
      <c r="NB113" s="251"/>
      <c r="NC113" s="251"/>
      <c r="ND113" s="251"/>
      <c r="NE113" s="252"/>
      <c r="QQ113" s="18"/>
      <c r="QR113" s="19"/>
    </row>
    <row r="114" spans="3:465" ht="5.0999999999999996" customHeight="1" x14ac:dyDescent="0.3">
      <c r="C114" s="15"/>
      <c r="D114" s="16"/>
      <c r="DH114" s="292"/>
      <c r="DI114" s="293"/>
      <c r="DJ114" s="293"/>
      <c r="DK114" s="293"/>
      <c r="DL114" s="293"/>
      <c r="DM114" s="293"/>
      <c r="DN114" s="293"/>
      <c r="DO114" s="293"/>
      <c r="DP114" s="293"/>
      <c r="DQ114" s="293"/>
      <c r="DR114" s="293"/>
      <c r="DS114" s="293"/>
      <c r="DT114" s="293"/>
      <c r="DU114" s="293"/>
      <c r="DV114" s="293"/>
      <c r="DW114" s="293"/>
      <c r="DX114" s="293"/>
      <c r="DY114" s="293"/>
      <c r="DZ114" s="293"/>
      <c r="EA114" s="293"/>
      <c r="EB114" s="293"/>
      <c r="EC114" s="293"/>
      <c r="ED114" s="293"/>
      <c r="EE114" s="293"/>
      <c r="EF114" s="293"/>
      <c r="EG114" s="293"/>
      <c r="EH114" s="293"/>
      <c r="EI114" s="293"/>
      <c r="EJ114" s="293"/>
      <c r="EK114" s="293"/>
      <c r="EL114" s="293"/>
      <c r="EM114" s="293"/>
      <c r="EN114" s="293"/>
      <c r="EO114" s="293"/>
      <c r="EP114" s="293"/>
      <c r="EQ114" s="293"/>
      <c r="ER114" s="293"/>
      <c r="ES114" s="293"/>
      <c r="ET114" s="294"/>
      <c r="EU114" s="301"/>
      <c r="EV114" s="302"/>
      <c r="EW114" s="302"/>
      <c r="EX114" s="302"/>
      <c r="EY114" s="302"/>
      <c r="EZ114" s="302"/>
      <c r="FA114" s="302"/>
      <c r="FB114" s="303"/>
      <c r="HF114" s="288"/>
      <c r="HG114" s="288"/>
      <c r="HH114" s="288"/>
      <c r="HI114" s="288"/>
      <c r="HJ114" s="288"/>
      <c r="HK114" s="288"/>
      <c r="HL114" s="288"/>
      <c r="HM114" s="288"/>
      <c r="HN114" s="288"/>
      <c r="HO114" s="288"/>
      <c r="HP114" s="288"/>
      <c r="HQ114" s="288"/>
      <c r="HR114" s="288"/>
      <c r="HS114" s="288"/>
      <c r="HT114" s="288"/>
      <c r="HU114" s="288"/>
      <c r="HV114" s="288"/>
      <c r="HW114" s="288"/>
      <c r="HX114" s="288"/>
      <c r="HY114" s="288"/>
      <c r="HZ114" s="288"/>
      <c r="IA114" s="288"/>
      <c r="IB114" s="288"/>
      <c r="IC114" s="288"/>
      <c r="ID114" s="288"/>
      <c r="IE114" s="288"/>
      <c r="IF114" s="288"/>
      <c r="IG114" s="288"/>
      <c r="IH114" s="288"/>
      <c r="II114" s="288"/>
      <c r="IJ114" s="288"/>
      <c r="IK114" s="288"/>
      <c r="IL114" s="288"/>
      <c r="IM114" s="288"/>
      <c r="IN114" s="288"/>
      <c r="IO114" s="288"/>
      <c r="IP114" s="288"/>
      <c r="IQ114" s="288"/>
      <c r="IR114" s="288"/>
      <c r="IS114" s="288"/>
      <c r="IT114" s="288"/>
      <c r="IU114" s="288"/>
      <c r="IV114" s="288"/>
      <c r="IW114" s="288"/>
      <c r="IX114" s="288"/>
      <c r="JK114" s="253"/>
      <c r="JL114" s="254"/>
      <c r="JM114" s="254"/>
      <c r="JN114" s="254"/>
      <c r="JO114" s="254"/>
      <c r="JP114" s="254"/>
      <c r="JQ114" s="254"/>
      <c r="JR114" s="254"/>
      <c r="JS114" s="254"/>
      <c r="JT114" s="254"/>
      <c r="JU114" s="254"/>
      <c r="JV114" s="254"/>
      <c r="JW114" s="254"/>
      <c r="JX114" s="254"/>
      <c r="JY114" s="254"/>
      <c r="JZ114" s="254"/>
      <c r="KA114" s="254"/>
      <c r="KB114" s="254"/>
      <c r="KC114" s="254"/>
      <c r="KD114" s="254"/>
      <c r="KE114" s="254"/>
      <c r="KF114" s="254"/>
      <c r="KG114" s="254"/>
      <c r="KH114" s="254"/>
      <c r="KI114" s="254"/>
      <c r="KJ114" s="254"/>
      <c r="KK114" s="254"/>
      <c r="KL114" s="254"/>
      <c r="KM114" s="254"/>
      <c r="KN114" s="254"/>
      <c r="KO114" s="254"/>
      <c r="KP114" s="254"/>
      <c r="KQ114" s="254"/>
      <c r="KR114" s="254"/>
      <c r="KS114" s="254"/>
      <c r="KT114" s="254"/>
      <c r="KU114" s="254"/>
      <c r="KV114" s="254"/>
      <c r="KW114" s="254"/>
      <c r="KX114" s="255"/>
      <c r="KY114" s="253"/>
      <c r="KZ114" s="254"/>
      <c r="LA114" s="254"/>
      <c r="LB114" s="254"/>
      <c r="LC114" s="255"/>
      <c r="LM114" s="253"/>
      <c r="LN114" s="254"/>
      <c r="LO114" s="254"/>
      <c r="LP114" s="254"/>
      <c r="LQ114" s="254"/>
      <c r="LR114" s="254"/>
      <c r="LS114" s="254"/>
      <c r="LT114" s="254"/>
      <c r="LU114" s="254"/>
      <c r="LV114" s="254"/>
      <c r="LW114" s="254"/>
      <c r="LX114" s="254"/>
      <c r="LY114" s="254"/>
      <c r="LZ114" s="254"/>
      <c r="MA114" s="254"/>
      <c r="MB114" s="254"/>
      <c r="MC114" s="254"/>
      <c r="MD114" s="254"/>
      <c r="ME114" s="254"/>
      <c r="MF114" s="254"/>
      <c r="MG114" s="254"/>
      <c r="MH114" s="254"/>
      <c r="MI114" s="254"/>
      <c r="MJ114" s="254"/>
      <c r="MK114" s="254"/>
      <c r="ML114" s="254"/>
      <c r="MM114" s="254"/>
      <c r="MN114" s="254"/>
      <c r="MO114" s="254"/>
      <c r="MP114" s="254"/>
      <c r="MQ114" s="254"/>
      <c r="MR114" s="254"/>
      <c r="MS114" s="254"/>
      <c r="MT114" s="254"/>
      <c r="MU114" s="254"/>
      <c r="MV114" s="254"/>
      <c r="MW114" s="254"/>
      <c r="MX114" s="254"/>
      <c r="MY114" s="254"/>
      <c r="MZ114" s="255"/>
      <c r="NA114" s="253"/>
      <c r="NB114" s="254"/>
      <c r="NC114" s="254"/>
      <c r="ND114" s="254"/>
      <c r="NE114" s="255"/>
      <c r="QQ114" s="18"/>
      <c r="QR114" s="19"/>
    </row>
    <row r="115" spans="3:465" ht="5.0999999999999996" customHeight="1" x14ac:dyDescent="0.3">
      <c r="C115" s="15"/>
      <c r="D115" s="16"/>
      <c r="DH115" s="292"/>
      <c r="DI115" s="293"/>
      <c r="DJ115" s="293"/>
      <c r="DK115" s="293"/>
      <c r="DL115" s="293"/>
      <c r="DM115" s="293"/>
      <c r="DN115" s="293"/>
      <c r="DO115" s="293"/>
      <c r="DP115" s="293"/>
      <c r="DQ115" s="293"/>
      <c r="DR115" s="293"/>
      <c r="DS115" s="293"/>
      <c r="DT115" s="293"/>
      <c r="DU115" s="293"/>
      <c r="DV115" s="293"/>
      <c r="DW115" s="293"/>
      <c r="DX115" s="293"/>
      <c r="DY115" s="293"/>
      <c r="DZ115" s="293"/>
      <c r="EA115" s="293"/>
      <c r="EB115" s="293"/>
      <c r="EC115" s="293"/>
      <c r="ED115" s="293"/>
      <c r="EE115" s="293"/>
      <c r="EF115" s="293"/>
      <c r="EG115" s="293"/>
      <c r="EH115" s="293"/>
      <c r="EI115" s="293"/>
      <c r="EJ115" s="293"/>
      <c r="EK115" s="293"/>
      <c r="EL115" s="293"/>
      <c r="EM115" s="293"/>
      <c r="EN115" s="293"/>
      <c r="EO115" s="293"/>
      <c r="EP115" s="293"/>
      <c r="EQ115" s="293"/>
      <c r="ER115" s="293"/>
      <c r="ES115" s="293"/>
      <c r="ET115" s="294"/>
      <c r="EU115" s="301"/>
      <c r="EV115" s="302"/>
      <c r="EW115" s="302"/>
      <c r="EX115" s="302"/>
      <c r="EY115" s="302"/>
      <c r="EZ115" s="302"/>
      <c r="FA115" s="302"/>
      <c r="FB115" s="303"/>
      <c r="HF115" s="288"/>
      <c r="HG115" s="288"/>
      <c r="HH115" s="288"/>
      <c r="HI115" s="288"/>
      <c r="HJ115" s="288"/>
      <c r="HK115" s="288"/>
      <c r="HL115" s="288"/>
      <c r="HM115" s="288"/>
      <c r="HN115" s="288"/>
      <c r="HO115" s="288"/>
      <c r="HP115" s="288"/>
      <c r="HQ115" s="288"/>
      <c r="HR115" s="288"/>
      <c r="HS115" s="288"/>
      <c r="HT115" s="288"/>
      <c r="HU115" s="288"/>
      <c r="HV115" s="288"/>
      <c r="HW115" s="288"/>
      <c r="HX115" s="288"/>
      <c r="HY115" s="288"/>
      <c r="HZ115" s="288"/>
      <c r="IA115" s="288"/>
      <c r="IB115" s="288"/>
      <c r="IC115" s="288"/>
      <c r="ID115" s="288"/>
      <c r="IE115" s="288"/>
      <c r="IF115" s="288"/>
      <c r="IG115" s="288"/>
      <c r="IH115" s="288"/>
      <c r="II115" s="288"/>
      <c r="IJ115" s="288"/>
      <c r="IK115" s="288"/>
      <c r="IL115" s="288"/>
      <c r="IM115" s="288"/>
      <c r="IN115" s="288"/>
      <c r="IO115" s="288"/>
      <c r="IP115" s="288"/>
      <c r="IQ115" s="288"/>
      <c r="IR115" s="288"/>
      <c r="IS115" s="288"/>
      <c r="IT115" s="288"/>
      <c r="IU115" s="288"/>
      <c r="IV115" s="288"/>
      <c r="IW115" s="288"/>
      <c r="IX115" s="288"/>
      <c r="JK115" s="247" t="s">
        <v>33</v>
      </c>
      <c r="JL115" s="248"/>
      <c r="JM115" s="248"/>
      <c r="JN115" s="248"/>
      <c r="JO115" s="248"/>
      <c r="JP115" s="248"/>
      <c r="JQ115" s="248"/>
      <c r="JR115" s="248"/>
      <c r="JS115" s="248"/>
      <c r="JT115" s="248"/>
      <c r="JU115" s="248"/>
      <c r="JV115" s="248"/>
      <c r="JW115" s="248"/>
      <c r="JX115" s="248"/>
      <c r="JY115" s="248"/>
      <c r="JZ115" s="248"/>
      <c r="KA115" s="248"/>
      <c r="KB115" s="248"/>
      <c r="KC115" s="248"/>
      <c r="KD115" s="248"/>
      <c r="KE115" s="248"/>
      <c r="KF115" s="248"/>
      <c r="KG115" s="248"/>
      <c r="KH115" s="248"/>
      <c r="KI115" s="248"/>
      <c r="KJ115" s="248"/>
      <c r="KK115" s="248"/>
      <c r="KL115" s="248"/>
      <c r="KM115" s="248"/>
      <c r="KN115" s="248"/>
      <c r="KO115" s="248"/>
      <c r="KP115" s="248"/>
      <c r="KQ115" s="248"/>
      <c r="KR115" s="248"/>
      <c r="KS115" s="248"/>
      <c r="KT115" s="248"/>
      <c r="KU115" s="248"/>
      <c r="KV115" s="248"/>
      <c r="KW115" s="248"/>
      <c r="KX115" s="249"/>
      <c r="KY115" s="247">
        <v>3</v>
      </c>
      <c r="KZ115" s="248"/>
      <c r="LA115" s="248"/>
      <c r="LB115" s="248"/>
      <c r="LC115" s="249"/>
      <c r="LM115" s="247" t="s">
        <v>34</v>
      </c>
      <c r="LN115" s="248"/>
      <c r="LO115" s="248"/>
      <c r="LP115" s="248"/>
      <c r="LQ115" s="248"/>
      <c r="LR115" s="248"/>
      <c r="LS115" s="248"/>
      <c r="LT115" s="248"/>
      <c r="LU115" s="248"/>
      <c r="LV115" s="248"/>
      <c r="LW115" s="248"/>
      <c r="LX115" s="248"/>
      <c r="LY115" s="248"/>
      <c r="LZ115" s="248"/>
      <c r="MA115" s="248"/>
      <c r="MB115" s="248"/>
      <c r="MC115" s="248"/>
      <c r="MD115" s="248"/>
      <c r="ME115" s="248"/>
      <c r="MF115" s="248"/>
      <c r="MG115" s="248"/>
      <c r="MH115" s="248"/>
      <c r="MI115" s="248"/>
      <c r="MJ115" s="248"/>
      <c r="MK115" s="248"/>
      <c r="ML115" s="248"/>
      <c r="MM115" s="248"/>
      <c r="MN115" s="248"/>
      <c r="MO115" s="248"/>
      <c r="MP115" s="248"/>
      <c r="MQ115" s="248"/>
      <c r="MR115" s="248"/>
      <c r="MS115" s="248"/>
      <c r="MT115" s="248"/>
      <c r="MU115" s="248"/>
      <c r="MV115" s="248"/>
      <c r="MW115" s="248"/>
      <c r="MX115" s="248"/>
      <c r="MY115" s="248"/>
      <c r="MZ115" s="249"/>
      <c r="NA115" s="247">
        <v>1</v>
      </c>
      <c r="NB115" s="248"/>
      <c r="NC115" s="248"/>
      <c r="ND115" s="248"/>
      <c r="NE115" s="249"/>
      <c r="QQ115" s="18"/>
      <c r="QR115" s="19"/>
    </row>
    <row r="116" spans="3:465" ht="5.0999999999999996" customHeight="1" x14ac:dyDescent="0.3">
      <c r="C116" s="15"/>
      <c r="D116" s="16"/>
      <c r="DH116" s="292"/>
      <c r="DI116" s="293"/>
      <c r="DJ116" s="293"/>
      <c r="DK116" s="293"/>
      <c r="DL116" s="293"/>
      <c r="DM116" s="293"/>
      <c r="DN116" s="293"/>
      <c r="DO116" s="293"/>
      <c r="DP116" s="293"/>
      <c r="DQ116" s="293"/>
      <c r="DR116" s="293"/>
      <c r="DS116" s="293"/>
      <c r="DT116" s="293"/>
      <c r="DU116" s="293"/>
      <c r="DV116" s="293"/>
      <c r="DW116" s="293"/>
      <c r="DX116" s="293"/>
      <c r="DY116" s="293"/>
      <c r="DZ116" s="293"/>
      <c r="EA116" s="293"/>
      <c r="EB116" s="293"/>
      <c r="EC116" s="293"/>
      <c r="ED116" s="293"/>
      <c r="EE116" s="293"/>
      <c r="EF116" s="293"/>
      <c r="EG116" s="293"/>
      <c r="EH116" s="293"/>
      <c r="EI116" s="293"/>
      <c r="EJ116" s="293"/>
      <c r="EK116" s="293"/>
      <c r="EL116" s="293"/>
      <c r="EM116" s="293"/>
      <c r="EN116" s="293"/>
      <c r="EO116" s="293"/>
      <c r="EP116" s="293"/>
      <c r="EQ116" s="293"/>
      <c r="ER116" s="293"/>
      <c r="ES116" s="293"/>
      <c r="ET116" s="294"/>
      <c r="EU116" s="301"/>
      <c r="EV116" s="302"/>
      <c r="EW116" s="302"/>
      <c r="EX116" s="302"/>
      <c r="EY116" s="302"/>
      <c r="EZ116" s="302"/>
      <c r="FA116" s="302"/>
      <c r="FB116" s="303"/>
      <c r="HF116" s="288"/>
      <c r="HG116" s="288"/>
      <c r="HH116" s="288"/>
      <c r="HI116" s="288"/>
      <c r="HJ116" s="288"/>
      <c r="HK116" s="288"/>
      <c r="HL116" s="288"/>
      <c r="HM116" s="288"/>
      <c r="HN116" s="288"/>
      <c r="HO116" s="288"/>
      <c r="HP116" s="288"/>
      <c r="HQ116" s="288"/>
      <c r="HR116" s="288"/>
      <c r="HS116" s="288"/>
      <c r="HT116" s="288"/>
      <c r="HU116" s="288"/>
      <c r="HV116" s="288"/>
      <c r="HW116" s="288"/>
      <c r="HX116" s="288"/>
      <c r="HY116" s="288"/>
      <c r="HZ116" s="288"/>
      <c r="IA116" s="288"/>
      <c r="IB116" s="288"/>
      <c r="IC116" s="288"/>
      <c r="ID116" s="288"/>
      <c r="IE116" s="288"/>
      <c r="IF116" s="288"/>
      <c r="IG116" s="288"/>
      <c r="IH116" s="288"/>
      <c r="II116" s="288"/>
      <c r="IJ116" s="288"/>
      <c r="IK116" s="288"/>
      <c r="IL116" s="288"/>
      <c r="IM116" s="288"/>
      <c r="IN116" s="288"/>
      <c r="IO116" s="288"/>
      <c r="IP116" s="288"/>
      <c r="IQ116" s="288"/>
      <c r="IR116" s="288"/>
      <c r="IS116" s="288"/>
      <c r="IT116" s="288"/>
      <c r="IU116" s="288"/>
      <c r="IV116" s="288"/>
      <c r="IW116" s="288"/>
      <c r="IX116" s="288"/>
      <c r="JK116" s="250"/>
      <c r="JL116" s="251"/>
      <c r="JM116" s="251"/>
      <c r="JN116" s="251"/>
      <c r="JO116" s="251"/>
      <c r="JP116" s="251"/>
      <c r="JQ116" s="251"/>
      <c r="JR116" s="251"/>
      <c r="JS116" s="251"/>
      <c r="JT116" s="251"/>
      <c r="JU116" s="251"/>
      <c r="JV116" s="251"/>
      <c r="JW116" s="251"/>
      <c r="JX116" s="251"/>
      <c r="JY116" s="251"/>
      <c r="JZ116" s="251"/>
      <c r="KA116" s="251"/>
      <c r="KB116" s="251"/>
      <c r="KC116" s="251"/>
      <c r="KD116" s="251"/>
      <c r="KE116" s="251"/>
      <c r="KF116" s="251"/>
      <c r="KG116" s="251"/>
      <c r="KH116" s="251"/>
      <c r="KI116" s="251"/>
      <c r="KJ116" s="251"/>
      <c r="KK116" s="251"/>
      <c r="KL116" s="251"/>
      <c r="KM116" s="251"/>
      <c r="KN116" s="251"/>
      <c r="KO116" s="251"/>
      <c r="KP116" s="251"/>
      <c r="KQ116" s="251"/>
      <c r="KR116" s="251"/>
      <c r="KS116" s="251"/>
      <c r="KT116" s="251"/>
      <c r="KU116" s="251"/>
      <c r="KV116" s="251"/>
      <c r="KW116" s="251"/>
      <c r="KX116" s="252"/>
      <c r="KY116" s="250"/>
      <c r="KZ116" s="251"/>
      <c r="LA116" s="251"/>
      <c r="LB116" s="251"/>
      <c r="LC116" s="252"/>
      <c r="LM116" s="250"/>
      <c r="LN116" s="251"/>
      <c r="LO116" s="251"/>
      <c r="LP116" s="251"/>
      <c r="LQ116" s="251"/>
      <c r="LR116" s="251"/>
      <c r="LS116" s="251"/>
      <c r="LT116" s="251"/>
      <c r="LU116" s="251"/>
      <c r="LV116" s="251"/>
      <c r="LW116" s="251"/>
      <c r="LX116" s="251"/>
      <c r="LY116" s="251"/>
      <c r="LZ116" s="251"/>
      <c r="MA116" s="251"/>
      <c r="MB116" s="251"/>
      <c r="MC116" s="251"/>
      <c r="MD116" s="251"/>
      <c r="ME116" s="251"/>
      <c r="MF116" s="251"/>
      <c r="MG116" s="251"/>
      <c r="MH116" s="251"/>
      <c r="MI116" s="251"/>
      <c r="MJ116" s="251"/>
      <c r="MK116" s="251"/>
      <c r="ML116" s="251"/>
      <c r="MM116" s="251"/>
      <c r="MN116" s="251"/>
      <c r="MO116" s="251"/>
      <c r="MP116" s="251"/>
      <c r="MQ116" s="251"/>
      <c r="MR116" s="251"/>
      <c r="MS116" s="251"/>
      <c r="MT116" s="251"/>
      <c r="MU116" s="251"/>
      <c r="MV116" s="251"/>
      <c r="MW116" s="251"/>
      <c r="MX116" s="251"/>
      <c r="MY116" s="251"/>
      <c r="MZ116" s="252"/>
      <c r="NA116" s="250"/>
      <c r="NB116" s="251"/>
      <c r="NC116" s="251"/>
      <c r="ND116" s="251"/>
      <c r="NE116" s="252"/>
      <c r="QQ116" s="18"/>
      <c r="QR116" s="19"/>
    </row>
    <row r="117" spans="3:465" ht="5.0999999999999996" customHeight="1" x14ac:dyDescent="0.3">
      <c r="C117" s="15"/>
      <c r="D117" s="16"/>
      <c r="DH117" s="292"/>
      <c r="DI117" s="293"/>
      <c r="DJ117" s="293"/>
      <c r="DK117" s="293"/>
      <c r="DL117" s="293"/>
      <c r="DM117" s="293"/>
      <c r="DN117" s="293"/>
      <c r="DO117" s="293"/>
      <c r="DP117" s="293"/>
      <c r="DQ117" s="293"/>
      <c r="DR117" s="293"/>
      <c r="DS117" s="293"/>
      <c r="DT117" s="293"/>
      <c r="DU117" s="293"/>
      <c r="DV117" s="293"/>
      <c r="DW117" s="293"/>
      <c r="DX117" s="293"/>
      <c r="DY117" s="293"/>
      <c r="DZ117" s="293"/>
      <c r="EA117" s="293"/>
      <c r="EB117" s="293"/>
      <c r="EC117" s="293"/>
      <c r="ED117" s="293"/>
      <c r="EE117" s="293"/>
      <c r="EF117" s="293"/>
      <c r="EG117" s="293"/>
      <c r="EH117" s="293"/>
      <c r="EI117" s="293"/>
      <c r="EJ117" s="293"/>
      <c r="EK117" s="293"/>
      <c r="EL117" s="293"/>
      <c r="EM117" s="293"/>
      <c r="EN117" s="293"/>
      <c r="EO117" s="293"/>
      <c r="EP117" s="293"/>
      <c r="EQ117" s="293"/>
      <c r="ER117" s="293"/>
      <c r="ES117" s="293"/>
      <c r="ET117" s="294"/>
      <c r="EU117" s="301"/>
      <c r="EV117" s="302"/>
      <c r="EW117" s="302"/>
      <c r="EX117" s="302"/>
      <c r="EY117" s="302"/>
      <c r="EZ117" s="302"/>
      <c r="FA117" s="302"/>
      <c r="FB117" s="303"/>
      <c r="HF117" s="288"/>
      <c r="HG117" s="288"/>
      <c r="HH117" s="288"/>
      <c r="HI117" s="288"/>
      <c r="HJ117" s="288"/>
      <c r="HK117" s="288"/>
      <c r="HL117" s="288"/>
      <c r="HM117" s="288"/>
      <c r="HN117" s="288"/>
      <c r="HO117" s="288"/>
      <c r="HP117" s="288"/>
      <c r="HQ117" s="288"/>
      <c r="HR117" s="288"/>
      <c r="HS117" s="288"/>
      <c r="HT117" s="288"/>
      <c r="HU117" s="288"/>
      <c r="HV117" s="288"/>
      <c r="HW117" s="288"/>
      <c r="HX117" s="288"/>
      <c r="HY117" s="288"/>
      <c r="HZ117" s="288"/>
      <c r="IA117" s="288"/>
      <c r="IB117" s="288"/>
      <c r="IC117" s="288"/>
      <c r="ID117" s="288"/>
      <c r="IE117" s="288"/>
      <c r="IF117" s="288"/>
      <c r="IG117" s="288"/>
      <c r="IH117" s="288"/>
      <c r="II117" s="288"/>
      <c r="IJ117" s="288"/>
      <c r="IK117" s="288"/>
      <c r="IL117" s="288"/>
      <c r="IM117" s="288"/>
      <c r="IN117" s="288"/>
      <c r="IO117" s="288"/>
      <c r="IP117" s="288"/>
      <c r="IQ117" s="288"/>
      <c r="IR117" s="288"/>
      <c r="IS117" s="288"/>
      <c r="IT117" s="288"/>
      <c r="IU117" s="288"/>
      <c r="IV117" s="288"/>
      <c r="IW117" s="288"/>
      <c r="IX117" s="288"/>
      <c r="JK117" s="250"/>
      <c r="JL117" s="251"/>
      <c r="JM117" s="251"/>
      <c r="JN117" s="251"/>
      <c r="JO117" s="251"/>
      <c r="JP117" s="251"/>
      <c r="JQ117" s="251"/>
      <c r="JR117" s="251"/>
      <c r="JS117" s="251"/>
      <c r="JT117" s="251"/>
      <c r="JU117" s="251"/>
      <c r="JV117" s="251"/>
      <c r="JW117" s="251"/>
      <c r="JX117" s="251"/>
      <c r="JY117" s="251"/>
      <c r="JZ117" s="251"/>
      <c r="KA117" s="251"/>
      <c r="KB117" s="251"/>
      <c r="KC117" s="251"/>
      <c r="KD117" s="251"/>
      <c r="KE117" s="251"/>
      <c r="KF117" s="251"/>
      <c r="KG117" s="251"/>
      <c r="KH117" s="251"/>
      <c r="KI117" s="251"/>
      <c r="KJ117" s="251"/>
      <c r="KK117" s="251"/>
      <c r="KL117" s="251"/>
      <c r="KM117" s="251"/>
      <c r="KN117" s="251"/>
      <c r="KO117" s="251"/>
      <c r="KP117" s="251"/>
      <c r="KQ117" s="251"/>
      <c r="KR117" s="251"/>
      <c r="KS117" s="251"/>
      <c r="KT117" s="251"/>
      <c r="KU117" s="251"/>
      <c r="KV117" s="251"/>
      <c r="KW117" s="251"/>
      <c r="KX117" s="252"/>
      <c r="KY117" s="250"/>
      <c r="KZ117" s="251"/>
      <c r="LA117" s="251"/>
      <c r="LB117" s="251"/>
      <c r="LC117" s="252"/>
      <c r="LM117" s="250"/>
      <c r="LN117" s="251"/>
      <c r="LO117" s="251"/>
      <c r="LP117" s="251"/>
      <c r="LQ117" s="251"/>
      <c r="LR117" s="251"/>
      <c r="LS117" s="251"/>
      <c r="LT117" s="251"/>
      <c r="LU117" s="251"/>
      <c r="LV117" s="251"/>
      <c r="LW117" s="251"/>
      <c r="LX117" s="251"/>
      <c r="LY117" s="251"/>
      <c r="LZ117" s="251"/>
      <c r="MA117" s="251"/>
      <c r="MB117" s="251"/>
      <c r="MC117" s="251"/>
      <c r="MD117" s="251"/>
      <c r="ME117" s="251"/>
      <c r="MF117" s="251"/>
      <c r="MG117" s="251"/>
      <c r="MH117" s="251"/>
      <c r="MI117" s="251"/>
      <c r="MJ117" s="251"/>
      <c r="MK117" s="251"/>
      <c r="ML117" s="251"/>
      <c r="MM117" s="251"/>
      <c r="MN117" s="251"/>
      <c r="MO117" s="251"/>
      <c r="MP117" s="251"/>
      <c r="MQ117" s="251"/>
      <c r="MR117" s="251"/>
      <c r="MS117" s="251"/>
      <c r="MT117" s="251"/>
      <c r="MU117" s="251"/>
      <c r="MV117" s="251"/>
      <c r="MW117" s="251"/>
      <c r="MX117" s="251"/>
      <c r="MY117" s="251"/>
      <c r="MZ117" s="252"/>
      <c r="NA117" s="250"/>
      <c r="NB117" s="251"/>
      <c r="NC117" s="251"/>
      <c r="ND117" s="251"/>
      <c r="NE117" s="252"/>
      <c r="QQ117" s="18"/>
      <c r="QR117" s="19"/>
    </row>
    <row r="118" spans="3:465" ht="5.0999999999999996" customHeight="1" x14ac:dyDescent="0.3">
      <c r="C118" s="15"/>
      <c r="D118" s="16"/>
      <c r="DH118" s="292"/>
      <c r="DI118" s="293"/>
      <c r="DJ118" s="293"/>
      <c r="DK118" s="293"/>
      <c r="DL118" s="293"/>
      <c r="DM118" s="293"/>
      <c r="DN118" s="293"/>
      <c r="DO118" s="293"/>
      <c r="DP118" s="293"/>
      <c r="DQ118" s="293"/>
      <c r="DR118" s="293"/>
      <c r="DS118" s="293"/>
      <c r="DT118" s="293"/>
      <c r="DU118" s="293"/>
      <c r="DV118" s="293"/>
      <c r="DW118" s="293"/>
      <c r="DX118" s="293"/>
      <c r="DY118" s="293"/>
      <c r="DZ118" s="293"/>
      <c r="EA118" s="293"/>
      <c r="EB118" s="293"/>
      <c r="EC118" s="293"/>
      <c r="ED118" s="293"/>
      <c r="EE118" s="293"/>
      <c r="EF118" s="293"/>
      <c r="EG118" s="293"/>
      <c r="EH118" s="293"/>
      <c r="EI118" s="293"/>
      <c r="EJ118" s="293"/>
      <c r="EK118" s="293"/>
      <c r="EL118" s="293"/>
      <c r="EM118" s="293"/>
      <c r="EN118" s="293"/>
      <c r="EO118" s="293"/>
      <c r="EP118" s="293"/>
      <c r="EQ118" s="293"/>
      <c r="ER118" s="293"/>
      <c r="ES118" s="293"/>
      <c r="ET118" s="294"/>
      <c r="EU118" s="301"/>
      <c r="EV118" s="302"/>
      <c r="EW118" s="302"/>
      <c r="EX118" s="302"/>
      <c r="EY118" s="302"/>
      <c r="EZ118" s="302"/>
      <c r="FA118" s="302"/>
      <c r="FB118" s="303"/>
      <c r="JK118" s="250"/>
      <c r="JL118" s="251"/>
      <c r="JM118" s="251"/>
      <c r="JN118" s="251"/>
      <c r="JO118" s="251"/>
      <c r="JP118" s="251"/>
      <c r="JQ118" s="251"/>
      <c r="JR118" s="251"/>
      <c r="JS118" s="251"/>
      <c r="JT118" s="251"/>
      <c r="JU118" s="251"/>
      <c r="JV118" s="251"/>
      <c r="JW118" s="251"/>
      <c r="JX118" s="251"/>
      <c r="JY118" s="251"/>
      <c r="JZ118" s="251"/>
      <c r="KA118" s="251"/>
      <c r="KB118" s="251"/>
      <c r="KC118" s="251"/>
      <c r="KD118" s="251"/>
      <c r="KE118" s="251"/>
      <c r="KF118" s="251"/>
      <c r="KG118" s="251"/>
      <c r="KH118" s="251"/>
      <c r="KI118" s="251"/>
      <c r="KJ118" s="251"/>
      <c r="KK118" s="251"/>
      <c r="KL118" s="251"/>
      <c r="KM118" s="251"/>
      <c r="KN118" s="251"/>
      <c r="KO118" s="251"/>
      <c r="KP118" s="251"/>
      <c r="KQ118" s="251"/>
      <c r="KR118" s="251"/>
      <c r="KS118" s="251"/>
      <c r="KT118" s="251"/>
      <c r="KU118" s="251"/>
      <c r="KV118" s="251"/>
      <c r="KW118" s="251"/>
      <c r="KX118" s="252"/>
      <c r="KY118" s="250"/>
      <c r="KZ118" s="251"/>
      <c r="LA118" s="251"/>
      <c r="LB118" s="251"/>
      <c r="LC118" s="252"/>
      <c r="LM118" s="250"/>
      <c r="LN118" s="251"/>
      <c r="LO118" s="251"/>
      <c r="LP118" s="251"/>
      <c r="LQ118" s="251"/>
      <c r="LR118" s="251"/>
      <c r="LS118" s="251"/>
      <c r="LT118" s="251"/>
      <c r="LU118" s="251"/>
      <c r="LV118" s="251"/>
      <c r="LW118" s="251"/>
      <c r="LX118" s="251"/>
      <c r="LY118" s="251"/>
      <c r="LZ118" s="251"/>
      <c r="MA118" s="251"/>
      <c r="MB118" s="251"/>
      <c r="MC118" s="251"/>
      <c r="MD118" s="251"/>
      <c r="ME118" s="251"/>
      <c r="MF118" s="251"/>
      <c r="MG118" s="251"/>
      <c r="MH118" s="251"/>
      <c r="MI118" s="251"/>
      <c r="MJ118" s="251"/>
      <c r="MK118" s="251"/>
      <c r="ML118" s="251"/>
      <c r="MM118" s="251"/>
      <c r="MN118" s="251"/>
      <c r="MO118" s="251"/>
      <c r="MP118" s="251"/>
      <c r="MQ118" s="251"/>
      <c r="MR118" s="251"/>
      <c r="MS118" s="251"/>
      <c r="MT118" s="251"/>
      <c r="MU118" s="251"/>
      <c r="MV118" s="251"/>
      <c r="MW118" s="251"/>
      <c r="MX118" s="251"/>
      <c r="MY118" s="251"/>
      <c r="MZ118" s="252"/>
      <c r="NA118" s="250"/>
      <c r="NB118" s="251"/>
      <c r="NC118" s="251"/>
      <c r="ND118" s="251"/>
      <c r="NE118" s="252"/>
      <c r="QQ118" s="18"/>
      <c r="QR118" s="19"/>
    </row>
    <row r="119" spans="3:465" ht="5.0999999999999996" customHeight="1" x14ac:dyDescent="0.3">
      <c r="C119" s="15"/>
      <c r="D119" s="16"/>
      <c r="DH119" s="292"/>
      <c r="DI119" s="293"/>
      <c r="DJ119" s="293"/>
      <c r="DK119" s="293"/>
      <c r="DL119" s="293"/>
      <c r="DM119" s="293"/>
      <c r="DN119" s="293"/>
      <c r="DO119" s="293"/>
      <c r="DP119" s="293"/>
      <c r="DQ119" s="293"/>
      <c r="DR119" s="293"/>
      <c r="DS119" s="293"/>
      <c r="DT119" s="293"/>
      <c r="DU119" s="293"/>
      <c r="DV119" s="293"/>
      <c r="DW119" s="293"/>
      <c r="DX119" s="293"/>
      <c r="DY119" s="293"/>
      <c r="DZ119" s="293"/>
      <c r="EA119" s="293"/>
      <c r="EB119" s="293"/>
      <c r="EC119" s="293"/>
      <c r="ED119" s="293"/>
      <c r="EE119" s="293"/>
      <c r="EF119" s="293"/>
      <c r="EG119" s="293"/>
      <c r="EH119" s="293"/>
      <c r="EI119" s="293"/>
      <c r="EJ119" s="293"/>
      <c r="EK119" s="293"/>
      <c r="EL119" s="293"/>
      <c r="EM119" s="293"/>
      <c r="EN119" s="293"/>
      <c r="EO119" s="293"/>
      <c r="EP119" s="293"/>
      <c r="EQ119" s="293"/>
      <c r="ER119" s="293"/>
      <c r="ES119" s="293"/>
      <c r="ET119" s="294"/>
      <c r="EU119" s="301"/>
      <c r="EV119" s="302"/>
      <c r="EW119" s="302"/>
      <c r="EX119" s="302"/>
      <c r="EY119" s="302"/>
      <c r="EZ119" s="302"/>
      <c r="FA119" s="302"/>
      <c r="FB119" s="303"/>
      <c r="JK119" s="250"/>
      <c r="JL119" s="251"/>
      <c r="JM119" s="251"/>
      <c r="JN119" s="251"/>
      <c r="JO119" s="251"/>
      <c r="JP119" s="251"/>
      <c r="JQ119" s="251"/>
      <c r="JR119" s="251"/>
      <c r="JS119" s="251"/>
      <c r="JT119" s="251"/>
      <c r="JU119" s="251"/>
      <c r="JV119" s="251"/>
      <c r="JW119" s="251"/>
      <c r="JX119" s="251"/>
      <c r="JY119" s="251"/>
      <c r="JZ119" s="251"/>
      <c r="KA119" s="251"/>
      <c r="KB119" s="251"/>
      <c r="KC119" s="251"/>
      <c r="KD119" s="251"/>
      <c r="KE119" s="251"/>
      <c r="KF119" s="251"/>
      <c r="KG119" s="251"/>
      <c r="KH119" s="251"/>
      <c r="KI119" s="251"/>
      <c r="KJ119" s="251"/>
      <c r="KK119" s="251"/>
      <c r="KL119" s="251"/>
      <c r="KM119" s="251"/>
      <c r="KN119" s="251"/>
      <c r="KO119" s="251"/>
      <c r="KP119" s="251"/>
      <c r="KQ119" s="251"/>
      <c r="KR119" s="251"/>
      <c r="KS119" s="251"/>
      <c r="KT119" s="251"/>
      <c r="KU119" s="251"/>
      <c r="KV119" s="251"/>
      <c r="KW119" s="251"/>
      <c r="KX119" s="252"/>
      <c r="KY119" s="250"/>
      <c r="KZ119" s="251"/>
      <c r="LA119" s="251"/>
      <c r="LB119" s="251"/>
      <c r="LC119" s="252"/>
      <c r="LM119" s="250"/>
      <c r="LN119" s="251"/>
      <c r="LO119" s="251"/>
      <c r="LP119" s="251"/>
      <c r="LQ119" s="251"/>
      <c r="LR119" s="251"/>
      <c r="LS119" s="251"/>
      <c r="LT119" s="251"/>
      <c r="LU119" s="251"/>
      <c r="LV119" s="251"/>
      <c r="LW119" s="251"/>
      <c r="LX119" s="251"/>
      <c r="LY119" s="251"/>
      <c r="LZ119" s="251"/>
      <c r="MA119" s="251"/>
      <c r="MB119" s="251"/>
      <c r="MC119" s="251"/>
      <c r="MD119" s="251"/>
      <c r="ME119" s="251"/>
      <c r="MF119" s="251"/>
      <c r="MG119" s="251"/>
      <c r="MH119" s="251"/>
      <c r="MI119" s="251"/>
      <c r="MJ119" s="251"/>
      <c r="MK119" s="251"/>
      <c r="ML119" s="251"/>
      <c r="MM119" s="251"/>
      <c r="MN119" s="251"/>
      <c r="MO119" s="251"/>
      <c r="MP119" s="251"/>
      <c r="MQ119" s="251"/>
      <c r="MR119" s="251"/>
      <c r="MS119" s="251"/>
      <c r="MT119" s="251"/>
      <c r="MU119" s="251"/>
      <c r="MV119" s="251"/>
      <c r="MW119" s="251"/>
      <c r="MX119" s="251"/>
      <c r="MY119" s="251"/>
      <c r="MZ119" s="252"/>
      <c r="NA119" s="250"/>
      <c r="NB119" s="251"/>
      <c r="NC119" s="251"/>
      <c r="ND119" s="251"/>
      <c r="NE119" s="252"/>
      <c r="QQ119" s="18"/>
      <c r="QR119" s="19"/>
    </row>
    <row r="120" spans="3:465" ht="5.0999999999999996" customHeight="1" x14ac:dyDescent="0.3">
      <c r="C120" s="15"/>
      <c r="D120" s="16"/>
      <c r="DH120" s="295"/>
      <c r="DI120" s="296"/>
      <c r="DJ120" s="296"/>
      <c r="DK120" s="296"/>
      <c r="DL120" s="296"/>
      <c r="DM120" s="296"/>
      <c r="DN120" s="296"/>
      <c r="DO120" s="296"/>
      <c r="DP120" s="296"/>
      <c r="DQ120" s="296"/>
      <c r="DR120" s="296"/>
      <c r="DS120" s="296"/>
      <c r="DT120" s="296"/>
      <c r="DU120" s="296"/>
      <c r="DV120" s="296"/>
      <c r="DW120" s="296"/>
      <c r="DX120" s="296"/>
      <c r="DY120" s="296"/>
      <c r="DZ120" s="296"/>
      <c r="EA120" s="296"/>
      <c r="EB120" s="296"/>
      <c r="EC120" s="296"/>
      <c r="ED120" s="296"/>
      <c r="EE120" s="296"/>
      <c r="EF120" s="296"/>
      <c r="EG120" s="296"/>
      <c r="EH120" s="296"/>
      <c r="EI120" s="296"/>
      <c r="EJ120" s="296"/>
      <c r="EK120" s="296"/>
      <c r="EL120" s="296"/>
      <c r="EM120" s="296"/>
      <c r="EN120" s="296"/>
      <c r="EO120" s="296"/>
      <c r="EP120" s="296"/>
      <c r="EQ120" s="296"/>
      <c r="ER120" s="296"/>
      <c r="ES120" s="296"/>
      <c r="ET120" s="297"/>
      <c r="EU120" s="304"/>
      <c r="EV120" s="305"/>
      <c r="EW120" s="305"/>
      <c r="EX120" s="305"/>
      <c r="EY120" s="305"/>
      <c r="EZ120" s="305"/>
      <c r="FA120" s="305"/>
      <c r="FB120" s="306"/>
      <c r="JK120" s="250"/>
      <c r="JL120" s="251"/>
      <c r="JM120" s="251"/>
      <c r="JN120" s="251"/>
      <c r="JO120" s="251"/>
      <c r="JP120" s="251"/>
      <c r="JQ120" s="251"/>
      <c r="JR120" s="251"/>
      <c r="JS120" s="251"/>
      <c r="JT120" s="251"/>
      <c r="JU120" s="251"/>
      <c r="JV120" s="251"/>
      <c r="JW120" s="251"/>
      <c r="JX120" s="251"/>
      <c r="JY120" s="251"/>
      <c r="JZ120" s="251"/>
      <c r="KA120" s="251"/>
      <c r="KB120" s="251"/>
      <c r="KC120" s="251"/>
      <c r="KD120" s="251"/>
      <c r="KE120" s="251"/>
      <c r="KF120" s="251"/>
      <c r="KG120" s="251"/>
      <c r="KH120" s="251"/>
      <c r="KI120" s="251"/>
      <c r="KJ120" s="251"/>
      <c r="KK120" s="251"/>
      <c r="KL120" s="251"/>
      <c r="KM120" s="251"/>
      <c r="KN120" s="251"/>
      <c r="KO120" s="251"/>
      <c r="KP120" s="251"/>
      <c r="KQ120" s="251"/>
      <c r="KR120" s="251"/>
      <c r="KS120" s="251"/>
      <c r="KT120" s="251"/>
      <c r="KU120" s="251"/>
      <c r="KV120" s="251"/>
      <c r="KW120" s="251"/>
      <c r="KX120" s="252"/>
      <c r="KY120" s="250"/>
      <c r="KZ120" s="251"/>
      <c r="LA120" s="251"/>
      <c r="LB120" s="251"/>
      <c r="LC120" s="252"/>
      <c r="LM120" s="250"/>
      <c r="LN120" s="251"/>
      <c r="LO120" s="251"/>
      <c r="LP120" s="251"/>
      <c r="LQ120" s="251"/>
      <c r="LR120" s="251"/>
      <c r="LS120" s="251"/>
      <c r="LT120" s="251"/>
      <c r="LU120" s="251"/>
      <c r="LV120" s="251"/>
      <c r="LW120" s="251"/>
      <c r="LX120" s="251"/>
      <c r="LY120" s="251"/>
      <c r="LZ120" s="251"/>
      <c r="MA120" s="251"/>
      <c r="MB120" s="251"/>
      <c r="MC120" s="251"/>
      <c r="MD120" s="251"/>
      <c r="ME120" s="251"/>
      <c r="MF120" s="251"/>
      <c r="MG120" s="251"/>
      <c r="MH120" s="251"/>
      <c r="MI120" s="251"/>
      <c r="MJ120" s="251"/>
      <c r="MK120" s="251"/>
      <c r="ML120" s="251"/>
      <c r="MM120" s="251"/>
      <c r="MN120" s="251"/>
      <c r="MO120" s="251"/>
      <c r="MP120" s="251"/>
      <c r="MQ120" s="251"/>
      <c r="MR120" s="251"/>
      <c r="MS120" s="251"/>
      <c r="MT120" s="251"/>
      <c r="MU120" s="251"/>
      <c r="MV120" s="251"/>
      <c r="MW120" s="251"/>
      <c r="MX120" s="251"/>
      <c r="MY120" s="251"/>
      <c r="MZ120" s="252"/>
      <c r="NA120" s="250"/>
      <c r="NB120" s="251"/>
      <c r="NC120" s="251"/>
      <c r="ND120" s="251"/>
      <c r="NE120" s="252"/>
      <c r="QQ120" s="18"/>
      <c r="QR120" s="19"/>
    </row>
    <row r="121" spans="3:465" ht="5.0999999999999996" customHeight="1" x14ac:dyDescent="0.3">
      <c r="C121" s="15"/>
      <c r="D121" s="16"/>
      <c r="ED121" s="43"/>
      <c r="JK121" s="250"/>
      <c r="JL121" s="251"/>
      <c r="JM121" s="251"/>
      <c r="JN121" s="251"/>
      <c r="JO121" s="251"/>
      <c r="JP121" s="251"/>
      <c r="JQ121" s="251"/>
      <c r="JR121" s="251"/>
      <c r="JS121" s="251"/>
      <c r="JT121" s="251"/>
      <c r="JU121" s="251"/>
      <c r="JV121" s="251"/>
      <c r="JW121" s="251"/>
      <c r="JX121" s="251"/>
      <c r="JY121" s="251"/>
      <c r="JZ121" s="251"/>
      <c r="KA121" s="251"/>
      <c r="KB121" s="251"/>
      <c r="KC121" s="251"/>
      <c r="KD121" s="251"/>
      <c r="KE121" s="251"/>
      <c r="KF121" s="251"/>
      <c r="KG121" s="251"/>
      <c r="KH121" s="251"/>
      <c r="KI121" s="251"/>
      <c r="KJ121" s="251"/>
      <c r="KK121" s="251"/>
      <c r="KL121" s="251"/>
      <c r="KM121" s="251"/>
      <c r="KN121" s="251"/>
      <c r="KO121" s="251"/>
      <c r="KP121" s="251"/>
      <c r="KQ121" s="251"/>
      <c r="KR121" s="251"/>
      <c r="KS121" s="251"/>
      <c r="KT121" s="251"/>
      <c r="KU121" s="251"/>
      <c r="KV121" s="251"/>
      <c r="KW121" s="251"/>
      <c r="KX121" s="252"/>
      <c r="KY121" s="250"/>
      <c r="KZ121" s="251"/>
      <c r="LA121" s="251"/>
      <c r="LB121" s="251"/>
      <c r="LC121" s="252"/>
      <c r="LM121" s="250"/>
      <c r="LN121" s="251"/>
      <c r="LO121" s="251"/>
      <c r="LP121" s="251"/>
      <c r="LQ121" s="251"/>
      <c r="LR121" s="251"/>
      <c r="LS121" s="251"/>
      <c r="LT121" s="251"/>
      <c r="LU121" s="251"/>
      <c r="LV121" s="251"/>
      <c r="LW121" s="251"/>
      <c r="LX121" s="251"/>
      <c r="LY121" s="251"/>
      <c r="LZ121" s="251"/>
      <c r="MA121" s="251"/>
      <c r="MB121" s="251"/>
      <c r="MC121" s="251"/>
      <c r="MD121" s="251"/>
      <c r="ME121" s="251"/>
      <c r="MF121" s="251"/>
      <c r="MG121" s="251"/>
      <c r="MH121" s="251"/>
      <c r="MI121" s="251"/>
      <c r="MJ121" s="251"/>
      <c r="MK121" s="251"/>
      <c r="ML121" s="251"/>
      <c r="MM121" s="251"/>
      <c r="MN121" s="251"/>
      <c r="MO121" s="251"/>
      <c r="MP121" s="251"/>
      <c r="MQ121" s="251"/>
      <c r="MR121" s="251"/>
      <c r="MS121" s="251"/>
      <c r="MT121" s="251"/>
      <c r="MU121" s="251"/>
      <c r="MV121" s="251"/>
      <c r="MW121" s="251"/>
      <c r="MX121" s="251"/>
      <c r="MY121" s="251"/>
      <c r="MZ121" s="252"/>
      <c r="NA121" s="250"/>
      <c r="NB121" s="251"/>
      <c r="NC121" s="251"/>
      <c r="ND121" s="251"/>
      <c r="NE121" s="252"/>
      <c r="QQ121" s="18"/>
      <c r="QR121" s="19"/>
    </row>
    <row r="122" spans="3:465" ht="5.0999999999999996" customHeight="1" x14ac:dyDescent="0.3">
      <c r="C122" s="15"/>
      <c r="D122" s="16"/>
      <c r="ED122" s="21"/>
      <c r="JK122" s="250"/>
      <c r="JL122" s="251"/>
      <c r="JM122" s="251"/>
      <c r="JN122" s="251"/>
      <c r="JO122" s="251"/>
      <c r="JP122" s="251"/>
      <c r="JQ122" s="251"/>
      <c r="JR122" s="251"/>
      <c r="JS122" s="251"/>
      <c r="JT122" s="251"/>
      <c r="JU122" s="251"/>
      <c r="JV122" s="251"/>
      <c r="JW122" s="251"/>
      <c r="JX122" s="251"/>
      <c r="JY122" s="251"/>
      <c r="JZ122" s="251"/>
      <c r="KA122" s="251"/>
      <c r="KB122" s="251"/>
      <c r="KC122" s="251"/>
      <c r="KD122" s="251"/>
      <c r="KE122" s="251"/>
      <c r="KF122" s="251"/>
      <c r="KG122" s="251"/>
      <c r="KH122" s="251"/>
      <c r="KI122" s="251"/>
      <c r="KJ122" s="251"/>
      <c r="KK122" s="251"/>
      <c r="KL122" s="251"/>
      <c r="KM122" s="251"/>
      <c r="KN122" s="251"/>
      <c r="KO122" s="251"/>
      <c r="KP122" s="251"/>
      <c r="KQ122" s="251"/>
      <c r="KR122" s="251"/>
      <c r="KS122" s="251"/>
      <c r="KT122" s="251"/>
      <c r="KU122" s="251"/>
      <c r="KV122" s="251"/>
      <c r="KW122" s="251"/>
      <c r="KX122" s="252"/>
      <c r="KY122" s="250"/>
      <c r="KZ122" s="251"/>
      <c r="LA122" s="251"/>
      <c r="LB122" s="251"/>
      <c r="LC122" s="252"/>
      <c r="LM122" s="250"/>
      <c r="LN122" s="251"/>
      <c r="LO122" s="251"/>
      <c r="LP122" s="251"/>
      <c r="LQ122" s="251"/>
      <c r="LR122" s="251"/>
      <c r="LS122" s="251"/>
      <c r="LT122" s="251"/>
      <c r="LU122" s="251"/>
      <c r="LV122" s="251"/>
      <c r="LW122" s="251"/>
      <c r="LX122" s="251"/>
      <c r="LY122" s="251"/>
      <c r="LZ122" s="251"/>
      <c r="MA122" s="251"/>
      <c r="MB122" s="251"/>
      <c r="MC122" s="251"/>
      <c r="MD122" s="251"/>
      <c r="ME122" s="251"/>
      <c r="MF122" s="251"/>
      <c r="MG122" s="251"/>
      <c r="MH122" s="251"/>
      <c r="MI122" s="251"/>
      <c r="MJ122" s="251"/>
      <c r="MK122" s="251"/>
      <c r="ML122" s="251"/>
      <c r="MM122" s="251"/>
      <c r="MN122" s="251"/>
      <c r="MO122" s="251"/>
      <c r="MP122" s="251"/>
      <c r="MQ122" s="251"/>
      <c r="MR122" s="251"/>
      <c r="MS122" s="251"/>
      <c r="MT122" s="251"/>
      <c r="MU122" s="251"/>
      <c r="MV122" s="251"/>
      <c r="MW122" s="251"/>
      <c r="MX122" s="251"/>
      <c r="MY122" s="251"/>
      <c r="MZ122" s="252"/>
      <c r="NA122" s="250"/>
      <c r="NB122" s="251"/>
      <c r="NC122" s="251"/>
      <c r="ND122" s="251"/>
      <c r="NE122" s="252"/>
      <c r="QQ122" s="18"/>
      <c r="QR122" s="19"/>
    </row>
    <row r="123" spans="3:465" ht="5.0999999999999996" customHeight="1" x14ac:dyDescent="0.3">
      <c r="C123" s="15"/>
      <c r="D123" s="16"/>
      <c r="ED123" s="21"/>
      <c r="JK123" s="250"/>
      <c r="JL123" s="251"/>
      <c r="JM123" s="251"/>
      <c r="JN123" s="251"/>
      <c r="JO123" s="251"/>
      <c r="JP123" s="251"/>
      <c r="JQ123" s="251"/>
      <c r="JR123" s="251"/>
      <c r="JS123" s="251"/>
      <c r="JT123" s="251"/>
      <c r="JU123" s="251"/>
      <c r="JV123" s="251"/>
      <c r="JW123" s="251"/>
      <c r="JX123" s="251"/>
      <c r="JY123" s="251"/>
      <c r="JZ123" s="251"/>
      <c r="KA123" s="251"/>
      <c r="KB123" s="251"/>
      <c r="KC123" s="251"/>
      <c r="KD123" s="251"/>
      <c r="KE123" s="251"/>
      <c r="KF123" s="251"/>
      <c r="KG123" s="251"/>
      <c r="KH123" s="251"/>
      <c r="KI123" s="251"/>
      <c r="KJ123" s="251"/>
      <c r="KK123" s="251"/>
      <c r="KL123" s="251"/>
      <c r="KM123" s="251"/>
      <c r="KN123" s="251"/>
      <c r="KO123" s="251"/>
      <c r="KP123" s="251"/>
      <c r="KQ123" s="251"/>
      <c r="KR123" s="251"/>
      <c r="KS123" s="251"/>
      <c r="KT123" s="251"/>
      <c r="KU123" s="251"/>
      <c r="KV123" s="251"/>
      <c r="KW123" s="251"/>
      <c r="KX123" s="252"/>
      <c r="KY123" s="250"/>
      <c r="KZ123" s="251"/>
      <c r="LA123" s="251"/>
      <c r="LB123" s="251"/>
      <c r="LC123" s="252"/>
      <c r="LM123" s="250"/>
      <c r="LN123" s="251"/>
      <c r="LO123" s="251"/>
      <c r="LP123" s="251"/>
      <c r="LQ123" s="251"/>
      <c r="LR123" s="251"/>
      <c r="LS123" s="251"/>
      <c r="LT123" s="251"/>
      <c r="LU123" s="251"/>
      <c r="LV123" s="251"/>
      <c r="LW123" s="251"/>
      <c r="LX123" s="251"/>
      <c r="LY123" s="251"/>
      <c r="LZ123" s="251"/>
      <c r="MA123" s="251"/>
      <c r="MB123" s="251"/>
      <c r="MC123" s="251"/>
      <c r="MD123" s="251"/>
      <c r="ME123" s="251"/>
      <c r="MF123" s="251"/>
      <c r="MG123" s="251"/>
      <c r="MH123" s="251"/>
      <c r="MI123" s="251"/>
      <c r="MJ123" s="251"/>
      <c r="MK123" s="251"/>
      <c r="ML123" s="251"/>
      <c r="MM123" s="251"/>
      <c r="MN123" s="251"/>
      <c r="MO123" s="251"/>
      <c r="MP123" s="251"/>
      <c r="MQ123" s="251"/>
      <c r="MR123" s="251"/>
      <c r="MS123" s="251"/>
      <c r="MT123" s="251"/>
      <c r="MU123" s="251"/>
      <c r="MV123" s="251"/>
      <c r="MW123" s="251"/>
      <c r="MX123" s="251"/>
      <c r="MY123" s="251"/>
      <c r="MZ123" s="252"/>
      <c r="NA123" s="250"/>
      <c r="NB123" s="251"/>
      <c r="NC123" s="251"/>
      <c r="ND123" s="251"/>
      <c r="NE123" s="252"/>
      <c r="QQ123" s="18"/>
      <c r="QR123" s="19"/>
    </row>
    <row r="124" spans="3:465" ht="5.0999999999999996" customHeight="1" x14ac:dyDescent="0.3">
      <c r="C124" s="15"/>
      <c r="D124" s="16"/>
      <c r="ED124" s="21"/>
      <c r="JK124" s="253"/>
      <c r="JL124" s="254"/>
      <c r="JM124" s="254"/>
      <c r="JN124" s="254"/>
      <c r="JO124" s="254"/>
      <c r="JP124" s="254"/>
      <c r="JQ124" s="254"/>
      <c r="JR124" s="254"/>
      <c r="JS124" s="254"/>
      <c r="JT124" s="254"/>
      <c r="JU124" s="254"/>
      <c r="JV124" s="254"/>
      <c r="JW124" s="254"/>
      <c r="JX124" s="254"/>
      <c r="JY124" s="254"/>
      <c r="JZ124" s="254"/>
      <c r="KA124" s="254"/>
      <c r="KB124" s="254"/>
      <c r="KC124" s="254"/>
      <c r="KD124" s="254"/>
      <c r="KE124" s="254"/>
      <c r="KF124" s="254"/>
      <c r="KG124" s="254"/>
      <c r="KH124" s="254"/>
      <c r="KI124" s="254"/>
      <c r="KJ124" s="254"/>
      <c r="KK124" s="254"/>
      <c r="KL124" s="254"/>
      <c r="KM124" s="254"/>
      <c r="KN124" s="254"/>
      <c r="KO124" s="254"/>
      <c r="KP124" s="254"/>
      <c r="KQ124" s="254"/>
      <c r="KR124" s="254"/>
      <c r="KS124" s="254"/>
      <c r="KT124" s="254"/>
      <c r="KU124" s="254"/>
      <c r="KV124" s="254"/>
      <c r="KW124" s="254"/>
      <c r="KX124" s="255"/>
      <c r="KY124" s="253"/>
      <c r="KZ124" s="254"/>
      <c r="LA124" s="254"/>
      <c r="LB124" s="254"/>
      <c r="LC124" s="255"/>
      <c r="LM124" s="253"/>
      <c r="LN124" s="254"/>
      <c r="LO124" s="254"/>
      <c r="LP124" s="254"/>
      <c r="LQ124" s="254"/>
      <c r="LR124" s="254"/>
      <c r="LS124" s="254"/>
      <c r="LT124" s="254"/>
      <c r="LU124" s="254"/>
      <c r="LV124" s="254"/>
      <c r="LW124" s="254"/>
      <c r="LX124" s="254"/>
      <c r="LY124" s="254"/>
      <c r="LZ124" s="254"/>
      <c r="MA124" s="254"/>
      <c r="MB124" s="254"/>
      <c r="MC124" s="254"/>
      <c r="MD124" s="254"/>
      <c r="ME124" s="254"/>
      <c r="MF124" s="254"/>
      <c r="MG124" s="254"/>
      <c r="MH124" s="254"/>
      <c r="MI124" s="254"/>
      <c r="MJ124" s="254"/>
      <c r="MK124" s="254"/>
      <c r="ML124" s="254"/>
      <c r="MM124" s="254"/>
      <c r="MN124" s="254"/>
      <c r="MO124" s="254"/>
      <c r="MP124" s="254"/>
      <c r="MQ124" s="254"/>
      <c r="MR124" s="254"/>
      <c r="MS124" s="254"/>
      <c r="MT124" s="254"/>
      <c r="MU124" s="254"/>
      <c r="MV124" s="254"/>
      <c r="MW124" s="254"/>
      <c r="MX124" s="254"/>
      <c r="MY124" s="254"/>
      <c r="MZ124" s="255"/>
      <c r="NA124" s="253"/>
      <c r="NB124" s="254"/>
      <c r="NC124" s="254"/>
      <c r="ND124" s="254"/>
      <c r="NE124" s="255"/>
      <c r="QQ124" s="18"/>
      <c r="QR124" s="19"/>
      <c r="QS124" s="39"/>
      <c r="QT124" s="39"/>
      <c r="QU124" s="39"/>
      <c r="QV124" s="39"/>
      <c r="QW124" s="40"/>
    </row>
    <row r="125" spans="3:465" ht="5.0999999999999996" customHeight="1" x14ac:dyDescent="0.3">
      <c r="C125" s="15"/>
      <c r="D125" s="16"/>
      <c r="ED125" s="21"/>
      <c r="JK125" s="247" t="s">
        <v>35</v>
      </c>
      <c r="JL125" s="248"/>
      <c r="JM125" s="248"/>
      <c r="JN125" s="248"/>
      <c r="JO125" s="248"/>
      <c r="JP125" s="248"/>
      <c r="JQ125" s="248"/>
      <c r="JR125" s="248"/>
      <c r="JS125" s="248"/>
      <c r="JT125" s="248"/>
      <c r="JU125" s="248"/>
      <c r="JV125" s="248"/>
      <c r="JW125" s="248"/>
      <c r="JX125" s="248"/>
      <c r="JY125" s="248"/>
      <c r="JZ125" s="248"/>
      <c r="KA125" s="248"/>
      <c r="KB125" s="248"/>
      <c r="KC125" s="248"/>
      <c r="KD125" s="248"/>
      <c r="KE125" s="248"/>
      <c r="KF125" s="248"/>
      <c r="KG125" s="248"/>
      <c r="KH125" s="248"/>
      <c r="KI125" s="248"/>
      <c r="KJ125" s="248"/>
      <c r="KK125" s="248"/>
      <c r="KL125" s="248"/>
      <c r="KM125" s="248"/>
      <c r="KN125" s="248"/>
      <c r="KO125" s="248"/>
      <c r="KP125" s="248"/>
      <c r="KQ125" s="248"/>
      <c r="KR125" s="248"/>
      <c r="KS125" s="248"/>
      <c r="KT125" s="248"/>
      <c r="KU125" s="248"/>
      <c r="KV125" s="248"/>
      <c r="KW125" s="248">
        <v>1</v>
      </c>
      <c r="KX125" s="249"/>
      <c r="KY125" s="247">
        <v>21</v>
      </c>
      <c r="KZ125" s="248"/>
      <c r="LA125" s="248"/>
      <c r="LB125" s="248"/>
      <c r="LC125" s="249"/>
      <c r="LM125" s="247" t="s">
        <v>36</v>
      </c>
      <c r="LN125" s="248"/>
      <c r="LO125" s="248"/>
      <c r="LP125" s="248"/>
      <c r="LQ125" s="248"/>
      <c r="LR125" s="248"/>
      <c r="LS125" s="248"/>
      <c r="LT125" s="248"/>
      <c r="LU125" s="248"/>
      <c r="LV125" s="248"/>
      <c r="LW125" s="248"/>
      <c r="LX125" s="248"/>
      <c r="LY125" s="248"/>
      <c r="LZ125" s="248"/>
      <c r="MA125" s="248"/>
      <c r="MB125" s="248"/>
      <c r="MC125" s="248"/>
      <c r="MD125" s="248"/>
      <c r="ME125" s="248"/>
      <c r="MF125" s="248"/>
      <c r="MG125" s="248"/>
      <c r="MH125" s="248"/>
      <c r="MI125" s="248"/>
      <c r="MJ125" s="248"/>
      <c r="MK125" s="248"/>
      <c r="ML125" s="248"/>
      <c r="MM125" s="248"/>
      <c r="MN125" s="248"/>
      <c r="MO125" s="248"/>
      <c r="MP125" s="248"/>
      <c r="MQ125" s="248"/>
      <c r="MR125" s="248"/>
      <c r="MS125" s="248"/>
      <c r="MT125" s="248"/>
      <c r="MU125" s="248"/>
      <c r="MV125" s="248"/>
      <c r="MW125" s="248"/>
      <c r="MX125" s="248"/>
      <c r="MY125" s="248"/>
      <c r="MZ125" s="249"/>
      <c r="NA125" s="247">
        <v>1</v>
      </c>
      <c r="NB125" s="248"/>
      <c r="NC125" s="248"/>
      <c r="ND125" s="248"/>
      <c r="NE125" s="249"/>
      <c r="QQ125" s="18"/>
      <c r="QR125" s="19"/>
      <c r="QS125" s="39"/>
      <c r="QT125" s="39"/>
      <c r="QU125" s="39"/>
      <c r="QV125" s="39"/>
      <c r="QW125" s="40"/>
    </row>
    <row r="126" spans="3:465" ht="5.0999999999999996" customHeight="1" thickBot="1" x14ac:dyDescent="0.35">
      <c r="C126" s="15"/>
      <c r="D126" s="16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48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JK126" s="250"/>
      <c r="JL126" s="251"/>
      <c r="JM126" s="251"/>
      <c r="JN126" s="251"/>
      <c r="JO126" s="251"/>
      <c r="JP126" s="251"/>
      <c r="JQ126" s="251"/>
      <c r="JR126" s="251"/>
      <c r="JS126" s="251"/>
      <c r="JT126" s="251"/>
      <c r="JU126" s="251"/>
      <c r="JV126" s="251"/>
      <c r="JW126" s="251"/>
      <c r="JX126" s="251"/>
      <c r="JY126" s="251"/>
      <c r="JZ126" s="251"/>
      <c r="KA126" s="251"/>
      <c r="KB126" s="251"/>
      <c r="KC126" s="251"/>
      <c r="KD126" s="251"/>
      <c r="KE126" s="251"/>
      <c r="KF126" s="251"/>
      <c r="KG126" s="251"/>
      <c r="KH126" s="251"/>
      <c r="KI126" s="251"/>
      <c r="KJ126" s="251"/>
      <c r="KK126" s="251"/>
      <c r="KL126" s="251"/>
      <c r="KM126" s="251"/>
      <c r="KN126" s="251"/>
      <c r="KO126" s="251"/>
      <c r="KP126" s="251"/>
      <c r="KQ126" s="251"/>
      <c r="KR126" s="251"/>
      <c r="KS126" s="251"/>
      <c r="KT126" s="251"/>
      <c r="KU126" s="251"/>
      <c r="KV126" s="251"/>
      <c r="KW126" s="251"/>
      <c r="KX126" s="252"/>
      <c r="KY126" s="250"/>
      <c r="KZ126" s="251"/>
      <c r="LA126" s="251"/>
      <c r="LB126" s="251"/>
      <c r="LC126" s="252"/>
      <c r="LM126" s="250"/>
      <c r="LN126" s="251"/>
      <c r="LO126" s="251"/>
      <c r="LP126" s="251"/>
      <c r="LQ126" s="251"/>
      <c r="LR126" s="251"/>
      <c r="LS126" s="251"/>
      <c r="LT126" s="251"/>
      <c r="LU126" s="251"/>
      <c r="LV126" s="251"/>
      <c r="LW126" s="251"/>
      <c r="LX126" s="251"/>
      <c r="LY126" s="251"/>
      <c r="LZ126" s="251"/>
      <c r="MA126" s="251"/>
      <c r="MB126" s="251"/>
      <c r="MC126" s="251"/>
      <c r="MD126" s="251"/>
      <c r="ME126" s="251"/>
      <c r="MF126" s="251"/>
      <c r="MG126" s="251"/>
      <c r="MH126" s="251"/>
      <c r="MI126" s="251"/>
      <c r="MJ126" s="251"/>
      <c r="MK126" s="251"/>
      <c r="ML126" s="251"/>
      <c r="MM126" s="251"/>
      <c r="MN126" s="251"/>
      <c r="MO126" s="251"/>
      <c r="MP126" s="251"/>
      <c r="MQ126" s="251"/>
      <c r="MR126" s="251"/>
      <c r="MS126" s="251"/>
      <c r="MT126" s="251"/>
      <c r="MU126" s="251"/>
      <c r="MV126" s="251"/>
      <c r="MW126" s="251"/>
      <c r="MX126" s="251"/>
      <c r="MY126" s="251"/>
      <c r="MZ126" s="252"/>
      <c r="NA126" s="250"/>
      <c r="NB126" s="251"/>
      <c r="NC126" s="251"/>
      <c r="ND126" s="251"/>
      <c r="NE126" s="252"/>
      <c r="QQ126" s="18"/>
      <c r="QR126" s="19"/>
      <c r="QS126" s="39"/>
      <c r="QT126" s="39"/>
      <c r="QU126" s="39"/>
      <c r="QV126" s="39"/>
      <c r="QW126" s="40"/>
    </row>
    <row r="127" spans="3:465" ht="5.0999999999999996" customHeight="1" x14ac:dyDescent="0.3">
      <c r="C127" s="15"/>
      <c r="D127" s="16"/>
      <c r="AG127" s="25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CC127" s="21"/>
      <c r="DY127" s="21"/>
      <c r="FT127" s="28"/>
      <c r="FU127" s="26"/>
      <c r="HP127" s="28"/>
      <c r="JK127" s="250"/>
      <c r="JL127" s="251"/>
      <c r="JM127" s="251"/>
      <c r="JN127" s="251"/>
      <c r="JO127" s="251"/>
      <c r="JP127" s="251"/>
      <c r="JQ127" s="251"/>
      <c r="JR127" s="251"/>
      <c r="JS127" s="251"/>
      <c r="JT127" s="251"/>
      <c r="JU127" s="251"/>
      <c r="JV127" s="251"/>
      <c r="JW127" s="251"/>
      <c r="JX127" s="251"/>
      <c r="JY127" s="251"/>
      <c r="JZ127" s="251"/>
      <c r="KA127" s="251"/>
      <c r="KB127" s="251"/>
      <c r="KC127" s="251"/>
      <c r="KD127" s="251"/>
      <c r="KE127" s="251"/>
      <c r="KF127" s="251"/>
      <c r="KG127" s="251"/>
      <c r="KH127" s="251"/>
      <c r="KI127" s="251"/>
      <c r="KJ127" s="251"/>
      <c r="KK127" s="251"/>
      <c r="KL127" s="251"/>
      <c r="KM127" s="251"/>
      <c r="KN127" s="251"/>
      <c r="KO127" s="251"/>
      <c r="KP127" s="251"/>
      <c r="KQ127" s="251"/>
      <c r="KR127" s="251"/>
      <c r="KS127" s="251"/>
      <c r="KT127" s="251"/>
      <c r="KU127" s="251"/>
      <c r="KV127" s="251"/>
      <c r="KW127" s="251"/>
      <c r="KX127" s="252"/>
      <c r="KY127" s="250"/>
      <c r="KZ127" s="251"/>
      <c r="LA127" s="251"/>
      <c r="LB127" s="251"/>
      <c r="LC127" s="252"/>
      <c r="LM127" s="250"/>
      <c r="LN127" s="251"/>
      <c r="LO127" s="251"/>
      <c r="LP127" s="251"/>
      <c r="LQ127" s="251"/>
      <c r="LR127" s="251"/>
      <c r="LS127" s="251"/>
      <c r="LT127" s="251"/>
      <c r="LU127" s="251"/>
      <c r="LV127" s="251"/>
      <c r="LW127" s="251"/>
      <c r="LX127" s="251"/>
      <c r="LY127" s="251"/>
      <c r="LZ127" s="251"/>
      <c r="MA127" s="251"/>
      <c r="MB127" s="251"/>
      <c r="MC127" s="251"/>
      <c r="MD127" s="251"/>
      <c r="ME127" s="251"/>
      <c r="MF127" s="251"/>
      <c r="MG127" s="251"/>
      <c r="MH127" s="251"/>
      <c r="MI127" s="251"/>
      <c r="MJ127" s="251"/>
      <c r="MK127" s="251"/>
      <c r="ML127" s="251"/>
      <c r="MM127" s="251"/>
      <c r="MN127" s="251"/>
      <c r="MO127" s="251"/>
      <c r="MP127" s="251"/>
      <c r="MQ127" s="251"/>
      <c r="MR127" s="251"/>
      <c r="MS127" s="251"/>
      <c r="MT127" s="251"/>
      <c r="MU127" s="251"/>
      <c r="MV127" s="251"/>
      <c r="MW127" s="251"/>
      <c r="MX127" s="251"/>
      <c r="MY127" s="251"/>
      <c r="MZ127" s="252"/>
      <c r="NA127" s="250"/>
      <c r="NB127" s="251"/>
      <c r="NC127" s="251"/>
      <c r="ND127" s="251"/>
      <c r="NE127" s="252"/>
      <c r="QQ127" s="18"/>
      <c r="QR127" s="19"/>
      <c r="QS127" s="39"/>
      <c r="QT127" s="39"/>
      <c r="QU127" s="39"/>
      <c r="QV127" s="39"/>
      <c r="QW127" s="40"/>
    </row>
    <row r="128" spans="3:465" ht="5.0999999999999996" customHeight="1" x14ac:dyDescent="0.3">
      <c r="C128" s="15"/>
      <c r="D128" s="16"/>
      <c r="AA128" s="31"/>
      <c r="AB128" s="31"/>
      <c r="AC128" s="31"/>
      <c r="AD128" s="31"/>
      <c r="AE128" s="31"/>
      <c r="AF128" s="31"/>
      <c r="AG128" s="30"/>
      <c r="AH128" s="31"/>
      <c r="AI128" s="31"/>
      <c r="BW128" s="31"/>
      <c r="BX128" s="31"/>
      <c r="BY128" s="31"/>
      <c r="BZ128" s="31"/>
      <c r="CA128" s="31"/>
      <c r="CB128" s="31"/>
      <c r="CC128" s="30"/>
      <c r="CD128" s="31"/>
      <c r="CE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0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FO128" s="31"/>
      <c r="FP128" s="31"/>
      <c r="FQ128" s="31"/>
      <c r="FR128" s="31"/>
      <c r="FS128" s="31"/>
      <c r="FT128" s="45"/>
      <c r="FU128" s="31"/>
      <c r="FV128" s="31"/>
      <c r="FW128" s="31"/>
      <c r="HK128" s="31"/>
      <c r="HL128" s="31"/>
      <c r="HM128" s="31"/>
      <c r="HN128" s="31"/>
      <c r="HO128" s="31"/>
      <c r="HP128" s="45"/>
      <c r="HQ128" s="31"/>
      <c r="HR128" s="31"/>
      <c r="HS128" s="31"/>
      <c r="JK128" s="250"/>
      <c r="JL128" s="251"/>
      <c r="JM128" s="251"/>
      <c r="JN128" s="251"/>
      <c r="JO128" s="251"/>
      <c r="JP128" s="251"/>
      <c r="JQ128" s="251"/>
      <c r="JR128" s="251"/>
      <c r="JS128" s="251"/>
      <c r="JT128" s="251"/>
      <c r="JU128" s="251"/>
      <c r="JV128" s="251"/>
      <c r="JW128" s="251"/>
      <c r="JX128" s="251"/>
      <c r="JY128" s="251"/>
      <c r="JZ128" s="251"/>
      <c r="KA128" s="251"/>
      <c r="KB128" s="251"/>
      <c r="KC128" s="251"/>
      <c r="KD128" s="251"/>
      <c r="KE128" s="251"/>
      <c r="KF128" s="251"/>
      <c r="KG128" s="251"/>
      <c r="KH128" s="251"/>
      <c r="KI128" s="251"/>
      <c r="KJ128" s="251"/>
      <c r="KK128" s="251"/>
      <c r="KL128" s="251"/>
      <c r="KM128" s="251"/>
      <c r="KN128" s="251"/>
      <c r="KO128" s="251"/>
      <c r="KP128" s="251"/>
      <c r="KQ128" s="251"/>
      <c r="KR128" s="251"/>
      <c r="KS128" s="251"/>
      <c r="KT128" s="251"/>
      <c r="KU128" s="251"/>
      <c r="KV128" s="251"/>
      <c r="KW128" s="251"/>
      <c r="KX128" s="252"/>
      <c r="KY128" s="250"/>
      <c r="KZ128" s="251"/>
      <c r="LA128" s="251"/>
      <c r="LB128" s="251"/>
      <c r="LC128" s="252"/>
      <c r="LM128" s="250"/>
      <c r="LN128" s="251"/>
      <c r="LO128" s="251"/>
      <c r="LP128" s="251"/>
      <c r="LQ128" s="251"/>
      <c r="LR128" s="251"/>
      <c r="LS128" s="251"/>
      <c r="LT128" s="251"/>
      <c r="LU128" s="251"/>
      <c r="LV128" s="251"/>
      <c r="LW128" s="251"/>
      <c r="LX128" s="251"/>
      <c r="LY128" s="251"/>
      <c r="LZ128" s="251"/>
      <c r="MA128" s="251"/>
      <c r="MB128" s="251"/>
      <c r="MC128" s="251"/>
      <c r="MD128" s="251"/>
      <c r="ME128" s="251"/>
      <c r="MF128" s="251"/>
      <c r="MG128" s="251"/>
      <c r="MH128" s="251"/>
      <c r="MI128" s="251"/>
      <c r="MJ128" s="251"/>
      <c r="MK128" s="251"/>
      <c r="ML128" s="251"/>
      <c r="MM128" s="251"/>
      <c r="MN128" s="251"/>
      <c r="MO128" s="251"/>
      <c r="MP128" s="251"/>
      <c r="MQ128" s="251"/>
      <c r="MR128" s="251"/>
      <c r="MS128" s="251"/>
      <c r="MT128" s="251"/>
      <c r="MU128" s="251"/>
      <c r="MV128" s="251"/>
      <c r="MW128" s="251"/>
      <c r="MX128" s="251"/>
      <c r="MY128" s="251"/>
      <c r="MZ128" s="252"/>
      <c r="NA128" s="250"/>
      <c r="NB128" s="251"/>
      <c r="NC128" s="251"/>
      <c r="ND128" s="251"/>
      <c r="NE128" s="252"/>
      <c r="QQ128" s="18"/>
      <c r="QR128" s="19"/>
      <c r="QS128" s="39"/>
      <c r="QT128" s="39"/>
      <c r="QU128" s="39"/>
      <c r="QV128" s="39"/>
      <c r="QW128" s="40"/>
    </row>
    <row r="129" spans="3:465" ht="5.0999999999999996" customHeight="1" x14ac:dyDescent="0.3">
      <c r="C129" s="15"/>
      <c r="D129" s="16"/>
      <c r="J129" s="266" t="s">
        <v>37</v>
      </c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  <c r="AM129" s="267"/>
      <c r="AN129" s="267"/>
      <c r="AO129" s="267"/>
      <c r="AP129" s="267"/>
      <c r="AQ129" s="267"/>
      <c r="AR129" s="267"/>
      <c r="AS129" s="267"/>
      <c r="AT129" s="267"/>
      <c r="AU129" s="267"/>
      <c r="AV129" s="267"/>
      <c r="AW129" s="267"/>
      <c r="AX129" s="268"/>
      <c r="AY129" s="266">
        <f>SUM(AY141,AY153,AY173,AY163,AY183)</f>
        <v>13</v>
      </c>
      <c r="AZ129" s="267"/>
      <c r="BA129" s="267"/>
      <c r="BB129" s="267"/>
      <c r="BC129" s="268"/>
      <c r="BF129" s="266" t="s">
        <v>38</v>
      </c>
      <c r="BG129" s="267"/>
      <c r="BH129" s="267"/>
      <c r="BI129" s="267"/>
      <c r="BJ129" s="267"/>
      <c r="BK129" s="267"/>
      <c r="BL129" s="267"/>
      <c r="BM129" s="267"/>
      <c r="BN129" s="267"/>
      <c r="BO129" s="267"/>
      <c r="BP129" s="267"/>
      <c r="BQ129" s="267"/>
      <c r="BR129" s="267"/>
      <c r="BS129" s="267"/>
      <c r="BT129" s="267"/>
      <c r="BU129" s="267"/>
      <c r="BV129" s="267"/>
      <c r="BW129" s="267"/>
      <c r="BX129" s="267"/>
      <c r="BY129" s="267"/>
      <c r="BZ129" s="267"/>
      <c r="CA129" s="267"/>
      <c r="CB129" s="267"/>
      <c r="CC129" s="267"/>
      <c r="CD129" s="267"/>
      <c r="CE129" s="267"/>
      <c r="CF129" s="267"/>
      <c r="CG129" s="267"/>
      <c r="CH129" s="267"/>
      <c r="CI129" s="267"/>
      <c r="CJ129" s="267"/>
      <c r="CK129" s="267"/>
      <c r="CL129" s="267"/>
      <c r="CM129" s="267"/>
      <c r="CN129" s="267"/>
      <c r="CO129" s="267"/>
      <c r="CP129" s="267"/>
      <c r="CQ129" s="267"/>
      <c r="CR129" s="267"/>
      <c r="CS129" s="267"/>
      <c r="CT129" s="268"/>
      <c r="CU129" s="266">
        <f>SUM(CU141,CU153)</f>
        <v>7</v>
      </c>
      <c r="CV129" s="267"/>
      <c r="CW129" s="267"/>
      <c r="CX129" s="267"/>
      <c r="CY129" s="268"/>
      <c r="DB129" s="266" t="s">
        <v>39</v>
      </c>
      <c r="DC129" s="267"/>
      <c r="DD129" s="267"/>
      <c r="DE129" s="267"/>
      <c r="DF129" s="267"/>
      <c r="DG129" s="267"/>
      <c r="DH129" s="267"/>
      <c r="DI129" s="267"/>
      <c r="DJ129" s="267"/>
      <c r="DK129" s="267"/>
      <c r="DL129" s="267"/>
      <c r="DM129" s="267"/>
      <c r="DN129" s="267"/>
      <c r="DO129" s="267"/>
      <c r="DP129" s="267"/>
      <c r="DQ129" s="267"/>
      <c r="DR129" s="267"/>
      <c r="DS129" s="267"/>
      <c r="DT129" s="267"/>
      <c r="DU129" s="267"/>
      <c r="DV129" s="267"/>
      <c r="DW129" s="267"/>
      <c r="DX129" s="267"/>
      <c r="DY129" s="267"/>
      <c r="DZ129" s="267"/>
      <c r="EA129" s="267"/>
      <c r="EB129" s="267"/>
      <c r="EC129" s="267"/>
      <c r="ED129" s="267"/>
      <c r="EE129" s="267"/>
      <c r="EF129" s="267"/>
      <c r="EG129" s="267"/>
      <c r="EH129" s="267"/>
      <c r="EI129" s="267"/>
      <c r="EJ129" s="267"/>
      <c r="EK129" s="267"/>
      <c r="EL129" s="267"/>
      <c r="EM129" s="267"/>
      <c r="EN129" s="267"/>
      <c r="EO129" s="267"/>
      <c r="EP129" s="268"/>
      <c r="EQ129" s="266">
        <f>SUM(EQ141,EQ153,BI314)</f>
        <v>6</v>
      </c>
      <c r="ER129" s="267"/>
      <c r="ES129" s="267"/>
      <c r="ET129" s="267"/>
      <c r="EU129" s="268"/>
      <c r="EX129" s="266" t="s">
        <v>40</v>
      </c>
      <c r="EY129" s="267"/>
      <c r="EZ129" s="267"/>
      <c r="FA129" s="267"/>
      <c r="FB129" s="267"/>
      <c r="FC129" s="267"/>
      <c r="FD129" s="267"/>
      <c r="FE129" s="267"/>
      <c r="FF129" s="267"/>
      <c r="FG129" s="267"/>
      <c r="FH129" s="267"/>
      <c r="FI129" s="267"/>
      <c r="FJ129" s="267"/>
      <c r="FK129" s="267"/>
      <c r="FL129" s="267"/>
      <c r="FM129" s="267"/>
      <c r="FN129" s="267"/>
      <c r="FO129" s="267"/>
      <c r="FP129" s="267"/>
      <c r="FQ129" s="267"/>
      <c r="FR129" s="267"/>
      <c r="FS129" s="267"/>
      <c r="FT129" s="267"/>
      <c r="FU129" s="267"/>
      <c r="FV129" s="267"/>
      <c r="FW129" s="267"/>
      <c r="FX129" s="267"/>
      <c r="FY129" s="267"/>
      <c r="FZ129" s="267"/>
      <c r="GA129" s="267"/>
      <c r="GB129" s="267"/>
      <c r="GC129" s="267"/>
      <c r="GD129" s="267"/>
      <c r="GE129" s="267"/>
      <c r="GF129" s="267"/>
      <c r="GG129" s="267"/>
      <c r="GH129" s="267"/>
      <c r="GI129" s="267"/>
      <c r="GJ129" s="267"/>
      <c r="GK129" s="267"/>
      <c r="GL129" s="268"/>
      <c r="GM129" s="266">
        <f>SUM(GM141:GQ172)</f>
        <v>7</v>
      </c>
      <c r="GN129" s="267"/>
      <c r="GO129" s="267"/>
      <c r="GP129" s="267"/>
      <c r="GQ129" s="268"/>
      <c r="GT129" s="266" t="s">
        <v>41</v>
      </c>
      <c r="GU129" s="267"/>
      <c r="GV129" s="267"/>
      <c r="GW129" s="267"/>
      <c r="GX129" s="267"/>
      <c r="GY129" s="267"/>
      <c r="GZ129" s="267"/>
      <c r="HA129" s="267"/>
      <c r="HB129" s="267"/>
      <c r="HC129" s="267"/>
      <c r="HD129" s="267"/>
      <c r="HE129" s="267"/>
      <c r="HF129" s="267"/>
      <c r="HG129" s="267"/>
      <c r="HH129" s="267"/>
      <c r="HI129" s="267"/>
      <c r="HJ129" s="267"/>
      <c r="HK129" s="267"/>
      <c r="HL129" s="267"/>
      <c r="HM129" s="267"/>
      <c r="HN129" s="267"/>
      <c r="HO129" s="267"/>
      <c r="HP129" s="267"/>
      <c r="HQ129" s="267"/>
      <c r="HR129" s="267"/>
      <c r="HS129" s="267"/>
      <c r="HT129" s="267"/>
      <c r="HU129" s="267"/>
      <c r="HV129" s="267"/>
      <c r="HW129" s="267"/>
      <c r="HX129" s="267"/>
      <c r="HY129" s="267"/>
      <c r="HZ129" s="267"/>
      <c r="IA129" s="267"/>
      <c r="IB129" s="267"/>
      <c r="IC129" s="267"/>
      <c r="ID129" s="267"/>
      <c r="IE129" s="267"/>
      <c r="IF129" s="267"/>
      <c r="IG129" s="267"/>
      <c r="IH129" s="268"/>
      <c r="II129" s="266">
        <f>SUM(II141,II153)</f>
        <v>6</v>
      </c>
      <c r="IJ129" s="267"/>
      <c r="IK129" s="267"/>
      <c r="IL129" s="267"/>
      <c r="IM129" s="268"/>
      <c r="JK129" s="250"/>
      <c r="JL129" s="251"/>
      <c r="JM129" s="251"/>
      <c r="JN129" s="251"/>
      <c r="JO129" s="251"/>
      <c r="JP129" s="251"/>
      <c r="JQ129" s="251"/>
      <c r="JR129" s="251"/>
      <c r="JS129" s="251"/>
      <c r="JT129" s="251"/>
      <c r="JU129" s="251"/>
      <c r="JV129" s="251"/>
      <c r="JW129" s="251"/>
      <c r="JX129" s="251"/>
      <c r="JY129" s="251"/>
      <c r="JZ129" s="251"/>
      <c r="KA129" s="251"/>
      <c r="KB129" s="251"/>
      <c r="KC129" s="251"/>
      <c r="KD129" s="251"/>
      <c r="KE129" s="251"/>
      <c r="KF129" s="251"/>
      <c r="KG129" s="251"/>
      <c r="KH129" s="251"/>
      <c r="KI129" s="251"/>
      <c r="KJ129" s="251"/>
      <c r="KK129" s="251"/>
      <c r="KL129" s="251"/>
      <c r="KM129" s="251"/>
      <c r="KN129" s="251"/>
      <c r="KO129" s="251"/>
      <c r="KP129" s="251"/>
      <c r="KQ129" s="251"/>
      <c r="KR129" s="251"/>
      <c r="KS129" s="251"/>
      <c r="KT129" s="251"/>
      <c r="KU129" s="251"/>
      <c r="KV129" s="251"/>
      <c r="KW129" s="251"/>
      <c r="KX129" s="252"/>
      <c r="KY129" s="250"/>
      <c r="KZ129" s="251"/>
      <c r="LA129" s="251"/>
      <c r="LB129" s="251"/>
      <c r="LC129" s="252"/>
      <c r="LM129" s="250"/>
      <c r="LN129" s="251"/>
      <c r="LO129" s="251"/>
      <c r="LP129" s="251"/>
      <c r="LQ129" s="251"/>
      <c r="LR129" s="251"/>
      <c r="LS129" s="251"/>
      <c r="LT129" s="251"/>
      <c r="LU129" s="251"/>
      <c r="LV129" s="251"/>
      <c r="LW129" s="251"/>
      <c r="LX129" s="251"/>
      <c r="LY129" s="251"/>
      <c r="LZ129" s="251"/>
      <c r="MA129" s="251"/>
      <c r="MB129" s="251"/>
      <c r="MC129" s="251"/>
      <c r="MD129" s="251"/>
      <c r="ME129" s="251"/>
      <c r="MF129" s="251"/>
      <c r="MG129" s="251"/>
      <c r="MH129" s="251"/>
      <c r="MI129" s="251"/>
      <c r="MJ129" s="251"/>
      <c r="MK129" s="251"/>
      <c r="ML129" s="251"/>
      <c r="MM129" s="251"/>
      <c r="MN129" s="251"/>
      <c r="MO129" s="251"/>
      <c r="MP129" s="251"/>
      <c r="MQ129" s="251"/>
      <c r="MR129" s="251"/>
      <c r="MS129" s="251"/>
      <c r="MT129" s="251"/>
      <c r="MU129" s="251"/>
      <c r="MV129" s="251"/>
      <c r="MW129" s="251"/>
      <c r="MX129" s="251"/>
      <c r="MY129" s="251"/>
      <c r="MZ129" s="252"/>
      <c r="NA129" s="250"/>
      <c r="NB129" s="251"/>
      <c r="NC129" s="251"/>
      <c r="ND129" s="251"/>
      <c r="NE129" s="252"/>
      <c r="QQ129" s="18"/>
      <c r="QR129" s="19"/>
      <c r="QS129" s="39"/>
      <c r="QT129" s="39"/>
      <c r="QU129" s="39"/>
      <c r="QV129" s="39"/>
      <c r="QW129" s="40"/>
    </row>
    <row r="130" spans="3:465" ht="5.0999999999999996" customHeight="1" x14ac:dyDescent="0.3">
      <c r="C130" s="15"/>
      <c r="D130" s="16"/>
      <c r="J130" s="269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  <c r="AB130" s="270"/>
      <c r="AC130" s="270"/>
      <c r="AD130" s="270"/>
      <c r="AE130" s="270"/>
      <c r="AF130" s="270"/>
      <c r="AG130" s="270"/>
      <c r="AH130" s="270"/>
      <c r="AI130" s="270"/>
      <c r="AJ130" s="270"/>
      <c r="AK130" s="270"/>
      <c r="AL130" s="270"/>
      <c r="AM130" s="270"/>
      <c r="AN130" s="270"/>
      <c r="AO130" s="270"/>
      <c r="AP130" s="270"/>
      <c r="AQ130" s="270"/>
      <c r="AR130" s="270"/>
      <c r="AS130" s="270"/>
      <c r="AT130" s="270"/>
      <c r="AU130" s="270"/>
      <c r="AV130" s="270"/>
      <c r="AW130" s="270"/>
      <c r="AX130" s="271"/>
      <c r="AY130" s="269"/>
      <c r="AZ130" s="270"/>
      <c r="BA130" s="270"/>
      <c r="BB130" s="270"/>
      <c r="BC130" s="271"/>
      <c r="BF130" s="269"/>
      <c r="BG130" s="270"/>
      <c r="BH130" s="270"/>
      <c r="BI130" s="270"/>
      <c r="BJ130" s="270"/>
      <c r="BK130" s="270"/>
      <c r="BL130" s="270"/>
      <c r="BM130" s="270"/>
      <c r="BN130" s="270"/>
      <c r="BO130" s="270"/>
      <c r="BP130" s="270"/>
      <c r="BQ130" s="270"/>
      <c r="BR130" s="270"/>
      <c r="BS130" s="270"/>
      <c r="BT130" s="270"/>
      <c r="BU130" s="270"/>
      <c r="BV130" s="270"/>
      <c r="BW130" s="270"/>
      <c r="BX130" s="270"/>
      <c r="BY130" s="270"/>
      <c r="BZ130" s="270"/>
      <c r="CA130" s="270"/>
      <c r="CB130" s="270"/>
      <c r="CC130" s="270"/>
      <c r="CD130" s="270"/>
      <c r="CE130" s="270"/>
      <c r="CF130" s="270"/>
      <c r="CG130" s="270"/>
      <c r="CH130" s="270"/>
      <c r="CI130" s="270"/>
      <c r="CJ130" s="270"/>
      <c r="CK130" s="270"/>
      <c r="CL130" s="270"/>
      <c r="CM130" s="270"/>
      <c r="CN130" s="270"/>
      <c r="CO130" s="270"/>
      <c r="CP130" s="270"/>
      <c r="CQ130" s="270"/>
      <c r="CR130" s="270"/>
      <c r="CS130" s="270"/>
      <c r="CT130" s="271"/>
      <c r="CU130" s="269"/>
      <c r="CV130" s="270"/>
      <c r="CW130" s="270"/>
      <c r="CX130" s="270"/>
      <c r="CY130" s="271"/>
      <c r="DB130" s="269"/>
      <c r="DC130" s="270"/>
      <c r="DD130" s="270"/>
      <c r="DE130" s="270"/>
      <c r="DF130" s="270"/>
      <c r="DG130" s="270"/>
      <c r="DH130" s="270"/>
      <c r="DI130" s="270"/>
      <c r="DJ130" s="270"/>
      <c r="DK130" s="270"/>
      <c r="DL130" s="270"/>
      <c r="DM130" s="270"/>
      <c r="DN130" s="270"/>
      <c r="DO130" s="270"/>
      <c r="DP130" s="270"/>
      <c r="DQ130" s="270"/>
      <c r="DR130" s="270"/>
      <c r="DS130" s="270"/>
      <c r="DT130" s="270"/>
      <c r="DU130" s="270"/>
      <c r="DV130" s="270"/>
      <c r="DW130" s="270"/>
      <c r="DX130" s="270"/>
      <c r="DY130" s="270"/>
      <c r="DZ130" s="270"/>
      <c r="EA130" s="270"/>
      <c r="EB130" s="270"/>
      <c r="EC130" s="270"/>
      <c r="ED130" s="270"/>
      <c r="EE130" s="270"/>
      <c r="EF130" s="270"/>
      <c r="EG130" s="270"/>
      <c r="EH130" s="270"/>
      <c r="EI130" s="270"/>
      <c r="EJ130" s="270"/>
      <c r="EK130" s="270"/>
      <c r="EL130" s="270"/>
      <c r="EM130" s="270"/>
      <c r="EN130" s="270"/>
      <c r="EO130" s="270"/>
      <c r="EP130" s="271"/>
      <c r="EQ130" s="269"/>
      <c r="ER130" s="270"/>
      <c r="ES130" s="270"/>
      <c r="ET130" s="270"/>
      <c r="EU130" s="271"/>
      <c r="EX130" s="269"/>
      <c r="EY130" s="270"/>
      <c r="EZ130" s="270"/>
      <c r="FA130" s="270"/>
      <c r="FB130" s="270"/>
      <c r="FC130" s="270"/>
      <c r="FD130" s="270"/>
      <c r="FE130" s="270"/>
      <c r="FF130" s="270"/>
      <c r="FG130" s="270"/>
      <c r="FH130" s="270"/>
      <c r="FI130" s="270"/>
      <c r="FJ130" s="270"/>
      <c r="FK130" s="270"/>
      <c r="FL130" s="270"/>
      <c r="FM130" s="270"/>
      <c r="FN130" s="270"/>
      <c r="FO130" s="270"/>
      <c r="FP130" s="270"/>
      <c r="FQ130" s="270"/>
      <c r="FR130" s="270"/>
      <c r="FS130" s="270"/>
      <c r="FT130" s="270"/>
      <c r="FU130" s="270"/>
      <c r="FV130" s="270"/>
      <c r="FW130" s="270"/>
      <c r="FX130" s="270"/>
      <c r="FY130" s="270"/>
      <c r="FZ130" s="270"/>
      <c r="GA130" s="270"/>
      <c r="GB130" s="270"/>
      <c r="GC130" s="270"/>
      <c r="GD130" s="270"/>
      <c r="GE130" s="270"/>
      <c r="GF130" s="270"/>
      <c r="GG130" s="270"/>
      <c r="GH130" s="270"/>
      <c r="GI130" s="270"/>
      <c r="GJ130" s="270"/>
      <c r="GK130" s="270"/>
      <c r="GL130" s="271"/>
      <c r="GM130" s="269"/>
      <c r="GN130" s="270"/>
      <c r="GO130" s="270"/>
      <c r="GP130" s="270"/>
      <c r="GQ130" s="271"/>
      <c r="GT130" s="269"/>
      <c r="GU130" s="270"/>
      <c r="GV130" s="270"/>
      <c r="GW130" s="270"/>
      <c r="GX130" s="270"/>
      <c r="GY130" s="270"/>
      <c r="GZ130" s="270"/>
      <c r="HA130" s="270"/>
      <c r="HB130" s="270"/>
      <c r="HC130" s="270"/>
      <c r="HD130" s="270"/>
      <c r="HE130" s="270"/>
      <c r="HF130" s="270"/>
      <c r="HG130" s="270"/>
      <c r="HH130" s="270"/>
      <c r="HI130" s="270"/>
      <c r="HJ130" s="270"/>
      <c r="HK130" s="270"/>
      <c r="HL130" s="270"/>
      <c r="HM130" s="270"/>
      <c r="HN130" s="270"/>
      <c r="HO130" s="270"/>
      <c r="HP130" s="270"/>
      <c r="HQ130" s="270"/>
      <c r="HR130" s="270"/>
      <c r="HS130" s="270"/>
      <c r="HT130" s="270"/>
      <c r="HU130" s="270"/>
      <c r="HV130" s="270"/>
      <c r="HW130" s="270"/>
      <c r="HX130" s="270"/>
      <c r="HY130" s="270"/>
      <c r="HZ130" s="270"/>
      <c r="IA130" s="270"/>
      <c r="IB130" s="270"/>
      <c r="IC130" s="270"/>
      <c r="ID130" s="270"/>
      <c r="IE130" s="270"/>
      <c r="IF130" s="270"/>
      <c r="IG130" s="270"/>
      <c r="IH130" s="271"/>
      <c r="II130" s="269"/>
      <c r="IJ130" s="270"/>
      <c r="IK130" s="270"/>
      <c r="IL130" s="270"/>
      <c r="IM130" s="271"/>
      <c r="JK130" s="250"/>
      <c r="JL130" s="251"/>
      <c r="JM130" s="251"/>
      <c r="JN130" s="251"/>
      <c r="JO130" s="251"/>
      <c r="JP130" s="251"/>
      <c r="JQ130" s="251"/>
      <c r="JR130" s="251"/>
      <c r="JS130" s="251"/>
      <c r="JT130" s="251"/>
      <c r="JU130" s="251"/>
      <c r="JV130" s="251"/>
      <c r="JW130" s="251"/>
      <c r="JX130" s="251"/>
      <c r="JY130" s="251"/>
      <c r="JZ130" s="251"/>
      <c r="KA130" s="251"/>
      <c r="KB130" s="251"/>
      <c r="KC130" s="251"/>
      <c r="KD130" s="251"/>
      <c r="KE130" s="251"/>
      <c r="KF130" s="251"/>
      <c r="KG130" s="251"/>
      <c r="KH130" s="251"/>
      <c r="KI130" s="251"/>
      <c r="KJ130" s="251"/>
      <c r="KK130" s="251"/>
      <c r="KL130" s="251"/>
      <c r="KM130" s="251"/>
      <c r="KN130" s="251"/>
      <c r="KO130" s="251"/>
      <c r="KP130" s="251"/>
      <c r="KQ130" s="251"/>
      <c r="KR130" s="251"/>
      <c r="KS130" s="251"/>
      <c r="KT130" s="251"/>
      <c r="KU130" s="251"/>
      <c r="KV130" s="251"/>
      <c r="KW130" s="251"/>
      <c r="KX130" s="252"/>
      <c r="KY130" s="250"/>
      <c r="KZ130" s="251"/>
      <c r="LA130" s="251"/>
      <c r="LB130" s="251"/>
      <c r="LC130" s="252"/>
      <c r="LM130" s="250"/>
      <c r="LN130" s="251"/>
      <c r="LO130" s="251"/>
      <c r="LP130" s="251"/>
      <c r="LQ130" s="251"/>
      <c r="LR130" s="251"/>
      <c r="LS130" s="251"/>
      <c r="LT130" s="251"/>
      <c r="LU130" s="251"/>
      <c r="LV130" s="251"/>
      <c r="LW130" s="251"/>
      <c r="LX130" s="251"/>
      <c r="LY130" s="251"/>
      <c r="LZ130" s="251"/>
      <c r="MA130" s="251"/>
      <c r="MB130" s="251"/>
      <c r="MC130" s="251"/>
      <c r="MD130" s="251"/>
      <c r="ME130" s="251"/>
      <c r="MF130" s="251"/>
      <c r="MG130" s="251"/>
      <c r="MH130" s="251"/>
      <c r="MI130" s="251"/>
      <c r="MJ130" s="251"/>
      <c r="MK130" s="251"/>
      <c r="ML130" s="251"/>
      <c r="MM130" s="251"/>
      <c r="MN130" s="251"/>
      <c r="MO130" s="251"/>
      <c r="MP130" s="251"/>
      <c r="MQ130" s="251"/>
      <c r="MR130" s="251"/>
      <c r="MS130" s="251"/>
      <c r="MT130" s="251"/>
      <c r="MU130" s="251"/>
      <c r="MV130" s="251"/>
      <c r="MW130" s="251"/>
      <c r="MX130" s="251"/>
      <c r="MY130" s="251"/>
      <c r="MZ130" s="252"/>
      <c r="NA130" s="250"/>
      <c r="NB130" s="251"/>
      <c r="NC130" s="251"/>
      <c r="ND130" s="251"/>
      <c r="NE130" s="252"/>
      <c r="QQ130" s="18"/>
      <c r="QR130" s="19"/>
      <c r="QS130" s="39"/>
      <c r="QT130" s="39"/>
      <c r="QU130" s="39"/>
      <c r="QV130" s="39"/>
      <c r="QW130" s="40"/>
    </row>
    <row r="131" spans="3:465" ht="5.0999999999999996" customHeight="1" x14ac:dyDescent="0.3">
      <c r="C131" s="15"/>
      <c r="D131" s="16"/>
      <c r="J131" s="269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  <c r="AA131" s="270"/>
      <c r="AB131" s="270"/>
      <c r="AC131" s="270"/>
      <c r="AD131" s="270"/>
      <c r="AE131" s="270"/>
      <c r="AF131" s="270"/>
      <c r="AG131" s="270"/>
      <c r="AH131" s="270"/>
      <c r="AI131" s="270"/>
      <c r="AJ131" s="270"/>
      <c r="AK131" s="270"/>
      <c r="AL131" s="270"/>
      <c r="AM131" s="270"/>
      <c r="AN131" s="270"/>
      <c r="AO131" s="270"/>
      <c r="AP131" s="270"/>
      <c r="AQ131" s="270"/>
      <c r="AR131" s="270"/>
      <c r="AS131" s="270"/>
      <c r="AT131" s="270"/>
      <c r="AU131" s="270"/>
      <c r="AV131" s="270"/>
      <c r="AW131" s="270"/>
      <c r="AX131" s="271"/>
      <c r="AY131" s="269"/>
      <c r="AZ131" s="270"/>
      <c r="BA131" s="270"/>
      <c r="BB131" s="270"/>
      <c r="BC131" s="271"/>
      <c r="BF131" s="269"/>
      <c r="BG131" s="270"/>
      <c r="BH131" s="270"/>
      <c r="BI131" s="270"/>
      <c r="BJ131" s="270"/>
      <c r="BK131" s="270"/>
      <c r="BL131" s="270"/>
      <c r="BM131" s="270"/>
      <c r="BN131" s="270"/>
      <c r="BO131" s="270"/>
      <c r="BP131" s="270"/>
      <c r="BQ131" s="270"/>
      <c r="BR131" s="270"/>
      <c r="BS131" s="270"/>
      <c r="BT131" s="270"/>
      <c r="BU131" s="270"/>
      <c r="BV131" s="270"/>
      <c r="BW131" s="270"/>
      <c r="BX131" s="270"/>
      <c r="BY131" s="270"/>
      <c r="BZ131" s="270"/>
      <c r="CA131" s="270"/>
      <c r="CB131" s="270"/>
      <c r="CC131" s="270"/>
      <c r="CD131" s="270"/>
      <c r="CE131" s="270"/>
      <c r="CF131" s="270"/>
      <c r="CG131" s="270"/>
      <c r="CH131" s="270"/>
      <c r="CI131" s="270"/>
      <c r="CJ131" s="270"/>
      <c r="CK131" s="270"/>
      <c r="CL131" s="270"/>
      <c r="CM131" s="270"/>
      <c r="CN131" s="270"/>
      <c r="CO131" s="270"/>
      <c r="CP131" s="270"/>
      <c r="CQ131" s="270"/>
      <c r="CR131" s="270"/>
      <c r="CS131" s="270"/>
      <c r="CT131" s="271"/>
      <c r="CU131" s="269"/>
      <c r="CV131" s="270"/>
      <c r="CW131" s="270"/>
      <c r="CX131" s="270"/>
      <c r="CY131" s="271"/>
      <c r="DB131" s="269"/>
      <c r="DC131" s="270"/>
      <c r="DD131" s="270"/>
      <c r="DE131" s="270"/>
      <c r="DF131" s="270"/>
      <c r="DG131" s="270"/>
      <c r="DH131" s="270"/>
      <c r="DI131" s="270"/>
      <c r="DJ131" s="270"/>
      <c r="DK131" s="270"/>
      <c r="DL131" s="270"/>
      <c r="DM131" s="270"/>
      <c r="DN131" s="270"/>
      <c r="DO131" s="270"/>
      <c r="DP131" s="270"/>
      <c r="DQ131" s="270"/>
      <c r="DR131" s="270"/>
      <c r="DS131" s="270"/>
      <c r="DT131" s="270"/>
      <c r="DU131" s="270"/>
      <c r="DV131" s="270"/>
      <c r="DW131" s="270"/>
      <c r="DX131" s="270"/>
      <c r="DY131" s="270"/>
      <c r="DZ131" s="270"/>
      <c r="EA131" s="270"/>
      <c r="EB131" s="270"/>
      <c r="EC131" s="270"/>
      <c r="ED131" s="270"/>
      <c r="EE131" s="270"/>
      <c r="EF131" s="270"/>
      <c r="EG131" s="270"/>
      <c r="EH131" s="270"/>
      <c r="EI131" s="270"/>
      <c r="EJ131" s="270"/>
      <c r="EK131" s="270"/>
      <c r="EL131" s="270"/>
      <c r="EM131" s="270"/>
      <c r="EN131" s="270"/>
      <c r="EO131" s="270"/>
      <c r="EP131" s="271"/>
      <c r="EQ131" s="269"/>
      <c r="ER131" s="270"/>
      <c r="ES131" s="270"/>
      <c r="ET131" s="270"/>
      <c r="EU131" s="271"/>
      <c r="EX131" s="269"/>
      <c r="EY131" s="270"/>
      <c r="EZ131" s="270"/>
      <c r="FA131" s="270"/>
      <c r="FB131" s="270"/>
      <c r="FC131" s="270"/>
      <c r="FD131" s="270"/>
      <c r="FE131" s="270"/>
      <c r="FF131" s="270"/>
      <c r="FG131" s="270"/>
      <c r="FH131" s="270"/>
      <c r="FI131" s="270"/>
      <c r="FJ131" s="270"/>
      <c r="FK131" s="270"/>
      <c r="FL131" s="270"/>
      <c r="FM131" s="270"/>
      <c r="FN131" s="270"/>
      <c r="FO131" s="270"/>
      <c r="FP131" s="270"/>
      <c r="FQ131" s="270"/>
      <c r="FR131" s="270"/>
      <c r="FS131" s="270"/>
      <c r="FT131" s="270"/>
      <c r="FU131" s="270"/>
      <c r="FV131" s="270"/>
      <c r="FW131" s="270"/>
      <c r="FX131" s="270"/>
      <c r="FY131" s="270"/>
      <c r="FZ131" s="270"/>
      <c r="GA131" s="270"/>
      <c r="GB131" s="270"/>
      <c r="GC131" s="270"/>
      <c r="GD131" s="270"/>
      <c r="GE131" s="270"/>
      <c r="GF131" s="270"/>
      <c r="GG131" s="270"/>
      <c r="GH131" s="270"/>
      <c r="GI131" s="270"/>
      <c r="GJ131" s="270"/>
      <c r="GK131" s="270"/>
      <c r="GL131" s="271"/>
      <c r="GM131" s="269"/>
      <c r="GN131" s="270"/>
      <c r="GO131" s="270"/>
      <c r="GP131" s="270"/>
      <c r="GQ131" s="271"/>
      <c r="GT131" s="269"/>
      <c r="GU131" s="270"/>
      <c r="GV131" s="270"/>
      <c r="GW131" s="270"/>
      <c r="GX131" s="270"/>
      <c r="GY131" s="270"/>
      <c r="GZ131" s="270"/>
      <c r="HA131" s="270"/>
      <c r="HB131" s="270"/>
      <c r="HC131" s="270"/>
      <c r="HD131" s="270"/>
      <c r="HE131" s="270"/>
      <c r="HF131" s="270"/>
      <c r="HG131" s="270"/>
      <c r="HH131" s="270"/>
      <c r="HI131" s="270"/>
      <c r="HJ131" s="270"/>
      <c r="HK131" s="270"/>
      <c r="HL131" s="270"/>
      <c r="HM131" s="270"/>
      <c r="HN131" s="270"/>
      <c r="HO131" s="270"/>
      <c r="HP131" s="270"/>
      <c r="HQ131" s="270"/>
      <c r="HR131" s="270"/>
      <c r="HS131" s="270"/>
      <c r="HT131" s="270"/>
      <c r="HU131" s="270"/>
      <c r="HV131" s="270"/>
      <c r="HW131" s="270"/>
      <c r="HX131" s="270"/>
      <c r="HY131" s="270"/>
      <c r="HZ131" s="270"/>
      <c r="IA131" s="270"/>
      <c r="IB131" s="270"/>
      <c r="IC131" s="270"/>
      <c r="ID131" s="270"/>
      <c r="IE131" s="270"/>
      <c r="IF131" s="270"/>
      <c r="IG131" s="270"/>
      <c r="IH131" s="271"/>
      <c r="II131" s="269"/>
      <c r="IJ131" s="270"/>
      <c r="IK131" s="270"/>
      <c r="IL131" s="270"/>
      <c r="IM131" s="271"/>
      <c r="JK131" s="250"/>
      <c r="JL131" s="251"/>
      <c r="JM131" s="251"/>
      <c r="JN131" s="251"/>
      <c r="JO131" s="251"/>
      <c r="JP131" s="251"/>
      <c r="JQ131" s="251"/>
      <c r="JR131" s="251"/>
      <c r="JS131" s="251"/>
      <c r="JT131" s="251"/>
      <c r="JU131" s="251"/>
      <c r="JV131" s="251"/>
      <c r="JW131" s="251"/>
      <c r="JX131" s="251"/>
      <c r="JY131" s="251"/>
      <c r="JZ131" s="251"/>
      <c r="KA131" s="251"/>
      <c r="KB131" s="251"/>
      <c r="KC131" s="251"/>
      <c r="KD131" s="251"/>
      <c r="KE131" s="251"/>
      <c r="KF131" s="251"/>
      <c r="KG131" s="251"/>
      <c r="KH131" s="251"/>
      <c r="KI131" s="251"/>
      <c r="KJ131" s="251"/>
      <c r="KK131" s="251"/>
      <c r="KL131" s="251"/>
      <c r="KM131" s="251"/>
      <c r="KN131" s="251"/>
      <c r="KO131" s="251"/>
      <c r="KP131" s="251"/>
      <c r="KQ131" s="251"/>
      <c r="KR131" s="251"/>
      <c r="KS131" s="251"/>
      <c r="KT131" s="251"/>
      <c r="KU131" s="251"/>
      <c r="KV131" s="251"/>
      <c r="KW131" s="251"/>
      <c r="KX131" s="252"/>
      <c r="KY131" s="250"/>
      <c r="KZ131" s="251"/>
      <c r="LA131" s="251"/>
      <c r="LB131" s="251"/>
      <c r="LC131" s="252"/>
      <c r="LM131" s="250"/>
      <c r="LN131" s="251"/>
      <c r="LO131" s="251"/>
      <c r="LP131" s="251"/>
      <c r="LQ131" s="251"/>
      <c r="LR131" s="251"/>
      <c r="LS131" s="251"/>
      <c r="LT131" s="251"/>
      <c r="LU131" s="251"/>
      <c r="LV131" s="251"/>
      <c r="LW131" s="251"/>
      <c r="LX131" s="251"/>
      <c r="LY131" s="251"/>
      <c r="LZ131" s="251"/>
      <c r="MA131" s="251"/>
      <c r="MB131" s="251"/>
      <c r="MC131" s="251"/>
      <c r="MD131" s="251"/>
      <c r="ME131" s="251"/>
      <c r="MF131" s="251"/>
      <c r="MG131" s="251"/>
      <c r="MH131" s="251"/>
      <c r="MI131" s="251"/>
      <c r="MJ131" s="251"/>
      <c r="MK131" s="251"/>
      <c r="ML131" s="251"/>
      <c r="MM131" s="251"/>
      <c r="MN131" s="251"/>
      <c r="MO131" s="251"/>
      <c r="MP131" s="251"/>
      <c r="MQ131" s="251"/>
      <c r="MR131" s="251"/>
      <c r="MS131" s="251"/>
      <c r="MT131" s="251"/>
      <c r="MU131" s="251"/>
      <c r="MV131" s="251"/>
      <c r="MW131" s="251"/>
      <c r="MX131" s="251"/>
      <c r="MY131" s="251"/>
      <c r="MZ131" s="252"/>
      <c r="NA131" s="250"/>
      <c r="NB131" s="251"/>
      <c r="NC131" s="251"/>
      <c r="ND131" s="251"/>
      <c r="NE131" s="252"/>
      <c r="QQ131" s="18"/>
      <c r="QR131" s="19"/>
      <c r="QS131" s="39"/>
      <c r="QT131" s="39"/>
      <c r="QU131" s="39"/>
      <c r="QV131" s="39"/>
      <c r="QW131" s="40"/>
    </row>
    <row r="132" spans="3:465" ht="5.0999999999999996" customHeight="1" x14ac:dyDescent="0.3">
      <c r="C132" s="15"/>
      <c r="D132" s="16"/>
      <c r="J132" s="269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  <c r="AB132" s="270"/>
      <c r="AC132" s="270"/>
      <c r="AD132" s="270"/>
      <c r="AE132" s="270"/>
      <c r="AF132" s="270"/>
      <c r="AG132" s="270"/>
      <c r="AH132" s="270"/>
      <c r="AI132" s="270"/>
      <c r="AJ132" s="270"/>
      <c r="AK132" s="270"/>
      <c r="AL132" s="270"/>
      <c r="AM132" s="270"/>
      <c r="AN132" s="270"/>
      <c r="AO132" s="270"/>
      <c r="AP132" s="270"/>
      <c r="AQ132" s="270"/>
      <c r="AR132" s="270"/>
      <c r="AS132" s="270"/>
      <c r="AT132" s="270"/>
      <c r="AU132" s="270"/>
      <c r="AV132" s="270"/>
      <c r="AW132" s="270"/>
      <c r="AX132" s="271"/>
      <c r="AY132" s="269"/>
      <c r="AZ132" s="270"/>
      <c r="BA132" s="270"/>
      <c r="BB132" s="270"/>
      <c r="BC132" s="271"/>
      <c r="BF132" s="269"/>
      <c r="BG132" s="270"/>
      <c r="BH132" s="270"/>
      <c r="BI132" s="270"/>
      <c r="BJ132" s="270"/>
      <c r="BK132" s="270"/>
      <c r="BL132" s="270"/>
      <c r="BM132" s="270"/>
      <c r="BN132" s="270"/>
      <c r="BO132" s="270"/>
      <c r="BP132" s="270"/>
      <c r="BQ132" s="270"/>
      <c r="BR132" s="270"/>
      <c r="BS132" s="270"/>
      <c r="BT132" s="270"/>
      <c r="BU132" s="270"/>
      <c r="BV132" s="270"/>
      <c r="BW132" s="270"/>
      <c r="BX132" s="270"/>
      <c r="BY132" s="270"/>
      <c r="BZ132" s="270"/>
      <c r="CA132" s="270"/>
      <c r="CB132" s="270"/>
      <c r="CC132" s="270"/>
      <c r="CD132" s="270"/>
      <c r="CE132" s="270"/>
      <c r="CF132" s="270"/>
      <c r="CG132" s="270"/>
      <c r="CH132" s="270"/>
      <c r="CI132" s="270"/>
      <c r="CJ132" s="270"/>
      <c r="CK132" s="270"/>
      <c r="CL132" s="270"/>
      <c r="CM132" s="270"/>
      <c r="CN132" s="270"/>
      <c r="CO132" s="270"/>
      <c r="CP132" s="270"/>
      <c r="CQ132" s="270"/>
      <c r="CR132" s="270"/>
      <c r="CS132" s="270"/>
      <c r="CT132" s="271"/>
      <c r="CU132" s="269"/>
      <c r="CV132" s="270"/>
      <c r="CW132" s="270"/>
      <c r="CX132" s="270"/>
      <c r="CY132" s="271"/>
      <c r="DB132" s="269"/>
      <c r="DC132" s="270"/>
      <c r="DD132" s="270"/>
      <c r="DE132" s="270"/>
      <c r="DF132" s="270"/>
      <c r="DG132" s="270"/>
      <c r="DH132" s="270"/>
      <c r="DI132" s="270"/>
      <c r="DJ132" s="270"/>
      <c r="DK132" s="270"/>
      <c r="DL132" s="270"/>
      <c r="DM132" s="270"/>
      <c r="DN132" s="270"/>
      <c r="DO132" s="270"/>
      <c r="DP132" s="270"/>
      <c r="DQ132" s="270"/>
      <c r="DR132" s="270"/>
      <c r="DS132" s="270"/>
      <c r="DT132" s="270"/>
      <c r="DU132" s="270"/>
      <c r="DV132" s="270"/>
      <c r="DW132" s="270"/>
      <c r="DX132" s="270"/>
      <c r="DY132" s="270"/>
      <c r="DZ132" s="270"/>
      <c r="EA132" s="270"/>
      <c r="EB132" s="270"/>
      <c r="EC132" s="270"/>
      <c r="ED132" s="270"/>
      <c r="EE132" s="270"/>
      <c r="EF132" s="270"/>
      <c r="EG132" s="270"/>
      <c r="EH132" s="270"/>
      <c r="EI132" s="270"/>
      <c r="EJ132" s="270"/>
      <c r="EK132" s="270"/>
      <c r="EL132" s="270"/>
      <c r="EM132" s="270"/>
      <c r="EN132" s="270"/>
      <c r="EO132" s="270"/>
      <c r="EP132" s="271"/>
      <c r="EQ132" s="269"/>
      <c r="ER132" s="270"/>
      <c r="ES132" s="270"/>
      <c r="ET132" s="270"/>
      <c r="EU132" s="271"/>
      <c r="EX132" s="269"/>
      <c r="EY132" s="270"/>
      <c r="EZ132" s="270"/>
      <c r="FA132" s="270"/>
      <c r="FB132" s="270"/>
      <c r="FC132" s="270"/>
      <c r="FD132" s="270"/>
      <c r="FE132" s="270"/>
      <c r="FF132" s="270"/>
      <c r="FG132" s="270"/>
      <c r="FH132" s="270"/>
      <c r="FI132" s="270"/>
      <c r="FJ132" s="270"/>
      <c r="FK132" s="270"/>
      <c r="FL132" s="270"/>
      <c r="FM132" s="270"/>
      <c r="FN132" s="270"/>
      <c r="FO132" s="270"/>
      <c r="FP132" s="270"/>
      <c r="FQ132" s="270"/>
      <c r="FR132" s="270"/>
      <c r="FS132" s="270"/>
      <c r="FT132" s="270"/>
      <c r="FU132" s="270"/>
      <c r="FV132" s="270"/>
      <c r="FW132" s="270"/>
      <c r="FX132" s="270"/>
      <c r="FY132" s="270"/>
      <c r="FZ132" s="270"/>
      <c r="GA132" s="270"/>
      <c r="GB132" s="270"/>
      <c r="GC132" s="270"/>
      <c r="GD132" s="270"/>
      <c r="GE132" s="270"/>
      <c r="GF132" s="270"/>
      <c r="GG132" s="270"/>
      <c r="GH132" s="270"/>
      <c r="GI132" s="270"/>
      <c r="GJ132" s="270"/>
      <c r="GK132" s="270"/>
      <c r="GL132" s="271"/>
      <c r="GM132" s="269"/>
      <c r="GN132" s="270"/>
      <c r="GO132" s="270"/>
      <c r="GP132" s="270"/>
      <c r="GQ132" s="271"/>
      <c r="GT132" s="269"/>
      <c r="GU132" s="270"/>
      <c r="GV132" s="270"/>
      <c r="GW132" s="270"/>
      <c r="GX132" s="270"/>
      <c r="GY132" s="270"/>
      <c r="GZ132" s="270"/>
      <c r="HA132" s="270"/>
      <c r="HB132" s="270"/>
      <c r="HC132" s="270"/>
      <c r="HD132" s="270"/>
      <c r="HE132" s="270"/>
      <c r="HF132" s="270"/>
      <c r="HG132" s="270"/>
      <c r="HH132" s="270"/>
      <c r="HI132" s="270"/>
      <c r="HJ132" s="270"/>
      <c r="HK132" s="270"/>
      <c r="HL132" s="270"/>
      <c r="HM132" s="270"/>
      <c r="HN132" s="270"/>
      <c r="HO132" s="270"/>
      <c r="HP132" s="270"/>
      <c r="HQ132" s="270"/>
      <c r="HR132" s="270"/>
      <c r="HS132" s="270"/>
      <c r="HT132" s="270"/>
      <c r="HU132" s="270"/>
      <c r="HV132" s="270"/>
      <c r="HW132" s="270"/>
      <c r="HX132" s="270"/>
      <c r="HY132" s="270"/>
      <c r="HZ132" s="270"/>
      <c r="IA132" s="270"/>
      <c r="IB132" s="270"/>
      <c r="IC132" s="270"/>
      <c r="ID132" s="270"/>
      <c r="IE132" s="270"/>
      <c r="IF132" s="270"/>
      <c r="IG132" s="270"/>
      <c r="IH132" s="271"/>
      <c r="II132" s="269"/>
      <c r="IJ132" s="270"/>
      <c r="IK132" s="270"/>
      <c r="IL132" s="270"/>
      <c r="IM132" s="271"/>
      <c r="JK132" s="250"/>
      <c r="JL132" s="251"/>
      <c r="JM132" s="251"/>
      <c r="JN132" s="251"/>
      <c r="JO132" s="251"/>
      <c r="JP132" s="251"/>
      <c r="JQ132" s="251"/>
      <c r="JR132" s="251"/>
      <c r="JS132" s="251"/>
      <c r="JT132" s="251"/>
      <c r="JU132" s="251"/>
      <c r="JV132" s="251"/>
      <c r="JW132" s="251"/>
      <c r="JX132" s="251"/>
      <c r="JY132" s="251"/>
      <c r="JZ132" s="251"/>
      <c r="KA132" s="251"/>
      <c r="KB132" s="251"/>
      <c r="KC132" s="251"/>
      <c r="KD132" s="251"/>
      <c r="KE132" s="251"/>
      <c r="KF132" s="251"/>
      <c r="KG132" s="251"/>
      <c r="KH132" s="251"/>
      <c r="KI132" s="251"/>
      <c r="KJ132" s="251"/>
      <c r="KK132" s="251"/>
      <c r="KL132" s="251"/>
      <c r="KM132" s="251"/>
      <c r="KN132" s="251"/>
      <c r="KO132" s="251"/>
      <c r="KP132" s="251"/>
      <c r="KQ132" s="251"/>
      <c r="KR132" s="251"/>
      <c r="KS132" s="251"/>
      <c r="KT132" s="251"/>
      <c r="KU132" s="251"/>
      <c r="KV132" s="251"/>
      <c r="KW132" s="251"/>
      <c r="KX132" s="252"/>
      <c r="KY132" s="250"/>
      <c r="KZ132" s="251"/>
      <c r="LA132" s="251"/>
      <c r="LB132" s="251"/>
      <c r="LC132" s="252"/>
      <c r="LM132" s="250"/>
      <c r="LN132" s="251"/>
      <c r="LO132" s="251"/>
      <c r="LP132" s="251"/>
      <c r="LQ132" s="251"/>
      <c r="LR132" s="251"/>
      <c r="LS132" s="251"/>
      <c r="LT132" s="251"/>
      <c r="LU132" s="251"/>
      <c r="LV132" s="251"/>
      <c r="LW132" s="251"/>
      <c r="LX132" s="251"/>
      <c r="LY132" s="251"/>
      <c r="LZ132" s="251"/>
      <c r="MA132" s="251"/>
      <c r="MB132" s="251"/>
      <c r="MC132" s="251"/>
      <c r="MD132" s="251"/>
      <c r="ME132" s="251"/>
      <c r="MF132" s="251"/>
      <c r="MG132" s="251"/>
      <c r="MH132" s="251"/>
      <c r="MI132" s="251"/>
      <c r="MJ132" s="251"/>
      <c r="MK132" s="251"/>
      <c r="ML132" s="251"/>
      <c r="MM132" s="251"/>
      <c r="MN132" s="251"/>
      <c r="MO132" s="251"/>
      <c r="MP132" s="251"/>
      <c r="MQ132" s="251"/>
      <c r="MR132" s="251"/>
      <c r="MS132" s="251"/>
      <c r="MT132" s="251"/>
      <c r="MU132" s="251"/>
      <c r="MV132" s="251"/>
      <c r="MW132" s="251"/>
      <c r="MX132" s="251"/>
      <c r="MY132" s="251"/>
      <c r="MZ132" s="252"/>
      <c r="NA132" s="250"/>
      <c r="NB132" s="251"/>
      <c r="NC132" s="251"/>
      <c r="ND132" s="251"/>
      <c r="NE132" s="252"/>
      <c r="QQ132" s="18"/>
      <c r="QR132" s="19"/>
      <c r="QS132" s="39"/>
      <c r="QT132" s="39"/>
      <c r="QU132" s="39"/>
      <c r="QV132" s="39"/>
      <c r="QW132" s="40"/>
    </row>
    <row r="133" spans="3:465" ht="5.0999999999999996" customHeight="1" x14ac:dyDescent="0.3">
      <c r="C133" s="15"/>
      <c r="D133" s="16"/>
      <c r="J133" s="269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  <c r="AB133" s="270"/>
      <c r="AC133" s="270"/>
      <c r="AD133" s="270"/>
      <c r="AE133" s="270"/>
      <c r="AF133" s="270"/>
      <c r="AG133" s="270"/>
      <c r="AH133" s="270"/>
      <c r="AI133" s="270"/>
      <c r="AJ133" s="270"/>
      <c r="AK133" s="270"/>
      <c r="AL133" s="270"/>
      <c r="AM133" s="270"/>
      <c r="AN133" s="270"/>
      <c r="AO133" s="270"/>
      <c r="AP133" s="270"/>
      <c r="AQ133" s="270"/>
      <c r="AR133" s="270"/>
      <c r="AS133" s="270"/>
      <c r="AT133" s="270"/>
      <c r="AU133" s="270"/>
      <c r="AV133" s="270"/>
      <c r="AW133" s="270"/>
      <c r="AX133" s="271"/>
      <c r="AY133" s="269"/>
      <c r="AZ133" s="270"/>
      <c r="BA133" s="270"/>
      <c r="BB133" s="270"/>
      <c r="BC133" s="271"/>
      <c r="BF133" s="269"/>
      <c r="BG133" s="270"/>
      <c r="BH133" s="270"/>
      <c r="BI133" s="270"/>
      <c r="BJ133" s="270"/>
      <c r="BK133" s="270"/>
      <c r="BL133" s="270"/>
      <c r="BM133" s="270"/>
      <c r="BN133" s="270"/>
      <c r="BO133" s="270"/>
      <c r="BP133" s="270"/>
      <c r="BQ133" s="270"/>
      <c r="BR133" s="270"/>
      <c r="BS133" s="270"/>
      <c r="BT133" s="270"/>
      <c r="BU133" s="270"/>
      <c r="BV133" s="270"/>
      <c r="BW133" s="270"/>
      <c r="BX133" s="270"/>
      <c r="BY133" s="270"/>
      <c r="BZ133" s="270"/>
      <c r="CA133" s="270"/>
      <c r="CB133" s="270"/>
      <c r="CC133" s="270"/>
      <c r="CD133" s="270"/>
      <c r="CE133" s="270"/>
      <c r="CF133" s="270"/>
      <c r="CG133" s="270"/>
      <c r="CH133" s="270"/>
      <c r="CI133" s="270"/>
      <c r="CJ133" s="270"/>
      <c r="CK133" s="270"/>
      <c r="CL133" s="270"/>
      <c r="CM133" s="270"/>
      <c r="CN133" s="270"/>
      <c r="CO133" s="270"/>
      <c r="CP133" s="270"/>
      <c r="CQ133" s="270"/>
      <c r="CR133" s="270"/>
      <c r="CS133" s="270"/>
      <c r="CT133" s="271"/>
      <c r="CU133" s="269"/>
      <c r="CV133" s="270"/>
      <c r="CW133" s="270"/>
      <c r="CX133" s="270"/>
      <c r="CY133" s="271"/>
      <c r="DB133" s="269"/>
      <c r="DC133" s="270"/>
      <c r="DD133" s="270"/>
      <c r="DE133" s="270"/>
      <c r="DF133" s="270"/>
      <c r="DG133" s="270"/>
      <c r="DH133" s="270"/>
      <c r="DI133" s="270"/>
      <c r="DJ133" s="270"/>
      <c r="DK133" s="270"/>
      <c r="DL133" s="270"/>
      <c r="DM133" s="270"/>
      <c r="DN133" s="270"/>
      <c r="DO133" s="270"/>
      <c r="DP133" s="270"/>
      <c r="DQ133" s="270"/>
      <c r="DR133" s="270"/>
      <c r="DS133" s="270"/>
      <c r="DT133" s="270"/>
      <c r="DU133" s="270"/>
      <c r="DV133" s="270"/>
      <c r="DW133" s="270"/>
      <c r="DX133" s="270"/>
      <c r="DY133" s="270"/>
      <c r="DZ133" s="270"/>
      <c r="EA133" s="270"/>
      <c r="EB133" s="270"/>
      <c r="EC133" s="270"/>
      <c r="ED133" s="270"/>
      <c r="EE133" s="270"/>
      <c r="EF133" s="270"/>
      <c r="EG133" s="270"/>
      <c r="EH133" s="270"/>
      <c r="EI133" s="270"/>
      <c r="EJ133" s="270"/>
      <c r="EK133" s="270"/>
      <c r="EL133" s="270"/>
      <c r="EM133" s="270"/>
      <c r="EN133" s="270"/>
      <c r="EO133" s="270"/>
      <c r="EP133" s="271"/>
      <c r="EQ133" s="269"/>
      <c r="ER133" s="270"/>
      <c r="ES133" s="270"/>
      <c r="ET133" s="270"/>
      <c r="EU133" s="271"/>
      <c r="EX133" s="269"/>
      <c r="EY133" s="270"/>
      <c r="EZ133" s="270"/>
      <c r="FA133" s="270"/>
      <c r="FB133" s="270"/>
      <c r="FC133" s="270"/>
      <c r="FD133" s="270"/>
      <c r="FE133" s="270"/>
      <c r="FF133" s="270"/>
      <c r="FG133" s="270"/>
      <c r="FH133" s="270"/>
      <c r="FI133" s="270"/>
      <c r="FJ133" s="270"/>
      <c r="FK133" s="270"/>
      <c r="FL133" s="270"/>
      <c r="FM133" s="270"/>
      <c r="FN133" s="270"/>
      <c r="FO133" s="270"/>
      <c r="FP133" s="270"/>
      <c r="FQ133" s="270"/>
      <c r="FR133" s="270"/>
      <c r="FS133" s="270"/>
      <c r="FT133" s="270"/>
      <c r="FU133" s="270"/>
      <c r="FV133" s="270"/>
      <c r="FW133" s="270"/>
      <c r="FX133" s="270"/>
      <c r="FY133" s="270"/>
      <c r="FZ133" s="270"/>
      <c r="GA133" s="270"/>
      <c r="GB133" s="270"/>
      <c r="GC133" s="270"/>
      <c r="GD133" s="270"/>
      <c r="GE133" s="270"/>
      <c r="GF133" s="270"/>
      <c r="GG133" s="270"/>
      <c r="GH133" s="270"/>
      <c r="GI133" s="270"/>
      <c r="GJ133" s="270"/>
      <c r="GK133" s="270"/>
      <c r="GL133" s="271"/>
      <c r="GM133" s="269"/>
      <c r="GN133" s="270"/>
      <c r="GO133" s="270"/>
      <c r="GP133" s="270"/>
      <c r="GQ133" s="271"/>
      <c r="GT133" s="269"/>
      <c r="GU133" s="270"/>
      <c r="GV133" s="270"/>
      <c r="GW133" s="270"/>
      <c r="GX133" s="270"/>
      <c r="GY133" s="270"/>
      <c r="GZ133" s="270"/>
      <c r="HA133" s="270"/>
      <c r="HB133" s="270"/>
      <c r="HC133" s="270"/>
      <c r="HD133" s="270"/>
      <c r="HE133" s="270"/>
      <c r="HF133" s="270"/>
      <c r="HG133" s="270"/>
      <c r="HH133" s="270"/>
      <c r="HI133" s="270"/>
      <c r="HJ133" s="270"/>
      <c r="HK133" s="270"/>
      <c r="HL133" s="270"/>
      <c r="HM133" s="270"/>
      <c r="HN133" s="270"/>
      <c r="HO133" s="270"/>
      <c r="HP133" s="270"/>
      <c r="HQ133" s="270"/>
      <c r="HR133" s="270"/>
      <c r="HS133" s="270"/>
      <c r="HT133" s="270"/>
      <c r="HU133" s="270"/>
      <c r="HV133" s="270"/>
      <c r="HW133" s="270"/>
      <c r="HX133" s="270"/>
      <c r="HY133" s="270"/>
      <c r="HZ133" s="270"/>
      <c r="IA133" s="270"/>
      <c r="IB133" s="270"/>
      <c r="IC133" s="270"/>
      <c r="ID133" s="270"/>
      <c r="IE133" s="270"/>
      <c r="IF133" s="270"/>
      <c r="IG133" s="270"/>
      <c r="IH133" s="271"/>
      <c r="II133" s="269"/>
      <c r="IJ133" s="270"/>
      <c r="IK133" s="270"/>
      <c r="IL133" s="270"/>
      <c r="IM133" s="271"/>
      <c r="JK133" s="250"/>
      <c r="JL133" s="251"/>
      <c r="JM133" s="251"/>
      <c r="JN133" s="251"/>
      <c r="JO133" s="251"/>
      <c r="JP133" s="251"/>
      <c r="JQ133" s="251"/>
      <c r="JR133" s="251"/>
      <c r="JS133" s="251"/>
      <c r="JT133" s="251"/>
      <c r="JU133" s="251"/>
      <c r="JV133" s="251"/>
      <c r="JW133" s="251"/>
      <c r="JX133" s="251"/>
      <c r="JY133" s="251"/>
      <c r="JZ133" s="251"/>
      <c r="KA133" s="251"/>
      <c r="KB133" s="251"/>
      <c r="KC133" s="251"/>
      <c r="KD133" s="251"/>
      <c r="KE133" s="251"/>
      <c r="KF133" s="251"/>
      <c r="KG133" s="251"/>
      <c r="KH133" s="251"/>
      <c r="KI133" s="251"/>
      <c r="KJ133" s="251"/>
      <c r="KK133" s="251"/>
      <c r="KL133" s="251"/>
      <c r="KM133" s="251"/>
      <c r="KN133" s="251"/>
      <c r="KO133" s="251"/>
      <c r="KP133" s="251"/>
      <c r="KQ133" s="251"/>
      <c r="KR133" s="251"/>
      <c r="KS133" s="251"/>
      <c r="KT133" s="251"/>
      <c r="KU133" s="251"/>
      <c r="KV133" s="251"/>
      <c r="KW133" s="251"/>
      <c r="KX133" s="252"/>
      <c r="KY133" s="250"/>
      <c r="KZ133" s="251"/>
      <c r="LA133" s="251"/>
      <c r="LB133" s="251"/>
      <c r="LC133" s="252"/>
      <c r="LM133" s="250"/>
      <c r="LN133" s="251"/>
      <c r="LO133" s="251"/>
      <c r="LP133" s="251"/>
      <c r="LQ133" s="251"/>
      <c r="LR133" s="251"/>
      <c r="LS133" s="251"/>
      <c r="LT133" s="251"/>
      <c r="LU133" s="251"/>
      <c r="LV133" s="251"/>
      <c r="LW133" s="251"/>
      <c r="LX133" s="251"/>
      <c r="LY133" s="251"/>
      <c r="LZ133" s="251"/>
      <c r="MA133" s="251"/>
      <c r="MB133" s="251"/>
      <c r="MC133" s="251"/>
      <c r="MD133" s="251"/>
      <c r="ME133" s="251"/>
      <c r="MF133" s="251"/>
      <c r="MG133" s="251"/>
      <c r="MH133" s="251"/>
      <c r="MI133" s="251"/>
      <c r="MJ133" s="251"/>
      <c r="MK133" s="251"/>
      <c r="ML133" s="251"/>
      <c r="MM133" s="251"/>
      <c r="MN133" s="251"/>
      <c r="MO133" s="251"/>
      <c r="MP133" s="251"/>
      <c r="MQ133" s="251"/>
      <c r="MR133" s="251"/>
      <c r="MS133" s="251"/>
      <c r="MT133" s="251"/>
      <c r="MU133" s="251"/>
      <c r="MV133" s="251"/>
      <c r="MW133" s="251"/>
      <c r="MX133" s="251"/>
      <c r="MY133" s="251"/>
      <c r="MZ133" s="252"/>
      <c r="NA133" s="250"/>
      <c r="NB133" s="251"/>
      <c r="NC133" s="251"/>
      <c r="ND133" s="251"/>
      <c r="NE133" s="252"/>
      <c r="QQ133" s="18"/>
      <c r="QR133" s="19"/>
      <c r="QS133" s="39"/>
      <c r="QT133" s="39"/>
      <c r="QU133" s="39"/>
      <c r="QV133" s="39"/>
      <c r="QW133" s="40"/>
    </row>
    <row r="134" spans="3:465" ht="5.0999999999999996" customHeight="1" x14ac:dyDescent="0.3">
      <c r="C134" s="15"/>
      <c r="D134" s="16"/>
      <c r="J134" s="269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  <c r="AB134" s="270"/>
      <c r="AC134" s="270"/>
      <c r="AD134" s="270"/>
      <c r="AE134" s="270"/>
      <c r="AF134" s="270"/>
      <c r="AG134" s="270"/>
      <c r="AH134" s="270"/>
      <c r="AI134" s="270"/>
      <c r="AJ134" s="270"/>
      <c r="AK134" s="270"/>
      <c r="AL134" s="270"/>
      <c r="AM134" s="270"/>
      <c r="AN134" s="270"/>
      <c r="AO134" s="270"/>
      <c r="AP134" s="270"/>
      <c r="AQ134" s="270"/>
      <c r="AR134" s="270"/>
      <c r="AS134" s="270"/>
      <c r="AT134" s="270"/>
      <c r="AU134" s="270"/>
      <c r="AV134" s="270"/>
      <c r="AW134" s="270"/>
      <c r="AX134" s="271"/>
      <c r="AY134" s="269"/>
      <c r="AZ134" s="270"/>
      <c r="BA134" s="270"/>
      <c r="BB134" s="270"/>
      <c r="BC134" s="271"/>
      <c r="BF134" s="269"/>
      <c r="BG134" s="270"/>
      <c r="BH134" s="270"/>
      <c r="BI134" s="270"/>
      <c r="BJ134" s="270"/>
      <c r="BK134" s="270"/>
      <c r="BL134" s="270"/>
      <c r="BM134" s="270"/>
      <c r="BN134" s="270"/>
      <c r="BO134" s="270"/>
      <c r="BP134" s="270"/>
      <c r="BQ134" s="270"/>
      <c r="BR134" s="270"/>
      <c r="BS134" s="270"/>
      <c r="BT134" s="270"/>
      <c r="BU134" s="270"/>
      <c r="BV134" s="270"/>
      <c r="BW134" s="270"/>
      <c r="BX134" s="270"/>
      <c r="BY134" s="270"/>
      <c r="BZ134" s="270"/>
      <c r="CA134" s="270"/>
      <c r="CB134" s="270"/>
      <c r="CC134" s="270"/>
      <c r="CD134" s="270"/>
      <c r="CE134" s="270"/>
      <c r="CF134" s="270"/>
      <c r="CG134" s="270"/>
      <c r="CH134" s="270"/>
      <c r="CI134" s="270"/>
      <c r="CJ134" s="270"/>
      <c r="CK134" s="270"/>
      <c r="CL134" s="270"/>
      <c r="CM134" s="270"/>
      <c r="CN134" s="270"/>
      <c r="CO134" s="270"/>
      <c r="CP134" s="270"/>
      <c r="CQ134" s="270"/>
      <c r="CR134" s="270"/>
      <c r="CS134" s="270"/>
      <c r="CT134" s="271"/>
      <c r="CU134" s="269"/>
      <c r="CV134" s="270"/>
      <c r="CW134" s="270"/>
      <c r="CX134" s="270"/>
      <c r="CY134" s="271"/>
      <c r="DB134" s="269"/>
      <c r="DC134" s="270"/>
      <c r="DD134" s="270"/>
      <c r="DE134" s="270"/>
      <c r="DF134" s="270"/>
      <c r="DG134" s="270"/>
      <c r="DH134" s="270"/>
      <c r="DI134" s="270"/>
      <c r="DJ134" s="270"/>
      <c r="DK134" s="270"/>
      <c r="DL134" s="270"/>
      <c r="DM134" s="270"/>
      <c r="DN134" s="270"/>
      <c r="DO134" s="270"/>
      <c r="DP134" s="270"/>
      <c r="DQ134" s="270"/>
      <c r="DR134" s="270"/>
      <c r="DS134" s="270"/>
      <c r="DT134" s="270"/>
      <c r="DU134" s="270"/>
      <c r="DV134" s="270"/>
      <c r="DW134" s="270"/>
      <c r="DX134" s="270"/>
      <c r="DY134" s="270"/>
      <c r="DZ134" s="270"/>
      <c r="EA134" s="270"/>
      <c r="EB134" s="270"/>
      <c r="EC134" s="270"/>
      <c r="ED134" s="270"/>
      <c r="EE134" s="270"/>
      <c r="EF134" s="270"/>
      <c r="EG134" s="270"/>
      <c r="EH134" s="270"/>
      <c r="EI134" s="270"/>
      <c r="EJ134" s="270"/>
      <c r="EK134" s="270"/>
      <c r="EL134" s="270"/>
      <c r="EM134" s="270"/>
      <c r="EN134" s="270"/>
      <c r="EO134" s="270"/>
      <c r="EP134" s="271"/>
      <c r="EQ134" s="269"/>
      <c r="ER134" s="270"/>
      <c r="ES134" s="270"/>
      <c r="ET134" s="270"/>
      <c r="EU134" s="271"/>
      <c r="EX134" s="269"/>
      <c r="EY134" s="270"/>
      <c r="EZ134" s="270"/>
      <c r="FA134" s="270"/>
      <c r="FB134" s="270"/>
      <c r="FC134" s="270"/>
      <c r="FD134" s="270"/>
      <c r="FE134" s="270"/>
      <c r="FF134" s="270"/>
      <c r="FG134" s="270"/>
      <c r="FH134" s="270"/>
      <c r="FI134" s="270"/>
      <c r="FJ134" s="270"/>
      <c r="FK134" s="270"/>
      <c r="FL134" s="270"/>
      <c r="FM134" s="270"/>
      <c r="FN134" s="270"/>
      <c r="FO134" s="270"/>
      <c r="FP134" s="270"/>
      <c r="FQ134" s="270"/>
      <c r="FR134" s="270"/>
      <c r="FS134" s="270"/>
      <c r="FT134" s="270"/>
      <c r="FU134" s="270"/>
      <c r="FV134" s="270"/>
      <c r="FW134" s="270"/>
      <c r="FX134" s="270"/>
      <c r="FY134" s="270"/>
      <c r="FZ134" s="270"/>
      <c r="GA134" s="270"/>
      <c r="GB134" s="270"/>
      <c r="GC134" s="270"/>
      <c r="GD134" s="270"/>
      <c r="GE134" s="270"/>
      <c r="GF134" s="270"/>
      <c r="GG134" s="270"/>
      <c r="GH134" s="270"/>
      <c r="GI134" s="270"/>
      <c r="GJ134" s="270"/>
      <c r="GK134" s="270"/>
      <c r="GL134" s="271"/>
      <c r="GM134" s="269"/>
      <c r="GN134" s="270"/>
      <c r="GO134" s="270"/>
      <c r="GP134" s="270"/>
      <c r="GQ134" s="271"/>
      <c r="GT134" s="269"/>
      <c r="GU134" s="270"/>
      <c r="GV134" s="270"/>
      <c r="GW134" s="270"/>
      <c r="GX134" s="270"/>
      <c r="GY134" s="270"/>
      <c r="GZ134" s="270"/>
      <c r="HA134" s="270"/>
      <c r="HB134" s="270"/>
      <c r="HC134" s="270"/>
      <c r="HD134" s="270"/>
      <c r="HE134" s="270"/>
      <c r="HF134" s="270"/>
      <c r="HG134" s="270"/>
      <c r="HH134" s="270"/>
      <c r="HI134" s="270"/>
      <c r="HJ134" s="270"/>
      <c r="HK134" s="270"/>
      <c r="HL134" s="270"/>
      <c r="HM134" s="270"/>
      <c r="HN134" s="270"/>
      <c r="HO134" s="270"/>
      <c r="HP134" s="270"/>
      <c r="HQ134" s="270"/>
      <c r="HR134" s="270"/>
      <c r="HS134" s="270"/>
      <c r="HT134" s="270"/>
      <c r="HU134" s="270"/>
      <c r="HV134" s="270"/>
      <c r="HW134" s="270"/>
      <c r="HX134" s="270"/>
      <c r="HY134" s="270"/>
      <c r="HZ134" s="270"/>
      <c r="IA134" s="270"/>
      <c r="IB134" s="270"/>
      <c r="IC134" s="270"/>
      <c r="ID134" s="270"/>
      <c r="IE134" s="270"/>
      <c r="IF134" s="270"/>
      <c r="IG134" s="270"/>
      <c r="IH134" s="271"/>
      <c r="II134" s="269"/>
      <c r="IJ134" s="270"/>
      <c r="IK134" s="270"/>
      <c r="IL134" s="270"/>
      <c r="IM134" s="271"/>
      <c r="JK134" s="253"/>
      <c r="JL134" s="254"/>
      <c r="JM134" s="254"/>
      <c r="JN134" s="254"/>
      <c r="JO134" s="254"/>
      <c r="JP134" s="254"/>
      <c r="JQ134" s="254"/>
      <c r="JR134" s="254"/>
      <c r="JS134" s="254"/>
      <c r="JT134" s="254"/>
      <c r="JU134" s="254"/>
      <c r="JV134" s="254"/>
      <c r="JW134" s="254"/>
      <c r="JX134" s="254"/>
      <c r="JY134" s="254"/>
      <c r="JZ134" s="254"/>
      <c r="KA134" s="254"/>
      <c r="KB134" s="254"/>
      <c r="KC134" s="254"/>
      <c r="KD134" s="254"/>
      <c r="KE134" s="254"/>
      <c r="KF134" s="254"/>
      <c r="KG134" s="254"/>
      <c r="KH134" s="254"/>
      <c r="KI134" s="254"/>
      <c r="KJ134" s="254"/>
      <c r="KK134" s="254"/>
      <c r="KL134" s="254"/>
      <c r="KM134" s="254"/>
      <c r="KN134" s="254"/>
      <c r="KO134" s="254"/>
      <c r="KP134" s="254"/>
      <c r="KQ134" s="254"/>
      <c r="KR134" s="254"/>
      <c r="KS134" s="254"/>
      <c r="KT134" s="254"/>
      <c r="KU134" s="254"/>
      <c r="KV134" s="254"/>
      <c r="KW134" s="254"/>
      <c r="KX134" s="255"/>
      <c r="KY134" s="253"/>
      <c r="KZ134" s="254"/>
      <c r="LA134" s="254"/>
      <c r="LB134" s="254"/>
      <c r="LC134" s="255"/>
      <c r="LM134" s="253"/>
      <c r="LN134" s="254"/>
      <c r="LO134" s="254"/>
      <c r="LP134" s="254"/>
      <c r="LQ134" s="254"/>
      <c r="LR134" s="254"/>
      <c r="LS134" s="254"/>
      <c r="LT134" s="254"/>
      <c r="LU134" s="254"/>
      <c r="LV134" s="254"/>
      <c r="LW134" s="254"/>
      <c r="LX134" s="254"/>
      <c r="LY134" s="254"/>
      <c r="LZ134" s="254"/>
      <c r="MA134" s="254"/>
      <c r="MB134" s="254"/>
      <c r="MC134" s="254"/>
      <c r="MD134" s="254"/>
      <c r="ME134" s="254"/>
      <c r="MF134" s="254"/>
      <c r="MG134" s="254"/>
      <c r="MH134" s="254"/>
      <c r="MI134" s="254"/>
      <c r="MJ134" s="254"/>
      <c r="MK134" s="254"/>
      <c r="ML134" s="254"/>
      <c r="MM134" s="254"/>
      <c r="MN134" s="254"/>
      <c r="MO134" s="254"/>
      <c r="MP134" s="254"/>
      <c r="MQ134" s="254"/>
      <c r="MR134" s="254"/>
      <c r="MS134" s="254"/>
      <c r="MT134" s="254"/>
      <c r="MU134" s="254"/>
      <c r="MV134" s="254"/>
      <c r="MW134" s="254"/>
      <c r="MX134" s="254"/>
      <c r="MY134" s="254"/>
      <c r="MZ134" s="255"/>
      <c r="NA134" s="253"/>
      <c r="NB134" s="254"/>
      <c r="NC134" s="254"/>
      <c r="ND134" s="254"/>
      <c r="NE134" s="255"/>
      <c r="QQ134" s="18"/>
      <c r="QR134" s="19"/>
      <c r="QS134" s="39"/>
      <c r="QT134" s="39"/>
      <c r="QU134" s="39"/>
      <c r="QV134" s="39"/>
      <c r="QW134" s="40"/>
    </row>
    <row r="135" spans="3:465" ht="5.0999999999999996" customHeight="1" x14ac:dyDescent="0.3">
      <c r="C135" s="15"/>
      <c r="D135" s="16"/>
      <c r="J135" s="269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  <c r="AB135" s="270"/>
      <c r="AC135" s="270"/>
      <c r="AD135" s="270"/>
      <c r="AE135" s="270"/>
      <c r="AF135" s="270"/>
      <c r="AG135" s="270"/>
      <c r="AH135" s="270"/>
      <c r="AI135" s="270"/>
      <c r="AJ135" s="270"/>
      <c r="AK135" s="270"/>
      <c r="AL135" s="270"/>
      <c r="AM135" s="270"/>
      <c r="AN135" s="270"/>
      <c r="AO135" s="270"/>
      <c r="AP135" s="270"/>
      <c r="AQ135" s="270"/>
      <c r="AR135" s="270"/>
      <c r="AS135" s="270"/>
      <c r="AT135" s="270"/>
      <c r="AU135" s="270"/>
      <c r="AV135" s="270"/>
      <c r="AW135" s="270"/>
      <c r="AX135" s="271"/>
      <c r="AY135" s="269"/>
      <c r="AZ135" s="270"/>
      <c r="BA135" s="270"/>
      <c r="BB135" s="270"/>
      <c r="BC135" s="271"/>
      <c r="BF135" s="269"/>
      <c r="BG135" s="270"/>
      <c r="BH135" s="270"/>
      <c r="BI135" s="270"/>
      <c r="BJ135" s="270"/>
      <c r="BK135" s="270"/>
      <c r="BL135" s="270"/>
      <c r="BM135" s="270"/>
      <c r="BN135" s="270"/>
      <c r="BO135" s="270"/>
      <c r="BP135" s="270"/>
      <c r="BQ135" s="270"/>
      <c r="BR135" s="270"/>
      <c r="BS135" s="270"/>
      <c r="BT135" s="270"/>
      <c r="BU135" s="270"/>
      <c r="BV135" s="270"/>
      <c r="BW135" s="270"/>
      <c r="BX135" s="270"/>
      <c r="BY135" s="270"/>
      <c r="BZ135" s="270"/>
      <c r="CA135" s="270"/>
      <c r="CB135" s="270"/>
      <c r="CC135" s="270"/>
      <c r="CD135" s="270"/>
      <c r="CE135" s="270"/>
      <c r="CF135" s="270"/>
      <c r="CG135" s="270"/>
      <c r="CH135" s="270"/>
      <c r="CI135" s="270"/>
      <c r="CJ135" s="270"/>
      <c r="CK135" s="270"/>
      <c r="CL135" s="270"/>
      <c r="CM135" s="270"/>
      <c r="CN135" s="270"/>
      <c r="CO135" s="270"/>
      <c r="CP135" s="270"/>
      <c r="CQ135" s="270"/>
      <c r="CR135" s="270"/>
      <c r="CS135" s="270"/>
      <c r="CT135" s="271"/>
      <c r="CU135" s="269"/>
      <c r="CV135" s="270"/>
      <c r="CW135" s="270"/>
      <c r="CX135" s="270"/>
      <c r="CY135" s="271"/>
      <c r="DB135" s="269"/>
      <c r="DC135" s="270"/>
      <c r="DD135" s="270"/>
      <c r="DE135" s="270"/>
      <c r="DF135" s="270"/>
      <c r="DG135" s="270"/>
      <c r="DH135" s="270"/>
      <c r="DI135" s="270"/>
      <c r="DJ135" s="270"/>
      <c r="DK135" s="270"/>
      <c r="DL135" s="270"/>
      <c r="DM135" s="270"/>
      <c r="DN135" s="270"/>
      <c r="DO135" s="270"/>
      <c r="DP135" s="270"/>
      <c r="DQ135" s="270"/>
      <c r="DR135" s="270"/>
      <c r="DS135" s="270"/>
      <c r="DT135" s="270"/>
      <c r="DU135" s="270"/>
      <c r="DV135" s="270"/>
      <c r="DW135" s="270"/>
      <c r="DX135" s="270"/>
      <c r="DY135" s="270"/>
      <c r="DZ135" s="270"/>
      <c r="EA135" s="270"/>
      <c r="EB135" s="270"/>
      <c r="EC135" s="270"/>
      <c r="ED135" s="270"/>
      <c r="EE135" s="270"/>
      <c r="EF135" s="270"/>
      <c r="EG135" s="270"/>
      <c r="EH135" s="270"/>
      <c r="EI135" s="270"/>
      <c r="EJ135" s="270"/>
      <c r="EK135" s="270"/>
      <c r="EL135" s="270"/>
      <c r="EM135" s="270"/>
      <c r="EN135" s="270"/>
      <c r="EO135" s="270"/>
      <c r="EP135" s="271"/>
      <c r="EQ135" s="269"/>
      <c r="ER135" s="270"/>
      <c r="ES135" s="270"/>
      <c r="ET135" s="270"/>
      <c r="EU135" s="271"/>
      <c r="EX135" s="269"/>
      <c r="EY135" s="270"/>
      <c r="EZ135" s="270"/>
      <c r="FA135" s="270"/>
      <c r="FB135" s="270"/>
      <c r="FC135" s="270"/>
      <c r="FD135" s="270"/>
      <c r="FE135" s="270"/>
      <c r="FF135" s="270"/>
      <c r="FG135" s="270"/>
      <c r="FH135" s="270"/>
      <c r="FI135" s="270"/>
      <c r="FJ135" s="270"/>
      <c r="FK135" s="270"/>
      <c r="FL135" s="270"/>
      <c r="FM135" s="270"/>
      <c r="FN135" s="270"/>
      <c r="FO135" s="270"/>
      <c r="FP135" s="270"/>
      <c r="FQ135" s="270"/>
      <c r="FR135" s="270"/>
      <c r="FS135" s="270"/>
      <c r="FT135" s="270"/>
      <c r="FU135" s="270"/>
      <c r="FV135" s="270"/>
      <c r="FW135" s="270"/>
      <c r="FX135" s="270"/>
      <c r="FY135" s="270"/>
      <c r="FZ135" s="270"/>
      <c r="GA135" s="270"/>
      <c r="GB135" s="270"/>
      <c r="GC135" s="270"/>
      <c r="GD135" s="270"/>
      <c r="GE135" s="270"/>
      <c r="GF135" s="270"/>
      <c r="GG135" s="270"/>
      <c r="GH135" s="270"/>
      <c r="GI135" s="270"/>
      <c r="GJ135" s="270"/>
      <c r="GK135" s="270"/>
      <c r="GL135" s="271"/>
      <c r="GM135" s="269"/>
      <c r="GN135" s="270"/>
      <c r="GO135" s="270"/>
      <c r="GP135" s="270"/>
      <c r="GQ135" s="271"/>
      <c r="GT135" s="269"/>
      <c r="GU135" s="270"/>
      <c r="GV135" s="270"/>
      <c r="GW135" s="270"/>
      <c r="GX135" s="270"/>
      <c r="GY135" s="270"/>
      <c r="GZ135" s="270"/>
      <c r="HA135" s="270"/>
      <c r="HB135" s="270"/>
      <c r="HC135" s="270"/>
      <c r="HD135" s="270"/>
      <c r="HE135" s="270"/>
      <c r="HF135" s="270"/>
      <c r="HG135" s="270"/>
      <c r="HH135" s="270"/>
      <c r="HI135" s="270"/>
      <c r="HJ135" s="270"/>
      <c r="HK135" s="270"/>
      <c r="HL135" s="270"/>
      <c r="HM135" s="270"/>
      <c r="HN135" s="270"/>
      <c r="HO135" s="270"/>
      <c r="HP135" s="270"/>
      <c r="HQ135" s="270"/>
      <c r="HR135" s="270"/>
      <c r="HS135" s="270"/>
      <c r="HT135" s="270"/>
      <c r="HU135" s="270"/>
      <c r="HV135" s="270"/>
      <c r="HW135" s="270"/>
      <c r="HX135" s="270"/>
      <c r="HY135" s="270"/>
      <c r="HZ135" s="270"/>
      <c r="IA135" s="270"/>
      <c r="IB135" s="270"/>
      <c r="IC135" s="270"/>
      <c r="ID135" s="270"/>
      <c r="IE135" s="270"/>
      <c r="IF135" s="270"/>
      <c r="IG135" s="270"/>
      <c r="IH135" s="271"/>
      <c r="II135" s="269"/>
      <c r="IJ135" s="270"/>
      <c r="IK135" s="270"/>
      <c r="IL135" s="270"/>
      <c r="IM135" s="271"/>
      <c r="JK135" s="275" t="s">
        <v>42</v>
      </c>
      <c r="JL135" s="276"/>
      <c r="JM135" s="276"/>
      <c r="JN135" s="276"/>
      <c r="JO135" s="276"/>
      <c r="JP135" s="276"/>
      <c r="JQ135" s="276"/>
      <c r="JR135" s="276"/>
      <c r="JS135" s="276"/>
      <c r="JT135" s="276"/>
      <c r="JU135" s="276"/>
      <c r="JV135" s="276"/>
      <c r="JW135" s="276"/>
      <c r="JX135" s="276"/>
      <c r="JY135" s="276"/>
      <c r="JZ135" s="276"/>
      <c r="KA135" s="276"/>
      <c r="KB135" s="276"/>
      <c r="KC135" s="276"/>
      <c r="KD135" s="276"/>
      <c r="KE135" s="276"/>
      <c r="KF135" s="276"/>
      <c r="KG135" s="276"/>
      <c r="KH135" s="276"/>
      <c r="KI135" s="276"/>
      <c r="KJ135" s="276"/>
      <c r="KK135" s="276"/>
      <c r="KL135" s="276"/>
      <c r="KM135" s="276"/>
      <c r="KN135" s="276"/>
      <c r="KO135" s="276"/>
      <c r="KP135" s="276"/>
      <c r="KQ135" s="276"/>
      <c r="KR135" s="276"/>
      <c r="KS135" s="276"/>
      <c r="KT135" s="276"/>
      <c r="KU135" s="276"/>
      <c r="KV135" s="276"/>
      <c r="KW135" s="276"/>
      <c r="KX135" s="277"/>
      <c r="KY135" s="247">
        <v>2</v>
      </c>
      <c r="KZ135" s="248"/>
      <c r="LA135" s="248"/>
      <c r="LB135" s="248"/>
      <c r="LC135" s="249"/>
      <c r="LM135" s="247" t="s">
        <v>43</v>
      </c>
      <c r="LN135" s="248"/>
      <c r="LO135" s="248"/>
      <c r="LP135" s="248"/>
      <c r="LQ135" s="248"/>
      <c r="LR135" s="248"/>
      <c r="LS135" s="248"/>
      <c r="LT135" s="248"/>
      <c r="LU135" s="248"/>
      <c r="LV135" s="248"/>
      <c r="LW135" s="248"/>
      <c r="LX135" s="248"/>
      <c r="LY135" s="248"/>
      <c r="LZ135" s="248"/>
      <c r="MA135" s="248"/>
      <c r="MB135" s="248"/>
      <c r="MC135" s="248"/>
      <c r="MD135" s="248"/>
      <c r="ME135" s="248"/>
      <c r="MF135" s="248"/>
      <c r="MG135" s="248"/>
      <c r="MH135" s="248"/>
      <c r="MI135" s="248"/>
      <c r="MJ135" s="248"/>
      <c r="MK135" s="248"/>
      <c r="ML135" s="248"/>
      <c r="MM135" s="248"/>
      <c r="MN135" s="248"/>
      <c r="MO135" s="248"/>
      <c r="MP135" s="248"/>
      <c r="MQ135" s="248"/>
      <c r="MR135" s="248"/>
      <c r="MS135" s="248"/>
      <c r="MT135" s="248"/>
      <c r="MU135" s="248"/>
      <c r="MV135" s="248"/>
      <c r="MW135" s="248"/>
      <c r="MX135" s="248"/>
      <c r="MY135" s="248"/>
      <c r="MZ135" s="249"/>
      <c r="NA135" s="247">
        <v>2</v>
      </c>
      <c r="NB135" s="248"/>
      <c r="NC135" s="248"/>
      <c r="ND135" s="248"/>
      <c r="NE135" s="249"/>
      <c r="QQ135" s="18"/>
      <c r="QR135" s="19"/>
      <c r="QS135" s="39"/>
      <c r="QT135" s="39"/>
      <c r="QU135" s="39"/>
      <c r="QV135" s="39"/>
      <c r="QW135" s="40"/>
    </row>
    <row r="136" spans="3:465" ht="5.0999999999999996" customHeight="1" x14ac:dyDescent="0.3">
      <c r="C136" s="15"/>
      <c r="D136" s="16"/>
      <c r="J136" s="269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  <c r="AB136" s="270"/>
      <c r="AC136" s="270"/>
      <c r="AD136" s="270"/>
      <c r="AE136" s="270"/>
      <c r="AF136" s="270"/>
      <c r="AG136" s="270"/>
      <c r="AH136" s="270"/>
      <c r="AI136" s="270"/>
      <c r="AJ136" s="270"/>
      <c r="AK136" s="270"/>
      <c r="AL136" s="270"/>
      <c r="AM136" s="270"/>
      <c r="AN136" s="270"/>
      <c r="AO136" s="270"/>
      <c r="AP136" s="270"/>
      <c r="AQ136" s="270"/>
      <c r="AR136" s="270"/>
      <c r="AS136" s="270"/>
      <c r="AT136" s="270"/>
      <c r="AU136" s="270"/>
      <c r="AV136" s="270"/>
      <c r="AW136" s="270"/>
      <c r="AX136" s="271"/>
      <c r="AY136" s="269"/>
      <c r="AZ136" s="270"/>
      <c r="BA136" s="270"/>
      <c r="BB136" s="270"/>
      <c r="BC136" s="271"/>
      <c r="BF136" s="269"/>
      <c r="BG136" s="270"/>
      <c r="BH136" s="270"/>
      <c r="BI136" s="270"/>
      <c r="BJ136" s="270"/>
      <c r="BK136" s="270"/>
      <c r="BL136" s="270"/>
      <c r="BM136" s="270"/>
      <c r="BN136" s="270"/>
      <c r="BO136" s="270"/>
      <c r="BP136" s="270"/>
      <c r="BQ136" s="270"/>
      <c r="BR136" s="270"/>
      <c r="BS136" s="270"/>
      <c r="BT136" s="270"/>
      <c r="BU136" s="270"/>
      <c r="BV136" s="270"/>
      <c r="BW136" s="270"/>
      <c r="BX136" s="270"/>
      <c r="BY136" s="270"/>
      <c r="BZ136" s="270"/>
      <c r="CA136" s="270"/>
      <c r="CB136" s="270"/>
      <c r="CC136" s="270"/>
      <c r="CD136" s="270"/>
      <c r="CE136" s="270"/>
      <c r="CF136" s="270"/>
      <c r="CG136" s="270"/>
      <c r="CH136" s="270"/>
      <c r="CI136" s="270"/>
      <c r="CJ136" s="270"/>
      <c r="CK136" s="270"/>
      <c r="CL136" s="270"/>
      <c r="CM136" s="270"/>
      <c r="CN136" s="270"/>
      <c r="CO136" s="270"/>
      <c r="CP136" s="270"/>
      <c r="CQ136" s="270"/>
      <c r="CR136" s="270"/>
      <c r="CS136" s="270"/>
      <c r="CT136" s="271"/>
      <c r="CU136" s="269"/>
      <c r="CV136" s="270"/>
      <c r="CW136" s="270"/>
      <c r="CX136" s="270"/>
      <c r="CY136" s="271"/>
      <c r="DB136" s="269"/>
      <c r="DC136" s="270"/>
      <c r="DD136" s="270"/>
      <c r="DE136" s="270"/>
      <c r="DF136" s="270"/>
      <c r="DG136" s="270"/>
      <c r="DH136" s="270"/>
      <c r="DI136" s="270"/>
      <c r="DJ136" s="270"/>
      <c r="DK136" s="270"/>
      <c r="DL136" s="270"/>
      <c r="DM136" s="270"/>
      <c r="DN136" s="270"/>
      <c r="DO136" s="270"/>
      <c r="DP136" s="270"/>
      <c r="DQ136" s="270"/>
      <c r="DR136" s="270"/>
      <c r="DS136" s="270"/>
      <c r="DT136" s="270"/>
      <c r="DU136" s="270"/>
      <c r="DV136" s="270"/>
      <c r="DW136" s="270"/>
      <c r="DX136" s="270"/>
      <c r="DY136" s="270"/>
      <c r="DZ136" s="270"/>
      <c r="EA136" s="270"/>
      <c r="EB136" s="270"/>
      <c r="EC136" s="270"/>
      <c r="ED136" s="270"/>
      <c r="EE136" s="270"/>
      <c r="EF136" s="270"/>
      <c r="EG136" s="270"/>
      <c r="EH136" s="270"/>
      <c r="EI136" s="270"/>
      <c r="EJ136" s="270"/>
      <c r="EK136" s="270"/>
      <c r="EL136" s="270"/>
      <c r="EM136" s="270"/>
      <c r="EN136" s="270"/>
      <c r="EO136" s="270"/>
      <c r="EP136" s="271"/>
      <c r="EQ136" s="269"/>
      <c r="ER136" s="270"/>
      <c r="ES136" s="270"/>
      <c r="ET136" s="270"/>
      <c r="EU136" s="271"/>
      <c r="EX136" s="269"/>
      <c r="EY136" s="270"/>
      <c r="EZ136" s="270"/>
      <c r="FA136" s="270"/>
      <c r="FB136" s="270"/>
      <c r="FC136" s="270"/>
      <c r="FD136" s="270"/>
      <c r="FE136" s="270"/>
      <c r="FF136" s="270"/>
      <c r="FG136" s="270"/>
      <c r="FH136" s="270"/>
      <c r="FI136" s="270"/>
      <c r="FJ136" s="270"/>
      <c r="FK136" s="270"/>
      <c r="FL136" s="270"/>
      <c r="FM136" s="270"/>
      <c r="FN136" s="270"/>
      <c r="FO136" s="270"/>
      <c r="FP136" s="270"/>
      <c r="FQ136" s="270"/>
      <c r="FR136" s="270"/>
      <c r="FS136" s="270"/>
      <c r="FT136" s="270"/>
      <c r="FU136" s="270"/>
      <c r="FV136" s="270"/>
      <c r="FW136" s="270"/>
      <c r="FX136" s="270"/>
      <c r="FY136" s="270"/>
      <c r="FZ136" s="270"/>
      <c r="GA136" s="270"/>
      <c r="GB136" s="270"/>
      <c r="GC136" s="270"/>
      <c r="GD136" s="270"/>
      <c r="GE136" s="270"/>
      <c r="GF136" s="270"/>
      <c r="GG136" s="270"/>
      <c r="GH136" s="270"/>
      <c r="GI136" s="270"/>
      <c r="GJ136" s="270"/>
      <c r="GK136" s="270"/>
      <c r="GL136" s="271"/>
      <c r="GM136" s="269"/>
      <c r="GN136" s="270"/>
      <c r="GO136" s="270"/>
      <c r="GP136" s="270"/>
      <c r="GQ136" s="271"/>
      <c r="GT136" s="269"/>
      <c r="GU136" s="270"/>
      <c r="GV136" s="270"/>
      <c r="GW136" s="270"/>
      <c r="GX136" s="270"/>
      <c r="GY136" s="270"/>
      <c r="GZ136" s="270"/>
      <c r="HA136" s="270"/>
      <c r="HB136" s="270"/>
      <c r="HC136" s="270"/>
      <c r="HD136" s="270"/>
      <c r="HE136" s="270"/>
      <c r="HF136" s="270"/>
      <c r="HG136" s="270"/>
      <c r="HH136" s="270"/>
      <c r="HI136" s="270"/>
      <c r="HJ136" s="270"/>
      <c r="HK136" s="270"/>
      <c r="HL136" s="270"/>
      <c r="HM136" s="270"/>
      <c r="HN136" s="270"/>
      <c r="HO136" s="270"/>
      <c r="HP136" s="270"/>
      <c r="HQ136" s="270"/>
      <c r="HR136" s="270"/>
      <c r="HS136" s="270"/>
      <c r="HT136" s="270"/>
      <c r="HU136" s="270"/>
      <c r="HV136" s="270"/>
      <c r="HW136" s="270"/>
      <c r="HX136" s="270"/>
      <c r="HY136" s="270"/>
      <c r="HZ136" s="270"/>
      <c r="IA136" s="270"/>
      <c r="IB136" s="270"/>
      <c r="IC136" s="270"/>
      <c r="ID136" s="270"/>
      <c r="IE136" s="270"/>
      <c r="IF136" s="270"/>
      <c r="IG136" s="270"/>
      <c r="IH136" s="271"/>
      <c r="II136" s="269"/>
      <c r="IJ136" s="270"/>
      <c r="IK136" s="270"/>
      <c r="IL136" s="270"/>
      <c r="IM136" s="271"/>
      <c r="JK136" s="278"/>
      <c r="JL136" s="279"/>
      <c r="JM136" s="279"/>
      <c r="JN136" s="279"/>
      <c r="JO136" s="279"/>
      <c r="JP136" s="279"/>
      <c r="JQ136" s="279"/>
      <c r="JR136" s="279"/>
      <c r="JS136" s="279"/>
      <c r="JT136" s="279"/>
      <c r="JU136" s="279"/>
      <c r="JV136" s="279"/>
      <c r="JW136" s="279"/>
      <c r="JX136" s="279"/>
      <c r="JY136" s="279"/>
      <c r="JZ136" s="279"/>
      <c r="KA136" s="279"/>
      <c r="KB136" s="279"/>
      <c r="KC136" s="279"/>
      <c r="KD136" s="279"/>
      <c r="KE136" s="279"/>
      <c r="KF136" s="279"/>
      <c r="KG136" s="279"/>
      <c r="KH136" s="279"/>
      <c r="KI136" s="279"/>
      <c r="KJ136" s="279"/>
      <c r="KK136" s="279"/>
      <c r="KL136" s="279"/>
      <c r="KM136" s="279"/>
      <c r="KN136" s="279"/>
      <c r="KO136" s="279"/>
      <c r="KP136" s="279"/>
      <c r="KQ136" s="279"/>
      <c r="KR136" s="279"/>
      <c r="KS136" s="279"/>
      <c r="KT136" s="279"/>
      <c r="KU136" s="279"/>
      <c r="KV136" s="279"/>
      <c r="KW136" s="279"/>
      <c r="KX136" s="280"/>
      <c r="KY136" s="250"/>
      <c r="KZ136" s="251"/>
      <c r="LA136" s="251"/>
      <c r="LB136" s="251"/>
      <c r="LC136" s="252"/>
      <c r="LM136" s="250"/>
      <c r="LN136" s="251"/>
      <c r="LO136" s="251"/>
      <c r="LP136" s="251"/>
      <c r="LQ136" s="251"/>
      <c r="LR136" s="251"/>
      <c r="LS136" s="251"/>
      <c r="LT136" s="251"/>
      <c r="LU136" s="251"/>
      <c r="LV136" s="251"/>
      <c r="LW136" s="251"/>
      <c r="LX136" s="251"/>
      <c r="LY136" s="251"/>
      <c r="LZ136" s="251"/>
      <c r="MA136" s="251"/>
      <c r="MB136" s="251"/>
      <c r="MC136" s="251"/>
      <c r="MD136" s="251"/>
      <c r="ME136" s="251"/>
      <c r="MF136" s="251"/>
      <c r="MG136" s="251"/>
      <c r="MH136" s="251"/>
      <c r="MI136" s="251"/>
      <c r="MJ136" s="251"/>
      <c r="MK136" s="251"/>
      <c r="ML136" s="251"/>
      <c r="MM136" s="251"/>
      <c r="MN136" s="251"/>
      <c r="MO136" s="251"/>
      <c r="MP136" s="251"/>
      <c r="MQ136" s="251"/>
      <c r="MR136" s="251"/>
      <c r="MS136" s="251"/>
      <c r="MT136" s="251"/>
      <c r="MU136" s="251"/>
      <c r="MV136" s="251"/>
      <c r="MW136" s="251"/>
      <c r="MX136" s="251"/>
      <c r="MY136" s="251"/>
      <c r="MZ136" s="252"/>
      <c r="NA136" s="250"/>
      <c r="NB136" s="251"/>
      <c r="NC136" s="251"/>
      <c r="ND136" s="251"/>
      <c r="NE136" s="252"/>
      <c r="QQ136" s="18"/>
      <c r="QR136" s="19"/>
      <c r="QS136" s="39"/>
      <c r="QT136" s="39"/>
      <c r="QU136" s="39"/>
      <c r="QV136" s="39"/>
      <c r="QW136" s="40"/>
    </row>
    <row r="137" spans="3:465" ht="5.0999999999999996" customHeight="1" x14ac:dyDescent="0.3">
      <c r="C137" s="15"/>
      <c r="D137" s="16"/>
      <c r="J137" s="269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  <c r="AB137" s="270"/>
      <c r="AC137" s="270"/>
      <c r="AD137" s="270"/>
      <c r="AE137" s="270"/>
      <c r="AF137" s="270"/>
      <c r="AG137" s="270"/>
      <c r="AH137" s="270"/>
      <c r="AI137" s="270"/>
      <c r="AJ137" s="270"/>
      <c r="AK137" s="270"/>
      <c r="AL137" s="270"/>
      <c r="AM137" s="270"/>
      <c r="AN137" s="270"/>
      <c r="AO137" s="270"/>
      <c r="AP137" s="270"/>
      <c r="AQ137" s="270"/>
      <c r="AR137" s="270"/>
      <c r="AS137" s="270"/>
      <c r="AT137" s="270"/>
      <c r="AU137" s="270"/>
      <c r="AV137" s="270"/>
      <c r="AW137" s="270"/>
      <c r="AX137" s="271"/>
      <c r="AY137" s="269"/>
      <c r="AZ137" s="270"/>
      <c r="BA137" s="270"/>
      <c r="BB137" s="270"/>
      <c r="BC137" s="271"/>
      <c r="BF137" s="269"/>
      <c r="BG137" s="270"/>
      <c r="BH137" s="270"/>
      <c r="BI137" s="270"/>
      <c r="BJ137" s="270"/>
      <c r="BK137" s="270"/>
      <c r="BL137" s="270"/>
      <c r="BM137" s="270"/>
      <c r="BN137" s="270"/>
      <c r="BO137" s="270"/>
      <c r="BP137" s="270"/>
      <c r="BQ137" s="270"/>
      <c r="BR137" s="270"/>
      <c r="BS137" s="270"/>
      <c r="BT137" s="270"/>
      <c r="BU137" s="270"/>
      <c r="BV137" s="270"/>
      <c r="BW137" s="270"/>
      <c r="BX137" s="270"/>
      <c r="BY137" s="270"/>
      <c r="BZ137" s="270"/>
      <c r="CA137" s="270"/>
      <c r="CB137" s="270"/>
      <c r="CC137" s="270"/>
      <c r="CD137" s="270"/>
      <c r="CE137" s="270"/>
      <c r="CF137" s="270"/>
      <c r="CG137" s="270"/>
      <c r="CH137" s="270"/>
      <c r="CI137" s="270"/>
      <c r="CJ137" s="270"/>
      <c r="CK137" s="270"/>
      <c r="CL137" s="270"/>
      <c r="CM137" s="270"/>
      <c r="CN137" s="270"/>
      <c r="CO137" s="270"/>
      <c r="CP137" s="270"/>
      <c r="CQ137" s="270"/>
      <c r="CR137" s="270"/>
      <c r="CS137" s="270"/>
      <c r="CT137" s="271"/>
      <c r="CU137" s="269"/>
      <c r="CV137" s="270"/>
      <c r="CW137" s="270"/>
      <c r="CX137" s="270"/>
      <c r="CY137" s="271"/>
      <c r="DB137" s="269"/>
      <c r="DC137" s="270"/>
      <c r="DD137" s="270"/>
      <c r="DE137" s="270"/>
      <c r="DF137" s="270"/>
      <c r="DG137" s="270"/>
      <c r="DH137" s="270"/>
      <c r="DI137" s="270"/>
      <c r="DJ137" s="270"/>
      <c r="DK137" s="270"/>
      <c r="DL137" s="270"/>
      <c r="DM137" s="270"/>
      <c r="DN137" s="270"/>
      <c r="DO137" s="270"/>
      <c r="DP137" s="270"/>
      <c r="DQ137" s="270"/>
      <c r="DR137" s="270"/>
      <c r="DS137" s="270"/>
      <c r="DT137" s="270"/>
      <c r="DU137" s="270"/>
      <c r="DV137" s="270"/>
      <c r="DW137" s="270"/>
      <c r="DX137" s="270"/>
      <c r="DY137" s="270"/>
      <c r="DZ137" s="270"/>
      <c r="EA137" s="270"/>
      <c r="EB137" s="270"/>
      <c r="EC137" s="270"/>
      <c r="ED137" s="270"/>
      <c r="EE137" s="270"/>
      <c r="EF137" s="270"/>
      <c r="EG137" s="270"/>
      <c r="EH137" s="270"/>
      <c r="EI137" s="270"/>
      <c r="EJ137" s="270"/>
      <c r="EK137" s="270"/>
      <c r="EL137" s="270"/>
      <c r="EM137" s="270"/>
      <c r="EN137" s="270"/>
      <c r="EO137" s="270"/>
      <c r="EP137" s="271"/>
      <c r="EQ137" s="269"/>
      <c r="ER137" s="270"/>
      <c r="ES137" s="270"/>
      <c r="ET137" s="270"/>
      <c r="EU137" s="271"/>
      <c r="EX137" s="269"/>
      <c r="EY137" s="270"/>
      <c r="EZ137" s="270"/>
      <c r="FA137" s="270"/>
      <c r="FB137" s="270"/>
      <c r="FC137" s="270"/>
      <c r="FD137" s="270"/>
      <c r="FE137" s="270"/>
      <c r="FF137" s="270"/>
      <c r="FG137" s="270"/>
      <c r="FH137" s="270"/>
      <c r="FI137" s="270"/>
      <c r="FJ137" s="270"/>
      <c r="FK137" s="270"/>
      <c r="FL137" s="270"/>
      <c r="FM137" s="270"/>
      <c r="FN137" s="270"/>
      <c r="FO137" s="270"/>
      <c r="FP137" s="270"/>
      <c r="FQ137" s="270"/>
      <c r="FR137" s="270"/>
      <c r="FS137" s="270"/>
      <c r="FT137" s="270"/>
      <c r="FU137" s="270"/>
      <c r="FV137" s="270"/>
      <c r="FW137" s="270"/>
      <c r="FX137" s="270"/>
      <c r="FY137" s="270"/>
      <c r="FZ137" s="270"/>
      <c r="GA137" s="270"/>
      <c r="GB137" s="270"/>
      <c r="GC137" s="270"/>
      <c r="GD137" s="270"/>
      <c r="GE137" s="270"/>
      <c r="GF137" s="270"/>
      <c r="GG137" s="270"/>
      <c r="GH137" s="270"/>
      <c r="GI137" s="270"/>
      <c r="GJ137" s="270"/>
      <c r="GK137" s="270"/>
      <c r="GL137" s="271"/>
      <c r="GM137" s="269"/>
      <c r="GN137" s="270"/>
      <c r="GO137" s="270"/>
      <c r="GP137" s="270"/>
      <c r="GQ137" s="271"/>
      <c r="GT137" s="269"/>
      <c r="GU137" s="270"/>
      <c r="GV137" s="270"/>
      <c r="GW137" s="270"/>
      <c r="GX137" s="270"/>
      <c r="GY137" s="270"/>
      <c r="GZ137" s="270"/>
      <c r="HA137" s="270"/>
      <c r="HB137" s="270"/>
      <c r="HC137" s="270"/>
      <c r="HD137" s="270"/>
      <c r="HE137" s="270"/>
      <c r="HF137" s="270"/>
      <c r="HG137" s="270"/>
      <c r="HH137" s="270"/>
      <c r="HI137" s="270"/>
      <c r="HJ137" s="270"/>
      <c r="HK137" s="270"/>
      <c r="HL137" s="270"/>
      <c r="HM137" s="270"/>
      <c r="HN137" s="270"/>
      <c r="HO137" s="270"/>
      <c r="HP137" s="270"/>
      <c r="HQ137" s="270"/>
      <c r="HR137" s="270"/>
      <c r="HS137" s="270"/>
      <c r="HT137" s="270"/>
      <c r="HU137" s="270"/>
      <c r="HV137" s="270"/>
      <c r="HW137" s="270"/>
      <c r="HX137" s="270"/>
      <c r="HY137" s="270"/>
      <c r="HZ137" s="270"/>
      <c r="IA137" s="270"/>
      <c r="IB137" s="270"/>
      <c r="IC137" s="270"/>
      <c r="ID137" s="270"/>
      <c r="IE137" s="270"/>
      <c r="IF137" s="270"/>
      <c r="IG137" s="270"/>
      <c r="IH137" s="271"/>
      <c r="II137" s="269"/>
      <c r="IJ137" s="270"/>
      <c r="IK137" s="270"/>
      <c r="IL137" s="270"/>
      <c r="IM137" s="271"/>
      <c r="JK137" s="278"/>
      <c r="JL137" s="279"/>
      <c r="JM137" s="279"/>
      <c r="JN137" s="279"/>
      <c r="JO137" s="279"/>
      <c r="JP137" s="279"/>
      <c r="JQ137" s="279"/>
      <c r="JR137" s="279"/>
      <c r="JS137" s="279"/>
      <c r="JT137" s="279"/>
      <c r="JU137" s="279"/>
      <c r="JV137" s="279"/>
      <c r="JW137" s="279"/>
      <c r="JX137" s="279"/>
      <c r="JY137" s="279"/>
      <c r="JZ137" s="279"/>
      <c r="KA137" s="279"/>
      <c r="KB137" s="279"/>
      <c r="KC137" s="279"/>
      <c r="KD137" s="279"/>
      <c r="KE137" s="279"/>
      <c r="KF137" s="279"/>
      <c r="KG137" s="279"/>
      <c r="KH137" s="279"/>
      <c r="KI137" s="279"/>
      <c r="KJ137" s="279"/>
      <c r="KK137" s="279"/>
      <c r="KL137" s="279"/>
      <c r="KM137" s="279"/>
      <c r="KN137" s="279"/>
      <c r="KO137" s="279"/>
      <c r="KP137" s="279"/>
      <c r="KQ137" s="279"/>
      <c r="KR137" s="279"/>
      <c r="KS137" s="279"/>
      <c r="KT137" s="279"/>
      <c r="KU137" s="279"/>
      <c r="KV137" s="279"/>
      <c r="KW137" s="279"/>
      <c r="KX137" s="280"/>
      <c r="KY137" s="250"/>
      <c r="KZ137" s="251"/>
      <c r="LA137" s="251"/>
      <c r="LB137" s="251"/>
      <c r="LC137" s="252"/>
      <c r="LM137" s="250"/>
      <c r="LN137" s="251"/>
      <c r="LO137" s="251"/>
      <c r="LP137" s="251"/>
      <c r="LQ137" s="251"/>
      <c r="LR137" s="251"/>
      <c r="LS137" s="251"/>
      <c r="LT137" s="251"/>
      <c r="LU137" s="251"/>
      <c r="LV137" s="251"/>
      <c r="LW137" s="251"/>
      <c r="LX137" s="251"/>
      <c r="LY137" s="251"/>
      <c r="LZ137" s="251"/>
      <c r="MA137" s="251"/>
      <c r="MB137" s="251"/>
      <c r="MC137" s="251"/>
      <c r="MD137" s="251"/>
      <c r="ME137" s="251"/>
      <c r="MF137" s="251"/>
      <c r="MG137" s="251"/>
      <c r="MH137" s="251"/>
      <c r="MI137" s="251"/>
      <c r="MJ137" s="251"/>
      <c r="MK137" s="251"/>
      <c r="ML137" s="251"/>
      <c r="MM137" s="251"/>
      <c r="MN137" s="251"/>
      <c r="MO137" s="251"/>
      <c r="MP137" s="251"/>
      <c r="MQ137" s="251"/>
      <c r="MR137" s="251"/>
      <c r="MS137" s="251"/>
      <c r="MT137" s="251"/>
      <c r="MU137" s="251"/>
      <c r="MV137" s="251"/>
      <c r="MW137" s="251"/>
      <c r="MX137" s="251"/>
      <c r="MY137" s="251"/>
      <c r="MZ137" s="252"/>
      <c r="NA137" s="250"/>
      <c r="NB137" s="251"/>
      <c r="NC137" s="251"/>
      <c r="ND137" s="251"/>
      <c r="NE137" s="252"/>
      <c r="QQ137" s="18"/>
      <c r="QR137" s="19"/>
      <c r="QS137" s="39"/>
      <c r="QT137" s="39"/>
      <c r="QU137" s="39"/>
      <c r="QV137" s="39"/>
      <c r="QW137" s="40"/>
    </row>
    <row r="138" spans="3:465" ht="5.0999999999999996" customHeight="1" x14ac:dyDescent="0.3">
      <c r="C138" s="15"/>
      <c r="D138" s="16"/>
      <c r="J138" s="272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73"/>
      <c r="AL138" s="273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74"/>
      <c r="AY138" s="272"/>
      <c r="AZ138" s="273"/>
      <c r="BA138" s="273"/>
      <c r="BB138" s="273"/>
      <c r="BC138" s="274"/>
      <c r="BF138" s="272"/>
      <c r="BG138" s="273"/>
      <c r="BH138" s="273"/>
      <c r="BI138" s="273"/>
      <c r="BJ138" s="273"/>
      <c r="BK138" s="273"/>
      <c r="BL138" s="273"/>
      <c r="BM138" s="273"/>
      <c r="BN138" s="273"/>
      <c r="BO138" s="273"/>
      <c r="BP138" s="273"/>
      <c r="BQ138" s="273"/>
      <c r="BR138" s="273"/>
      <c r="BS138" s="273"/>
      <c r="BT138" s="273"/>
      <c r="BU138" s="273"/>
      <c r="BV138" s="273"/>
      <c r="BW138" s="273"/>
      <c r="BX138" s="273"/>
      <c r="BY138" s="273"/>
      <c r="BZ138" s="273"/>
      <c r="CA138" s="273"/>
      <c r="CB138" s="273"/>
      <c r="CC138" s="273"/>
      <c r="CD138" s="273"/>
      <c r="CE138" s="273"/>
      <c r="CF138" s="273"/>
      <c r="CG138" s="273"/>
      <c r="CH138" s="273"/>
      <c r="CI138" s="273"/>
      <c r="CJ138" s="273"/>
      <c r="CK138" s="273"/>
      <c r="CL138" s="273"/>
      <c r="CM138" s="273"/>
      <c r="CN138" s="273"/>
      <c r="CO138" s="273"/>
      <c r="CP138" s="273"/>
      <c r="CQ138" s="273"/>
      <c r="CR138" s="273"/>
      <c r="CS138" s="273"/>
      <c r="CT138" s="274"/>
      <c r="CU138" s="272"/>
      <c r="CV138" s="273"/>
      <c r="CW138" s="273"/>
      <c r="CX138" s="273"/>
      <c r="CY138" s="274"/>
      <c r="DB138" s="272"/>
      <c r="DC138" s="273"/>
      <c r="DD138" s="273"/>
      <c r="DE138" s="273"/>
      <c r="DF138" s="273"/>
      <c r="DG138" s="273"/>
      <c r="DH138" s="273"/>
      <c r="DI138" s="273"/>
      <c r="DJ138" s="273"/>
      <c r="DK138" s="273"/>
      <c r="DL138" s="273"/>
      <c r="DM138" s="273"/>
      <c r="DN138" s="273"/>
      <c r="DO138" s="273"/>
      <c r="DP138" s="273"/>
      <c r="DQ138" s="273"/>
      <c r="DR138" s="273"/>
      <c r="DS138" s="273"/>
      <c r="DT138" s="273"/>
      <c r="DU138" s="273"/>
      <c r="DV138" s="273"/>
      <c r="DW138" s="273"/>
      <c r="DX138" s="273"/>
      <c r="DY138" s="273"/>
      <c r="DZ138" s="273"/>
      <c r="EA138" s="273"/>
      <c r="EB138" s="273"/>
      <c r="EC138" s="273"/>
      <c r="ED138" s="273"/>
      <c r="EE138" s="273"/>
      <c r="EF138" s="273"/>
      <c r="EG138" s="273"/>
      <c r="EH138" s="273"/>
      <c r="EI138" s="273"/>
      <c r="EJ138" s="273"/>
      <c r="EK138" s="273"/>
      <c r="EL138" s="273"/>
      <c r="EM138" s="273"/>
      <c r="EN138" s="273"/>
      <c r="EO138" s="273"/>
      <c r="EP138" s="274"/>
      <c r="EQ138" s="272"/>
      <c r="ER138" s="273"/>
      <c r="ES138" s="273"/>
      <c r="ET138" s="273"/>
      <c r="EU138" s="274"/>
      <c r="EX138" s="272"/>
      <c r="EY138" s="273"/>
      <c r="EZ138" s="273"/>
      <c r="FA138" s="273"/>
      <c r="FB138" s="273"/>
      <c r="FC138" s="273"/>
      <c r="FD138" s="273"/>
      <c r="FE138" s="273"/>
      <c r="FF138" s="273"/>
      <c r="FG138" s="273"/>
      <c r="FH138" s="273"/>
      <c r="FI138" s="273"/>
      <c r="FJ138" s="273"/>
      <c r="FK138" s="273"/>
      <c r="FL138" s="273"/>
      <c r="FM138" s="273"/>
      <c r="FN138" s="273"/>
      <c r="FO138" s="273"/>
      <c r="FP138" s="273"/>
      <c r="FQ138" s="273"/>
      <c r="FR138" s="273"/>
      <c r="FS138" s="273"/>
      <c r="FT138" s="273"/>
      <c r="FU138" s="273"/>
      <c r="FV138" s="273"/>
      <c r="FW138" s="273"/>
      <c r="FX138" s="273"/>
      <c r="FY138" s="273"/>
      <c r="FZ138" s="273"/>
      <c r="GA138" s="273"/>
      <c r="GB138" s="273"/>
      <c r="GC138" s="273"/>
      <c r="GD138" s="273"/>
      <c r="GE138" s="273"/>
      <c r="GF138" s="273"/>
      <c r="GG138" s="273"/>
      <c r="GH138" s="273"/>
      <c r="GI138" s="273"/>
      <c r="GJ138" s="273"/>
      <c r="GK138" s="273"/>
      <c r="GL138" s="274"/>
      <c r="GM138" s="272"/>
      <c r="GN138" s="273"/>
      <c r="GO138" s="273"/>
      <c r="GP138" s="273"/>
      <c r="GQ138" s="274"/>
      <c r="GT138" s="272"/>
      <c r="GU138" s="273"/>
      <c r="GV138" s="273"/>
      <c r="GW138" s="273"/>
      <c r="GX138" s="273"/>
      <c r="GY138" s="273"/>
      <c r="GZ138" s="273"/>
      <c r="HA138" s="273"/>
      <c r="HB138" s="273"/>
      <c r="HC138" s="273"/>
      <c r="HD138" s="273"/>
      <c r="HE138" s="273"/>
      <c r="HF138" s="273"/>
      <c r="HG138" s="273"/>
      <c r="HH138" s="273"/>
      <c r="HI138" s="273"/>
      <c r="HJ138" s="273"/>
      <c r="HK138" s="273"/>
      <c r="HL138" s="273"/>
      <c r="HM138" s="273"/>
      <c r="HN138" s="273"/>
      <c r="HO138" s="273"/>
      <c r="HP138" s="273"/>
      <c r="HQ138" s="273"/>
      <c r="HR138" s="273"/>
      <c r="HS138" s="273"/>
      <c r="HT138" s="273"/>
      <c r="HU138" s="273"/>
      <c r="HV138" s="273"/>
      <c r="HW138" s="273"/>
      <c r="HX138" s="273"/>
      <c r="HY138" s="273"/>
      <c r="HZ138" s="273"/>
      <c r="IA138" s="273"/>
      <c r="IB138" s="273"/>
      <c r="IC138" s="273"/>
      <c r="ID138" s="273"/>
      <c r="IE138" s="273"/>
      <c r="IF138" s="273"/>
      <c r="IG138" s="273"/>
      <c r="IH138" s="274"/>
      <c r="II138" s="272"/>
      <c r="IJ138" s="273"/>
      <c r="IK138" s="273"/>
      <c r="IL138" s="273"/>
      <c r="IM138" s="274"/>
      <c r="JK138" s="278"/>
      <c r="JL138" s="279"/>
      <c r="JM138" s="279"/>
      <c r="JN138" s="279"/>
      <c r="JO138" s="279"/>
      <c r="JP138" s="279"/>
      <c r="JQ138" s="279"/>
      <c r="JR138" s="279"/>
      <c r="JS138" s="279"/>
      <c r="JT138" s="279"/>
      <c r="JU138" s="279"/>
      <c r="JV138" s="279"/>
      <c r="JW138" s="279"/>
      <c r="JX138" s="279"/>
      <c r="JY138" s="279"/>
      <c r="JZ138" s="279"/>
      <c r="KA138" s="279"/>
      <c r="KB138" s="279"/>
      <c r="KC138" s="279"/>
      <c r="KD138" s="279"/>
      <c r="KE138" s="279"/>
      <c r="KF138" s="279"/>
      <c r="KG138" s="279"/>
      <c r="KH138" s="279"/>
      <c r="KI138" s="279"/>
      <c r="KJ138" s="279"/>
      <c r="KK138" s="279"/>
      <c r="KL138" s="279"/>
      <c r="KM138" s="279"/>
      <c r="KN138" s="279"/>
      <c r="KO138" s="279"/>
      <c r="KP138" s="279"/>
      <c r="KQ138" s="279"/>
      <c r="KR138" s="279"/>
      <c r="KS138" s="279"/>
      <c r="KT138" s="279"/>
      <c r="KU138" s="279"/>
      <c r="KV138" s="279"/>
      <c r="KW138" s="279"/>
      <c r="KX138" s="280"/>
      <c r="KY138" s="250"/>
      <c r="KZ138" s="251"/>
      <c r="LA138" s="251"/>
      <c r="LB138" s="251"/>
      <c r="LC138" s="252"/>
      <c r="LM138" s="250"/>
      <c r="LN138" s="251"/>
      <c r="LO138" s="251"/>
      <c r="LP138" s="251"/>
      <c r="LQ138" s="251"/>
      <c r="LR138" s="251"/>
      <c r="LS138" s="251"/>
      <c r="LT138" s="251"/>
      <c r="LU138" s="251"/>
      <c r="LV138" s="251"/>
      <c r="LW138" s="251"/>
      <c r="LX138" s="251"/>
      <c r="LY138" s="251"/>
      <c r="LZ138" s="251"/>
      <c r="MA138" s="251"/>
      <c r="MB138" s="251"/>
      <c r="MC138" s="251"/>
      <c r="MD138" s="251"/>
      <c r="ME138" s="251"/>
      <c r="MF138" s="251"/>
      <c r="MG138" s="251"/>
      <c r="MH138" s="251"/>
      <c r="MI138" s="251"/>
      <c r="MJ138" s="251"/>
      <c r="MK138" s="251"/>
      <c r="ML138" s="251"/>
      <c r="MM138" s="251"/>
      <c r="MN138" s="251"/>
      <c r="MO138" s="251"/>
      <c r="MP138" s="251"/>
      <c r="MQ138" s="251"/>
      <c r="MR138" s="251"/>
      <c r="MS138" s="251"/>
      <c r="MT138" s="251"/>
      <c r="MU138" s="251"/>
      <c r="MV138" s="251"/>
      <c r="MW138" s="251"/>
      <c r="MX138" s="251"/>
      <c r="MY138" s="251"/>
      <c r="MZ138" s="252"/>
      <c r="NA138" s="250"/>
      <c r="NB138" s="251"/>
      <c r="NC138" s="251"/>
      <c r="ND138" s="251"/>
      <c r="NE138" s="252"/>
      <c r="QQ138" s="18"/>
      <c r="QR138" s="19"/>
      <c r="QS138" s="39"/>
      <c r="QT138" s="39"/>
      <c r="QU138" s="39"/>
      <c r="QV138" s="39"/>
      <c r="QW138" s="40"/>
    </row>
    <row r="139" spans="3:465" ht="5.0999999999999996" customHeight="1" x14ac:dyDescent="0.3">
      <c r="C139" s="15"/>
      <c r="D139" s="16"/>
      <c r="AG139" s="49"/>
      <c r="CC139" s="49"/>
      <c r="DY139" s="49"/>
      <c r="FU139" s="49"/>
      <c r="HQ139" s="49"/>
      <c r="JK139" s="278"/>
      <c r="JL139" s="279"/>
      <c r="JM139" s="279"/>
      <c r="JN139" s="279"/>
      <c r="JO139" s="279"/>
      <c r="JP139" s="279"/>
      <c r="JQ139" s="279"/>
      <c r="JR139" s="279"/>
      <c r="JS139" s="279"/>
      <c r="JT139" s="279"/>
      <c r="JU139" s="279"/>
      <c r="JV139" s="279"/>
      <c r="JW139" s="279"/>
      <c r="JX139" s="279"/>
      <c r="JY139" s="279"/>
      <c r="JZ139" s="279"/>
      <c r="KA139" s="279"/>
      <c r="KB139" s="279"/>
      <c r="KC139" s="279"/>
      <c r="KD139" s="279"/>
      <c r="KE139" s="279"/>
      <c r="KF139" s="279"/>
      <c r="KG139" s="279"/>
      <c r="KH139" s="279"/>
      <c r="KI139" s="279"/>
      <c r="KJ139" s="279"/>
      <c r="KK139" s="279"/>
      <c r="KL139" s="279"/>
      <c r="KM139" s="279"/>
      <c r="KN139" s="279"/>
      <c r="KO139" s="279"/>
      <c r="KP139" s="279"/>
      <c r="KQ139" s="279"/>
      <c r="KR139" s="279"/>
      <c r="KS139" s="279"/>
      <c r="KT139" s="279"/>
      <c r="KU139" s="279"/>
      <c r="KV139" s="279"/>
      <c r="KW139" s="279"/>
      <c r="KX139" s="280"/>
      <c r="KY139" s="250"/>
      <c r="KZ139" s="251"/>
      <c r="LA139" s="251"/>
      <c r="LB139" s="251"/>
      <c r="LC139" s="252"/>
      <c r="LM139" s="250"/>
      <c r="LN139" s="251"/>
      <c r="LO139" s="251"/>
      <c r="LP139" s="251"/>
      <c r="LQ139" s="251"/>
      <c r="LR139" s="251"/>
      <c r="LS139" s="251"/>
      <c r="LT139" s="251"/>
      <c r="LU139" s="251"/>
      <c r="LV139" s="251"/>
      <c r="LW139" s="251"/>
      <c r="LX139" s="251"/>
      <c r="LY139" s="251"/>
      <c r="LZ139" s="251"/>
      <c r="MA139" s="251"/>
      <c r="MB139" s="251"/>
      <c r="MC139" s="251"/>
      <c r="MD139" s="251"/>
      <c r="ME139" s="251"/>
      <c r="MF139" s="251"/>
      <c r="MG139" s="251"/>
      <c r="MH139" s="251"/>
      <c r="MI139" s="251"/>
      <c r="MJ139" s="251"/>
      <c r="MK139" s="251"/>
      <c r="ML139" s="251"/>
      <c r="MM139" s="251"/>
      <c r="MN139" s="251"/>
      <c r="MO139" s="251"/>
      <c r="MP139" s="251"/>
      <c r="MQ139" s="251"/>
      <c r="MR139" s="251"/>
      <c r="MS139" s="251"/>
      <c r="MT139" s="251"/>
      <c r="MU139" s="251"/>
      <c r="MV139" s="251"/>
      <c r="MW139" s="251"/>
      <c r="MX139" s="251"/>
      <c r="MY139" s="251"/>
      <c r="MZ139" s="252"/>
      <c r="NA139" s="250"/>
      <c r="NB139" s="251"/>
      <c r="NC139" s="251"/>
      <c r="ND139" s="251"/>
      <c r="NE139" s="252"/>
      <c r="QQ139" s="18"/>
      <c r="QR139" s="19"/>
      <c r="QS139" s="39"/>
      <c r="QT139" s="39"/>
      <c r="QU139" s="39"/>
      <c r="QV139" s="39"/>
      <c r="QW139" s="40"/>
    </row>
    <row r="140" spans="3:465" ht="5.0999999999999996" customHeight="1" x14ac:dyDescent="0.3">
      <c r="C140" s="15"/>
      <c r="D140" s="16"/>
      <c r="AG140" s="50"/>
      <c r="BF140" s="1" t="s">
        <v>44</v>
      </c>
      <c r="CC140" s="50"/>
      <c r="DY140" s="50"/>
      <c r="FU140" s="50"/>
      <c r="HQ140" s="50"/>
      <c r="JK140" s="278"/>
      <c r="JL140" s="279"/>
      <c r="JM140" s="279"/>
      <c r="JN140" s="279"/>
      <c r="JO140" s="279"/>
      <c r="JP140" s="279"/>
      <c r="JQ140" s="279"/>
      <c r="JR140" s="279"/>
      <c r="JS140" s="279"/>
      <c r="JT140" s="279"/>
      <c r="JU140" s="279"/>
      <c r="JV140" s="279"/>
      <c r="JW140" s="279"/>
      <c r="JX140" s="279"/>
      <c r="JY140" s="279"/>
      <c r="JZ140" s="279"/>
      <c r="KA140" s="279"/>
      <c r="KB140" s="279"/>
      <c r="KC140" s="279"/>
      <c r="KD140" s="279"/>
      <c r="KE140" s="279"/>
      <c r="KF140" s="279"/>
      <c r="KG140" s="279"/>
      <c r="KH140" s="279"/>
      <c r="KI140" s="279"/>
      <c r="KJ140" s="279"/>
      <c r="KK140" s="279"/>
      <c r="KL140" s="279"/>
      <c r="KM140" s="279"/>
      <c r="KN140" s="279"/>
      <c r="KO140" s="279"/>
      <c r="KP140" s="279"/>
      <c r="KQ140" s="279"/>
      <c r="KR140" s="279"/>
      <c r="KS140" s="279"/>
      <c r="KT140" s="279"/>
      <c r="KU140" s="279"/>
      <c r="KV140" s="279"/>
      <c r="KW140" s="279"/>
      <c r="KX140" s="280"/>
      <c r="KY140" s="250"/>
      <c r="KZ140" s="251"/>
      <c r="LA140" s="251"/>
      <c r="LB140" s="251"/>
      <c r="LC140" s="252"/>
      <c r="LM140" s="250"/>
      <c r="LN140" s="251"/>
      <c r="LO140" s="251"/>
      <c r="LP140" s="251"/>
      <c r="LQ140" s="251"/>
      <c r="LR140" s="251"/>
      <c r="LS140" s="251"/>
      <c r="LT140" s="251"/>
      <c r="LU140" s="251"/>
      <c r="LV140" s="251"/>
      <c r="LW140" s="251"/>
      <c r="LX140" s="251"/>
      <c r="LY140" s="251"/>
      <c r="LZ140" s="251"/>
      <c r="MA140" s="251"/>
      <c r="MB140" s="251"/>
      <c r="MC140" s="251"/>
      <c r="MD140" s="251"/>
      <c r="ME140" s="251"/>
      <c r="MF140" s="251"/>
      <c r="MG140" s="251"/>
      <c r="MH140" s="251"/>
      <c r="MI140" s="251"/>
      <c r="MJ140" s="251"/>
      <c r="MK140" s="251"/>
      <c r="ML140" s="251"/>
      <c r="MM140" s="251"/>
      <c r="MN140" s="251"/>
      <c r="MO140" s="251"/>
      <c r="MP140" s="251"/>
      <c r="MQ140" s="251"/>
      <c r="MR140" s="251"/>
      <c r="MS140" s="251"/>
      <c r="MT140" s="251"/>
      <c r="MU140" s="251"/>
      <c r="MV140" s="251"/>
      <c r="MW140" s="251"/>
      <c r="MX140" s="251"/>
      <c r="MY140" s="251"/>
      <c r="MZ140" s="252"/>
      <c r="NA140" s="250"/>
      <c r="NB140" s="251"/>
      <c r="NC140" s="251"/>
      <c r="ND140" s="251"/>
      <c r="NE140" s="252"/>
      <c r="QQ140" s="18"/>
      <c r="QR140" s="19"/>
      <c r="QS140" s="39"/>
      <c r="QT140" s="39"/>
      <c r="QU140" s="39"/>
      <c r="QV140" s="39"/>
      <c r="QW140" s="40"/>
    </row>
    <row r="141" spans="3:465" ht="5.0999999999999996" customHeight="1" x14ac:dyDescent="0.3">
      <c r="C141" s="15"/>
      <c r="D141" s="16"/>
      <c r="J141" s="247" t="s">
        <v>45</v>
      </c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  <c r="AF141" s="248"/>
      <c r="AG141" s="248"/>
      <c r="AH141" s="248"/>
      <c r="AI141" s="248"/>
      <c r="AJ141" s="248"/>
      <c r="AK141" s="248"/>
      <c r="AL141" s="248"/>
      <c r="AM141" s="248"/>
      <c r="AN141" s="248"/>
      <c r="AO141" s="248"/>
      <c r="AP141" s="248"/>
      <c r="AQ141" s="248"/>
      <c r="AR141" s="248"/>
      <c r="AS141" s="248"/>
      <c r="AT141" s="248"/>
      <c r="AU141" s="248"/>
      <c r="AV141" s="248"/>
      <c r="AW141" s="248"/>
      <c r="AX141" s="249"/>
      <c r="AY141" s="247">
        <v>1</v>
      </c>
      <c r="AZ141" s="248"/>
      <c r="BA141" s="248"/>
      <c r="BB141" s="248"/>
      <c r="BC141" s="249"/>
      <c r="BF141" s="247" t="s">
        <v>46</v>
      </c>
      <c r="BG141" s="248"/>
      <c r="BH141" s="248"/>
      <c r="BI141" s="248"/>
      <c r="BJ141" s="248"/>
      <c r="BK141" s="248"/>
      <c r="BL141" s="248"/>
      <c r="BM141" s="248"/>
      <c r="BN141" s="248"/>
      <c r="BO141" s="248"/>
      <c r="BP141" s="248"/>
      <c r="BQ141" s="248"/>
      <c r="BR141" s="248"/>
      <c r="BS141" s="248"/>
      <c r="BT141" s="248"/>
      <c r="BU141" s="248"/>
      <c r="BV141" s="248"/>
      <c r="BW141" s="248"/>
      <c r="BX141" s="248"/>
      <c r="BY141" s="248"/>
      <c r="BZ141" s="248"/>
      <c r="CA141" s="248"/>
      <c r="CB141" s="248"/>
      <c r="CC141" s="248"/>
      <c r="CD141" s="248"/>
      <c r="CE141" s="248"/>
      <c r="CF141" s="248"/>
      <c r="CG141" s="248"/>
      <c r="CH141" s="248"/>
      <c r="CI141" s="248"/>
      <c r="CJ141" s="248"/>
      <c r="CK141" s="248"/>
      <c r="CL141" s="248"/>
      <c r="CM141" s="248"/>
      <c r="CN141" s="248"/>
      <c r="CO141" s="248"/>
      <c r="CP141" s="248"/>
      <c r="CQ141" s="248"/>
      <c r="CR141" s="248"/>
      <c r="CS141" s="248"/>
      <c r="CT141" s="249"/>
      <c r="CU141" s="247">
        <v>1</v>
      </c>
      <c r="CV141" s="248"/>
      <c r="CW141" s="248"/>
      <c r="CX141" s="248"/>
      <c r="CY141" s="249"/>
      <c r="DB141" s="247" t="s">
        <v>47</v>
      </c>
      <c r="DC141" s="248"/>
      <c r="DD141" s="248"/>
      <c r="DE141" s="248"/>
      <c r="DF141" s="248"/>
      <c r="DG141" s="248"/>
      <c r="DH141" s="248"/>
      <c r="DI141" s="248"/>
      <c r="DJ141" s="248"/>
      <c r="DK141" s="248"/>
      <c r="DL141" s="248"/>
      <c r="DM141" s="248"/>
      <c r="DN141" s="248"/>
      <c r="DO141" s="248"/>
      <c r="DP141" s="248"/>
      <c r="DQ141" s="248"/>
      <c r="DR141" s="248"/>
      <c r="DS141" s="248"/>
      <c r="DT141" s="248"/>
      <c r="DU141" s="248"/>
      <c r="DV141" s="248"/>
      <c r="DW141" s="248"/>
      <c r="DX141" s="248"/>
      <c r="DY141" s="248"/>
      <c r="DZ141" s="248"/>
      <c r="EA141" s="248"/>
      <c r="EB141" s="248"/>
      <c r="EC141" s="248"/>
      <c r="ED141" s="248"/>
      <c r="EE141" s="248"/>
      <c r="EF141" s="248"/>
      <c r="EG141" s="248"/>
      <c r="EH141" s="248"/>
      <c r="EI141" s="248"/>
      <c r="EJ141" s="248"/>
      <c r="EK141" s="248"/>
      <c r="EL141" s="248"/>
      <c r="EM141" s="248"/>
      <c r="EN141" s="248"/>
      <c r="EO141" s="248"/>
      <c r="EP141" s="249"/>
      <c r="EQ141" s="247">
        <v>1</v>
      </c>
      <c r="ER141" s="248"/>
      <c r="ES141" s="248"/>
      <c r="ET141" s="248"/>
      <c r="EU141" s="249"/>
      <c r="EX141" s="247" t="s">
        <v>48</v>
      </c>
      <c r="EY141" s="248"/>
      <c r="EZ141" s="248"/>
      <c r="FA141" s="248"/>
      <c r="FB141" s="248"/>
      <c r="FC141" s="248"/>
      <c r="FD141" s="248"/>
      <c r="FE141" s="248"/>
      <c r="FF141" s="248"/>
      <c r="FG141" s="248"/>
      <c r="FH141" s="248"/>
      <c r="FI141" s="248"/>
      <c r="FJ141" s="248"/>
      <c r="FK141" s="248"/>
      <c r="FL141" s="248"/>
      <c r="FM141" s="248"/>
      <c r="FN141" s="248"/>
      <c r="FO141" s="248"/>
      <c r="FP141" s="248"/>
      <c r="FQ141" s="248"/>
      <c r="FR141" s="248"/>
      <c r="FS141" s="248"/>
      <c r="FT141" s="248"/>
      <c r="FU141" s="248"/>
      <c r="FV141" s="248"/>
      <c r="FW141" s="248"/>
      <c r="FX141" s="248"/>
      <c r="FY141" s="248"/>
      <c r="FZ141" s="248"/>
      <c r="GA141" s="248"/>
      <c r="GB141" s="248"/>
      <c r="GC141" s="248"/>
      <c r="GD141" s="248"/>
      <c r="GE141" s="248"/>
      <c r="GF141" s="248"/>
      <c r="GG141" s="248"/>
      <c r="GH141" s="248"/>
      <c r="GI141" s="248"/>
      <c r="GJ141" s="248"/>
      <c r="GK141" s="248"/>
      <c r="GL141" s="249"/>
      <c r="GM141" s="247">
        <v>1</v>
      </c>
      <c r="GN141" s="248"/>
      <c r="GO141" s="248"/>
      <c r="GP141" s="248"/>
      <c r="GQ141" s="249"/>
      <c r="GT141" s="247" t="s">
        <v>49</v>
      </c>
      <c r="GU141" s="248"/>
      <c r="GV141" s="248"/>
      <c r="GW141" s="248"/>
      <c r="GX141" s="248"/>
      <c r="GY141" s="248"/>
      <c r="GZ141" s="248"/>
      <c r="HA141" s="248"/>
      <c r="HB141" s="248"/>
      <c r="HC141" s="248"/>
      <c r="HD141" s="248"/>
      <c r="HE141" s="248"/>
      <c r="HF141" s="248"/>
      <c r="HG141" s="248"/>
      <c r="HH141" s="248"/>
      <c r="HI141" s="248"/>
      <c r="HJ141" s="248"/>
      <c r="HK141" s="248"/>
      <c r="HL141" s="248"/>
      <c r="HM141" s="248"/>
      <c r="HN141" s="248"/>
      <c r="HO141" s="248"/>
      <c r="HP141" s="248"/>
      <c r="HQ141" s="248"/>
      <c r="HR141" s="248"/>
      <c r="HS141" s="248"/>
      <c r="HT141" s="248"/>
      <c r="HU141" s="248"/>
      <c r="HV141" s="248"/>
      <c r="HW141" s="248"/>
      <c r="HX141" s="248"/>
      <c r="HY141" s="248"/>
      <c r="HZ141" s="248"/>
      <c r="IA141" s="248"/>
      <c r="IB141" s="248"/>
      <c r="IC141" s="248"/>
      <c r="ID141" s="248"/>
      <c r="IE141" s="248"/>
      <c r="IF141" s="248"/>
      <c r="IG141" s="248"/>
      <c r="IH141" s="249"/>
      <c r="II141" s="247">
        <v>1</v>
      </c>
      <c r="IJ141" s="248"/>
      <c r="IK141" s="248"/>
      <c r="IL141" s="248"/>
      <c r="IM141" s="249"/>
      <c r="JK141" s="278"/>
      <c r="JL141" s="279"/>
      <c r="JM141" s="279"/>
      <c r="JN141" s="279"/>
      <c r="JO141" s="279"/>
      <c r="JP141" s="279"/>
      <c r="JQ141" s="279"/>
      <c r="JR141" s="279"/>
      <c r="JS141" s="279"/>
      <c r="JT141" s="279"/>
      <c r="JU141" s="279"/>
      <c r="JV141" s="279"/>
      <c r="JW141" s="279"/>
      <c r="JX141" s="279"/>
      <c r="JY141" s="279"/>
      <c r="JZ141" s="279"/>
      <c r="KA141" s="279"/>
      <c r="KB141" s="279"/>
      <c r="KC141" s="279"/>
      <c r="KD141" s="279"/>
      <c r="KE141" s="279"/>
      <c r="KF141" s="279"/>
      <c r="KG141" s="279"/>
      <c r="KH141" s="279"/>
      <c r="KI141" s="279"/>
      <c r="KJ141" s="279"/>
      <c r="KK141" s="279"/>
      <c r="KL141" s="279"/>
      <c r="KM141" s="279"/>
      <c r="KN141" s="279"/>
      <c r="KO141" s="279"/>
      <c r="KP141" s="279"/>
      <c r="KQ141" s="279"/>
      <c r="KR141" s="279"/>
      <c r="KS141" s="279"/>
      <c r="KT141" s="279"/>
      <c r="KU141" s="279"/>
      <c r="KV141" s="279"/>
      <c r="KW141" s="279"/>
      <c r="KX141" s="280"/>
      <c r="KY141" s="250"/>
      <c r="KZ141" s="251"/>
      <c r="LA141" s="251"/>
      <c r="LB141" s="251"/>
      <c r="LC141" s="252"/>
      <c r="LM141" s="250"/>
      <c r="LN141" s="251"/>
      <c r="LO141" s="251"/>
      <c r="LP141" s="251"/>
      <c r="LQ141" s="251"/>
      <c r="LR141" s="251"/>
      <c r="LS141" s="251"/>
      <c r="LT141" s="251"/>
      <c r="LU141" s="251"/>
      <c r="LV141" s="251"/>
      <c r="LW141" s="251"/>
      <c r="LX141" s="251"/>
      <c r="LY141" s="251"/>
      <c r="LZ141" s="251"/>
      <c r="MA141" s="251"/>
      <c r="MB141" s="251"/>
      <c r="MC141" s="251"/>
      <c r="MD141" s="251"/>
      <c r="ME141" s="251"/>
      <c r="MF141" s="251"/>
      <c r="MG141" s="251"/>
      <c r="MH141" s="251"/>
      <c r="MI141" s="251"/>
      <c r="MJ141" s="251"/>
      <c r="MK141" s="251"/>
      <c r="ML141" s="251"/>
      <c r="MM141" s="251"/>
      <c r="MN141" s="251"/>
      <c r="MO141" s="251"/>
      <c r="MP141" s="251"/>
      <c r="MQ141" s="251"/>
      <c r="MR141" s="251"/>
      <c r="MS141" s="251"/>
      <c r="MT141" s="251"/>
      <c r="MU141" s="251"/>
      <c r="MV141" s="251"/>
      <c r="MW141" s="251"/>
      <c r="MX141" s="251"/>
      <c r="MY141" s="251"/>
      <c r="MZ141" s="252"/>
      <c r="NA141" s="250"/>
      <c r="NB141" s="251"/>
      <c r="NC141" s="251"/>
      <c r="ND141" s="251"/>
      <c r="NE141" s="252"/>
      <c r="QQ141" s="18"/>
      <c r="QR141" s="19"/>
      <c r="QS141" s="39"/>
      <c r="QT141" s="39"/>
      <c r="QU141" s="39"/>
      <c r="QV141" s="39"/>
      <c r="QW141" s="40"/>
    </row>
    <row r="142" spans="3:465" ht="5.0999999999999996" customHeight="1" x14ac:dyDescent="0.3">
      <c r="C142" s="15"/>
      <c r="D142" s="16"/>
      <c r="J142" s="250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  <c r="AA142" s="251"/>
      <c r="AB142" s="251"/>
      <c r="AC142" s="251"/>
      <c r="AD142" s="251"/>
      <c r="AE142" s="251"/>
      <c r="AF142" s="251"/>
      <c r="AG142" s="251"/>
      <c r="AH142" s="251"/>
      <c r="AI142" s="251"/>
      <c r="AJ142" s="251"/>
      <c r="AK142" s="251"/>
      <c r="AL142" s="251"/>
      <c r="AM142" s="251"/>
      <c r="AN142" s="251"/>
      <c r="AO142" s="251"/>
      <c r="AP142" s="251"/>
      <c r="AQ142" s="251"/>
      <c r="AR142" s="251"/>
      <c r="AS142" s="251"/>
      <c r="AT142" s="251"/>
      <c r="AU142" s="251"/>
      <c r="AV142" s="251"/>
      <c r="AW142" s="251"/>
      <c r="AX142" s="252"/>
      <c r="AY142" s="250"/>
      <c r="AZ142" s="251"/>
      <c r="BA142" s="251"/>
      <c r="BB142" s="251"/>
      <c r="BC142" s="252"/>
      <c r="BF142" s="250"/>
      <c r="BG142" s="251"/>
      <c r="BH142" s="251"/>
      <c r="BI142" s="251"/>
      <c r="BJ142" s="251"/>
      <c r="BK142" s="251"/>
      <c r="BL142" s="251"/>
      <c r="BM142" s="251"/>
      <c r="BN142" s="251"/>
      <c r="BO142" s="251"/>
      <c r="BP142" s="251"/>
      <c r="BQ142" s="251"/>
      <c r="BR142" s="251"/>
      <c r="BS142" s="251"/>
      <c r="BT142" s="251"/>
      <c r="BU142" s="251"/>
      <c r="BV142" s="251"/>
      <c r="BW142" s="251"/>
      <c r="BX142" s="251"/>
      <c r="BY142" s="251"/>
      <c r="BZ142" s="251"/>
      <c r="CA142" s="251"/>
      <c r="CB142" s="251"/>
      <c r="CC142" s="251"/>
      <c r="CD142" s="251"/>
      <c r="CE142" s="251"/>
      <c r="CF142" s="251"/>
      <c r="CG142" s="251"/>
      <c r="CH142" s="251"/>
      <c r="CI142" s="251"/>
      <c r="CJ142" s="251"/>
      <c r="CK142" s="251"/>
      <c r="CL142" s="251"/>
      <c r="CM142" s="251"/>
      <c r="CN142" s="251"/>
      <c r="CO142" s="251"/>
      <c r="CP142" s="251"/>
      <c r="CQ142" s="251"/>
      <c r="CR142" s="251"/>
      <c r="CS142" s="251"/>
      <c r="CT142" s="252"/>
      <c r="CU142" s="250"/>
      <c r="CV142" s="251"/>
      <c r="CW142" s="251"/>
      <c r="CX142" s="251"/>
      <c r="CY142" s="252"/>
      <c r="DB142" s="250"/>
      <c r="DC142" s="251"/>
      <c r="DD142" s="251"/>
      <c r="DE142" s="251"/>
      <c r="DF142" s="251"/>
      <c r="DG142" s="251"/>
      <c r="DH142" s="251"/>
      <c r="DI142" s="251"/>
      <c r="DJ142" s="251"/>
      <c r="DK142" s="251"/>
      <c r="DL142" s="251"/>
      <c r="DM142" s="251"/>
      <c r="DN142" s="251"/>
      <c r="DO142" s="251"/>
      <c r="DP142" s="251"/>
      <c r="DQ142" s="251"/>
      <c r="DR142" s="251"/>
      <c r="DS142" s="251"/>
      <c r="DT142" s="251"/>
      <c r="DU142" s="251"/>
      <c r="DV142" s="251"/>
      <c r="DW142" s="251"/>
      <c r="DX142" s="251"/>
      <c r="DY142" s="251"/>
      <c r="DZ142" s="251"/>
      <c r="EA142" s="251"/>
      <c r="EB142" s="251"/>
      <c r="EC142" s="251"/>
      <c r="ED142" s="251"/>
      <c r="EE142" s="251"/>
      <c r="EF142" s="251"/>
      <c r="EG142" s="251"/>
      <c r="EH142" s="251"/>
      <c r="EI142" s="251"/>
      <c r="EJ142" s="251"/>
      <c r="EK142" s="251"/>
      <c r="EL142" s="251"/>
      <c r="EM142" s="251"/>
      <c r="EN142" s="251"/>
      <c r="EO142" s="251"/>
      <c r="EP142" s="252"/>
      <c r="EQ142" s="250"/>
      <c r="ER142" s="251"/>
      <c r="ES142" s="251"/>
      <c r="ET142" s="251"/>
      <c r="EU142" s="252"/>
      <c r="EX142" s="250"/>
      <c r="EY142" s="251"/>
      <c r="EZ142" s="251"/>
      <c r="FA142" s="251"/>
      <c r="FB142" s="251"/>
      <c r="FC142" s="251"/>
      <c r="FD142" s="251"/>
      <c r="FE142" s="251"/>
      <c r="FF142" s="251"/>
      <c r="FG142" s="251"/>
      <c r="FH142" s="251"/>
      <c r="FI142" s="251"/>
      <c r="FJ142" s="251"/>
      <c r="FK142" s="251"/>
      <c r="FL142" s="251"/>
      <c r="FM142" s="251"/>
      <c r="FN142" s="251"/>
      <c r="FO142" s="251"/>
      <c r="FP142" s="251"/>
      <c r="FQ142" s="251"/>
      <c r="FR142" s="251"/>
      <c r="FS142" s="251"/>
      <c r="FT142" s="251"/>
      <c r="FU142" s="251"/>
      <c r="FV142" s="251"/>
      <c r="FW142" s="251"/>
      <c r="FX142" s="251"/>
      <c r="FY142" s="251"/>
      <c r="FZ142" s="251"/>
      <c r="GA142" s="251"/>
      <c r="GB142" s="251"/>
      <c r="GC142" s="251"/>
      <c r="GD142" s="251"/>
      <c r="GE142" s="251"/>
      <c r="GF142" s="251"/>
      <c r="GG142" s="251"/>
      <c r="GH142" s="251"/>
      <c r="GI142" s="251"/>
      <c r="GJ142" s="251"/>
      <c r="GK142" s="251"/>
      <c r="GL142" s="252"/>
      <c r="GM142" s="250"/>
      <c r="GN142" s="251"/>
      <c r="GO142" s="251"/>
      <c r="GP142" s="251"/>
      <c r="GQ142" s="252"/>
      <c r="GT142" s="250"/>
      <c r="GU142" s="251"/>
      <c r="GV142" s="251"/>
      <c r="GW142" s="251"/>
      <c r="GX142" s="251"/>
      <c r="GY142" s="251"/>
      <c r="GZ142" s="251"/>
      <c r="HA142" s="251"/>
      <c r="HB142" s="251"/>
      <c r="HC142" s="251"/>
      <c r="HD142" s="251"/>
      <c r="HE142" s="251"/>
      <c r="HF142" s="251"/>
      <c r="HG142" s="251"/>
      <c r="HH142" s="251"/>
      <c r="HI142" s="251"/>
      <c r="HJ142" s="251"/>
      <c r="HK142" s="251"/>
      <c r="HL142" s="251"/>
      <c r="HM142" s="251"/>
      <c r="HN142" s="251"/>
      <c r="HO142" s="251"/>
      <c r="HP142" s="251"/>
      <c r="HQ142" s="251"/>
      <c r="HR142" s="251"/>
      <c r="HS142" s="251"/>
      <c r="HT142" s="251"/>
      <c r="HU142" s="251"/>
      <c r="HV142" s="251"/>
      <c r="HW142" s="251"/>
      <c r="HX142" s="251"/>
      <c r="HY142" s="251"/>
      <c r="HZ142" s="251"/>
      <c r="IA142" s="251"/>
      <c r="IB142" s="251"/>
      <c r="IC142" s="251"/>
      <c r="ID142" s="251"/>
      <c r="IE142" s="251"/>
      <c r="IF142" s="251"/>
      <c r="IG142" s="251"/>
      <c r="IH142" s="252"/>
      <c r="II142" s="250"/>
      <c r="IJ142" s="251"/>
      <c r="IK142" s="251"/>
      <c r="IL142" s="251"/>
      <c r="IM142" s="252"/>
      <c r="JK142" s="278"/>
      <c r="JL142" s="279"/>
      <c r="JM142" s="279"/>
      <c r="JN142" s="279"/>
      <c r="JO142" s="279"/>
      <c r="JP142" s="279"/>
      <c r="JQ142" s="279"/>
      <c r="JR142" s="279"/>
      <c r="JS142" s="279"/>
      <c r="JT142" s="279"/>
      <c r="JU142" s="279"/>
      <c r="JV142" s="279"/>
      <c r="JW142" s="279"/>
      <c r="JX142" s="279"/>
      <c r="JY142" s="279"/>
      <c r="JZ142" s="279"/>
      <c r="KA142" s="279"/>
      <c r="KB142" s="279"/>
      <c r="KC142" s="279"/>
      <c r="KD142" s="279"/>
      <c r="KE142" s="279"/>
      <c r="KF142" s="279"/>
      <c r="KG142" s="279"/>
      <c r="KH142" s="279"/>
      <c r="KI142" s="279"/>
      <c r="KJ142" s="279"/>
      <c r="KK142" s="279"/>
      <c r="KL142" s="279"/>
      <c r="KM142" s="279"/>
      <c r="KN142" s="279"/>
      <c r="KO142" s="279"/>
      <c r="KP142" s="279"/>
      <c r="KQ142" s="279"/>
      <c r="KR142" s="279"/>
      <c r="KS142" s="279"/>
      <c r="KT142" s="279"/>
      <c r="KU142" s="279"/>
      <c r="KV142" s="279"/>
      <c r="KW142" s="279"/>
      <c r="KX142" s="280"/>
      <c r="KY142" s="250"/>
      <c r="KZ142" s="251"/>
      <c r="LA142" s="251"/>
      <c r="LB142" s="251"/>
      <c r="LC142" s="252"/>
      <c r="LM142" s="250"/>
      <c r="LN142" s="251"/>
      <c r="LO142" s="251"/>
      <c r="LP142" s="251"/>
      <c r="LQ142" s="251"/>
      <c r="LR142" s="251"/>
      <c r="LS142" s="251"/>
      <c r="LT142" s="251"/>
      <c r="LU142" s="251"/>
      <c r="LV142" s="251"/>
      <c r="LW142" s="251"/>
      <c r="LX142" s="251"/>
      <c r="LY142" s="251"/>
      <c r="LZ142" s="251"/>
      <c r="MA142" s="251"/>
      <c r="MB142" s="251"/>
      <c r="MC142" s="251"/>
      <c r="MD142" s="251"/>
      <c r="ME142" s="251"/>
      <c r="MF142" s="251"/>
      <c r="MG142" s="251"/>
      <c r="MH142" s="251"/>
      <c r="MI142" s="251"/>
      <c r="MJ142" s="251"/>
      <c r="MK142" s="251"/>
      <c r="ML142" s="251"/>
      <c r="MM142" s="251"/>
      <c r="MN142" s="251"/>
      <c r="MO142" s="251"/>
      <c r="MP142" s="251"/>
      <c r="MQ142" s="251"/>
      <c r="MR142" s="251"/>
      <c r="MS142" s="251"/>
      <c r="MT142" s="251"/>
      <c r="MU142" s="251"/>
      <c r="MV142" s="251"/>
      <c r="MW142" s="251"/>
      <c r="MX142" s="251"/>
      <c r="MY142" s="251"/>
      <c r="MZ142" s="252"/>
      <c r="NA142" s="250"/>
      <c r="NB142" s="251"/>
      <c r="NC142" s="251"/>
      <c r="ND142" s="251"/>
      <c r="NE142" s="252"/>
      <c r="QQ142" s="18"/>
      <c r="QR142" s="19"/>
      <c r="QS142" s="39"/>
      <c r="QT142" s="39"/>
      <c r="QU142" s="39"/>
      <c r="QV142" s="39"/>
      <c r="QW142" s="40"/>
    </row>
    <row r="143" spans="3:465" ht="5.0999999999999996" customHeight="1" x14ac:dyDescent="0.3">
      <c r="C143" s="15"/>
      <c r="D143" s="16"/>
      <c r="J143" s="250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  <c r="AA143" s="251"/>
      <c r="AB143" s="251"/>
      <c r="AC143" s="251"/>
      <c r="AD143" s="251"/>
      <c r="AE143" s="251"/>
      <c r="AF143" s="251"/>
      <c r="AG143" s="251"/>
      <c r="AH143" s="251"/>
      <c r="AI143" s="251"/>
      <c r="AJ143" s="251"/>
      <c r="AK143" s="251"/>
      <c r="AL143" s="251"/>
      <c r="AM143" s="251"/>
      <c r="AN143" s="251"/>
      <c r="AO143" s="251"/>
      <c r="AP143" s="251"/>
      <c r="AQ143" s="251"/>
      <c r="AR143" s="251"/>
      <c r="AS143" s="251"/>
      <c r="AT143" s="251"/>
      <c r="AU143" s="251"/>
      <c r="AV143" s="251"/>
      <c r="AW143" s="251"/>
      <c r="AX143" s="252"/>
      <c r="AY143" s="250"/>
      <c r="AZ143" s="251"/>
      <c r="BA143" s="251"/>
      <c r="BB143" s="251"/>
      <c r="BC143" s="252"/>
      <c r="BF143" s="250"/>
      <c r="BG143" s="251"/>
      <c r="BH143" s="251"/>
      <c r="BI143" s="251"/>
      <c r="BJ143" s="251"/>
      <c r="BK143" s="251"/>
      <c r="BL143" s="251"/>
      <c r="BM143" s="251"/>
      <c r="BN143" s="251"/>
      <c r="BO143" s="251"/>
      <c r="BP143" s="251"/>
      <c r="BQ143" s="251"/>
      <c r="BR143" s="251"/>
      <c r="BS143" s="251"/>
      <c r="BT143" s="251"/>
      <c r="BU143" s="251"/>
      <c r="BV143" s="251"/>
      <c r="BW143" s="251"/>
      <c r="BX143" s="251"/>
      <c r="BY143" s="251"/>
      <c r="BZ143" s="251"/>
      <c r="CA143" s="251"/>
      <c r="CB143" s="251"/>
      <c r="CC143" s="251"/>
      <c r="CD143" s="251"/>
      <c r="CE143" s="251"/>
      <c r="CF143" s="251"/>
      <c r="CG143" s="251"/>
      <c r="CH143" s="251"/>
      <c r="CI143" s="251"/>
      <c r="CJ143" s="251"/>
      <c r="CK143" s="251"/>
      <c r="CL143" s="251"/>
      <c r="CM143" s="251"/>
      <c r="CN143" s="251"/>
      <c r="CO143" s="251"/>
      <c r="CP143" s="251"/>
      <c r="CQ143" s="251"/>
      <c r="CR143" s="251"/>
      <c r="CS143" s="251"/>
      <c r="CT143" s="252"/>
      <c r="CU143" s="250"/>
      <c r="CV143" s="251"/>
      <c r="CW143" s="251"/>
      <c r="CX143" s="251"/>
      <c r="CY143" s="252"/>
      <c r="DB143" s="250"/>
      <c r="DC143" s="251"/>
      <c r="DD143" s="251"/>
      <c r="DE143" s="251"/>
      <c r="DF143" s="251"/>
      <c r="DG143" s="251"/>
      <c r="DH143" s="251"/>
      <c r="DI143" s="251"/>
      <c r="DJ143" s="251"/>
      <c r="DK143" s="251"/>
      <c r="DL143" s="251"/>
      <c r="DM143" s="251"/>
      <c r="DN143" s="251"/>
      <c r="DO143" s="251"/>
      <c r="DP143" s="251"/>
      <c r="DQ143" s="251"/>
      <c r="DR143" s="251"/>
      <c r="DS143" s="251"/>
      <c r="DT143" s="251"/>
      <c r="DU143" s="251"/>
      <c r="DV143" s="251"/>
      <c r="DW143" s="251"/>
      <c r="DX143" s="251"/>
      <c r="DY143" s="251"/>
      <c r="DZ143" s="251"/>
      <c r="EA143" s="251"/>
      <c r="EB143" s="251"/>
      <c r="EC143" s="251"/>
      <c r="ED143" s="251"/>
      <c r="EE143" s="251"/>
      <c r="EF143" s="251"/>
      <c r="EG143" s="251"/>
      <c r="EH143" s="251"/>
      <c r="EI143" s="251"/>
      <c r="EJ143" s="251"/>
      <c r="EK143" s="251"/>
      <c r="EL143" s="251"/>
      <c r="EM143" s="251"/>
      <c r="EN143" s="251"/>
      <c r="EO143" s="251"/>
      <c r="EP143" s="252"/>
      <c r="EQ143" s="250"/>
      <c r="ER143" s="251"/>
      <c r="ES143" s="251"/>
      <c r="ET143" s="251"/>
      <c r="EU143" s="252"/>
      <c r="EX143" s="250"/>
      <c r="EY143" s="251"/>
      <c r="EZ143" s="251"/>
      <c r="FA143" s="251"/>
      <c r="FB143" s="251"/>
      <c r="FC143" s="251"/>
      <c r="FD143" s="251"/>
      <c r="FE143" s="251"/>
      <c r="FF143" s="251"/>
      <c r="FG143" s="251"/>
      <c r="FH143" s="251"/>
      <c r="FI143" s="251"/>
      <c r="FJ143" s="251"/>
      <c r="FK143" s="251"/>
      <c r="FL143" s="251"/>
      <c r="FM143" s="251"/>
      <c r="FN143" s="251"/>
      <c r="FO143" s="251"/>
      <c r="FP143" s="251"/>
      <c r="FQ143" s="251"/>
      <c r="FR143" s="251"/>
      <c r="FS143" s="251"/>
      <c r="FT143" s="251"/>
      <c r="FU143" s="251"/>
      <c r="FV143" s="251"/>
      <c r="FW143" s="251"/>
      <c r="FX143" s="251"/>
      <c r="FY143" s="251"/>
      <c r="FZ143" s="251"/>
      <c r="GA143" s="251"/>
      <c r="GB143" s="251"/>
      <c r="GC143" s="251"/>
      <c r="GD143" s="251"/>
      <c r="GE143" s="251"/>
      <c r="GF143" s="251"/>
      <c r="GG143" s="251"/>
      <c r="GH143" s="251"/>
      <c r="GI143" s="251"/>
      <c r="GJ143" s="251"/>
      <c r="GK143" s="251"/>
      <c r="GL143" s="252"/>
      <c r="GM143" s="250"/>
      <c r="GN143" s="251"/>
      <c r="GO143" s="251"/>
      <c r="GP143" s="251"/>
      <c r="GQ143" s="252"/>
      <c r="GT143" s="250"/>
      <c r="GU143" s="251"/>
      <c r="GV143" s="251"/>
      <c r="GW143" s="251"/>
      <c r="GX143" s="251"/>
      <c r="GY143" s="251"/>
      <c r="GZ143" s="251"/>
      <c r="HA143" s="251"/>
      <c r="HB143" s="251"/>
      <c r="HC143" s="251"/>
      <c r="HD143" s="251"/>
      <c r="HE143" s="251"/>
      <c r="HF143" s="251"/>
      <c r="HG143" s="251"/>
      <c r="HH143" s="251"/>
      <c r="HI143" s="251"/>
      <c r="HJ143" s="251"/>
      <c r="HK143" s="251"/>
      <c r="HL143" s="251"/>
      <c r="HM143" s="251"/>
      <c r="HN143" s="251"/>
      <c r="HO143" s="251"/>
      <c r="HP143" s="251"/>
      <c r="HQ143" s="251"/>
      <c r="HR143" s="251"/>
      <c r="HS143" s="251"/>
      <c r="HT143" s="251"/>
      <c r="HU143" s="251"/>
      <c r="HV143" s="251"/>
      <c r="HW143" s="251"/>
      <c r="HX143" s="251"/>
      <c r="HY143" s="251"/>
      <c r="HZ143" s="251"/>
      <c r="IA143" s="251"/>
      <c r="IB143" s="251"/>
      <c r="IC143" s="251"/>
      <c r="ID143" s="251"/>
      <c r="IE143" s="251"/>
      <c r="IF143" s="251"/>
      <c r="IG143" s="251"/>
      <c r="IH143" s="252"/>
      <c r="II143" s="250"/>
      <c r="IJ143" s="251"/>
      <c r="IK143" s="251"/>
      <c r="IL143" s="251"/>
      <c r="IM143" s="252"/>
      <c r="JK143" s="278"/>
      <c r="JL143" s="279"/>
      <c r="JM143" s="279"/>
      <c r="JN143" s="279"/>
      <c r="JO143" s="279"/>
      <c r="JP143" s="279"/>
      <c r="JQ143" s="279"/>
      <c r="JR143" s="279"/>
      <c r="JS143" s="279"/>
      <c r="JT143" s="279"/>
      <c r="JU143" s="279"/>
      <c r="JV143" s="279"/>
      <c r="JW143" s="279"/>
      <c r="JX143" s="279"/>
      <c r="JY143" s="279"/>
      <c r="JZ143" s="279"/>
      <c r="KA143" s="279"/>
      <c r="KB143" s="279"/>
      <c r="KC143" s="279"/>
      <c r="KD143" s="279"/>
      <c r="KE143" s="279"/>
      <c r="KF143" s="279"/>
      <c r="KG143" s="279"/>
      <c r="KH143" s="279"/>
      <c r="KI143" s="279"/>
      <c r="KJ143" s="279"/>
      <c r="KK143" s="279"/>
      <c r="KL143" s="279"/>
      <c r="KM143" s="279"/>
      <c r="KN143" s="279"/>
      <c r="KO143" s="279"/>
      <c r="KP143" s="279"/>
      <c r="KQ143" s="279"/>
      <c r="KR143" s="279"/>
      <c r="KS143" s="279"/>
      <c r="KT143" s="279"/>
      <c r="KU143" s="279"/>
      <c r="KV143" s="279"/>
      <c r="KW143" s="279"/>
      <c r="KX143" s="280"/>
      <c r="KY143" s="250"/>
      <c r="KZ143" s="251"/>
      <c r="LA143" s="251"/>
      <c r="LB143" s="251"/>
      <c r="LC143" s="252"/>
      <c r="LM143" s="250"/>
      <c r="LN143" s="251"/>
      <c r="LO143" s="251"/>
      <c r="LP143" s="251"/>
      <c r="LQ143" s="251"/>
      <c r="LR143" s="251"/>
      <c r="LS143" s="251"/>
      <c r="LT143" s="251"/>
      <c r="LU143" s="251"/>
      <c r="LV143" s="251"/>
      <c r="LW143" s="251"/>
      <c r="LX143" s="251"/>
      <c r="LY143" s="251"/>
      <c r="LZ143" s="251"/>
      <c r="MA143" s="251"/>
      <c r="MB143" s="251"/>
      <c r="MC143" s="251"/>
      <c r="MD143" s="251"/>
      <c r="ME143" s="251"/>
      <c r="MF143" s="251"/>
      <c r="MG143" s="251"/>
      <c r="MH143" s="251"/>
      <c r="MI143" s="251"/>
      <c r="MJ143" s="251"/>
      <c r="MK143" s="251"/>
      <c r="ML143" s="251"/>
      <c r="MM143" s="251"/>
      <c r="MN143" s="251"/>
      <c r="MO143" s="251"/>
      <c r="MP143" s="251"/>
      <c r="MQ143" s="251"/>
      <c r="MR143" s="251"/>
      <c r="MS143" s="251"/>
      <c r="MT143" s="251"/>
      <c r="MU143" s="251"/>
      <c r="MV143" s="251"/>
      <c r="MW143" s="251"/>
      <c r="MX143" s="251"/>
      <c r="MY143" s="251"/>
      <c r="MZ143" s="252"/>
      <c r="NA143" s="250"/>
      <c r="NB143" s="251"/>
      <c r="NC143" s="251"/>
      <c r="ND143" s="251"/>
      <c r="NE143" s="252"/>
      <c r="QQ143" s="18"/>
      <c r="QR143" s="19"/>
      <c r="QS143" s="39"/>
      <c r="QT143" s="39"/>
      <c r="QU143" s="39"/>
      <c r="QV143" s="39"/>
      <c r="QW143" s="40"/>
    </row>
    <row r="144" spans="3:465" ht="5.0999999999999996" customHeight="1" x14ac:dyDescent="0.3">
      <c r="C144" s="15"/>
      <c r="D144" s="16"/>
      <c r="J144" s="250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  <c r="AA144" s="251"/>
      <c r="AB144" s="251"/>
      <c r="AC144" s="251"/>
      <c r="AD144" s="251"/>
      <c r="AE144" s="251"/>
      <c r="AF144" s="251"/>
      <c r="AG144" s="251"/>
      <c r="AH144" s="251"/>
      <c r="AI144" s="251"/>
      <c r="AJ144" s="251"/>
      <c r="AK144" s="251"/>
      <c r="AL144" s="251"/>
      <c r="AM144" s="251"/>
      <c r="AN144" s="251"/>
      <c r="AO144" s="251"/>
      <c r="AP144" s="251"/>
      <c r="AQ144" s="251"/>
      <c r="AR144" s="251"/>
      <c r="AS144" s="251"/>
      <c r="AT144" s="251"/>
      <c r="AU144" s="251"/>
      <c r="AV144" s="251"/>
      <c r="AW144" s="251"/>
      <c r="AX144" s="252"/>
      <c r="AY144" s="250"/>
      <c r="AZ144" s="251"/>
      <c r="BA144" s="251"/>
      <c r="BB144" s="251"/>
      <c r="BC144" s="252"/>
      <c r="BF144" s="250"/>
      <c r="BG144" s="251"/>
      <c r="BH144" s="251"/>
      <c r="BI144" s="251"/>
      <c r="BJ144" s="251"/>
      <c r="BK144" s="251"/>
      <c r="BL144" s="251"/>
      <c r="BM144" s="251"/>
      <c r="BN144" s="251"/>
      <c r="BO144" s="251"/>
      <c r="BP144" s="251"/>
      <c r="BQ144" s="251"/>
      <c r="BR144" s="251"/>
      <c r="BS144" s="251"/>
      <c r="BT144" s="251"/>
      <c r="BU144" s="251"/>
      <c r="BV144" s="251"/>
      <c r="BW144" s="251"/>
      <c r="BX144" s="251"/>
      <c r="BY144" s="251"/>
      <c r="BZ144" s="251"/>
      <c r="CA144" s="251"/>
      <c r="CB144" s="251"/>
      <c r="CC144" s="251"/>
      <c r="CD144" s="251"/>
      <c r="CE144" s="251"/>
      <c r="CF144" s="251"/>
      <c r="CG144" s="251"/>
      <c r="CH144" s="251"/>
      <c r="CI144" s="251"/>
      <c r="CJ144" s="251"/>
      <c r="CK144" s="251"/>
      <c r="CL144" s="251"/>
      <c r="CM144" s="251"/>
      <c r="CN144" s="251"/>
      <c r="CO144" s="251"/>
      <c r="CP144" s="251"/>
      <c r="CQ144" s="251"/>
      <c r="CR144" s="251"/>
      <c r="CS144" s="251"/>
      <c r="CT144" s="252"/>
      <c r="CU144" s="250"/>
      <c r="CV144" s="251"/>
      <c r="CW144" s="251"/>
      <c r="CX144" s="251"/>
      <c r="CY144" s="252"/>
      <c r="DB144" s="250"/>
      <c r="DC144" s="251"/>
      <c r="DD144" s="251"/>
      <c r="DE144" s="251"/>
      <c r="DF144" s="251"/>
      <c r="DG144" s="251"/>
      <c r="DH144" s="251"/>
      <c r="DI144" s="251"/>
      <c r="DJ144" s="251"/>
      <c r="DK144" s="251"/>
      <c r="DL144" s="251"/>
      <c r="DM144" s="251"/>
      <c r="DN144" s="251"/>
      <c r="DO144" s="251"/>
      <c r="DP144" s="251"/>
      <c r="DQ144" s="251"/>
      <c r="DR144" s="251"/>
      <c r="DS144" s="251"/>
      <c r="DT144" s="251"/>
      <c r="DU144" s="251"/>
      <c r="DV144" s="251"/>
      <c r="DW144" s="251"/>
      <c r="DX144" s="251"/>
      <c r="DY144" s="251"/>
      <c r="DZ144" s="251"/>
      <c r="EA144" s="251"/>
      <c r="EB144" s="251"/>
      <c r="EC144" s="251"/>
      <c r="ED144" s="251"/>
      <c r="EE144" s="251"/>
      <c r="EF144" s="251"/>
      <c r="EG144" s="251"/>
      <c r="EH144" s="251"/>
      <c r="EI144" s="251"/>
      <c r="EJ144" s="251"/>
      <c r="EK144" s="251"/>
      <c r="EL144" s="251"/>
      <c r="EM144" s="251"/>
      <c r="EN144" s="251"/>
      <c r="EO144" s="251"/>
      <c r="EP144" s="252"/>
      <c r="EQ144" s="250"/>
      <c r="ER144" s="251"/>
      <c r="ES144" s="251"/>
      <c r="ET144" s="251"/>
      <c r="EU144" s="252"/>
      <c r="EX144" s="250"/>
      <c r="EY144" s="251"/>
      <c r="EZ144" s="251"/>
      <c r="FA144" s="251"/>
      <c r="FB144" s="251"/>
      <c r="FC144" s="251"/>
      <c r="FD144" s="251"/>
      <c r="FE144" s="251"/>
      <c r="FF144" s="251"/>
      <c r="FG144" s="251"/>
      <c r="FH144" s="251"/>
      <c r="FI144" s="251"/>
      <c r="FJ144" s="251"/>
      <c r="FK144" s="251"/>
      <c r="FL144" s="251"/>
      <c r="FM144" s="251"/>
      <c r="FN144" s="251"/>
      <c r="FO144" s="251"/>
      <c r="FP144" s="251"/>
      <c r="FQ144" s="251"/>
      <c r="FR144" s="251"/>
      <c r="FS144" s="251"/>
      <c r="FT144" s="251"/>
      <c r="FU144" s="251"/>
      <c r="FV144" s="251"/>
      <c r="FW144" s="251"/>
      <c r="FX144" s="251"/>
      <c r="FY144" s="251"/>
      <c r="FZ144" s="251"/>
      <c r="GA144" s="251"/>
      <c r="GB144" s="251"/>
      <c r="GC144" s="251"/>
      <c r="GD144" s="251"/>
      <c r="GE144" s="251"/>
      <c r="GF144" s="251"/>
      <c r="GG144" s="251"/>
      <c r="GH144" s="251"/>
      <c r="GI144" s="251"/>
      <c r="GJ144" s="251"/>
      <c r="GK144" s="251"/>
      <c r="GL144" s="252"/>
      <c r="GM144" s="250"/>
      <c r="GN144" s="251"/>
      <c r="GO144" s="251"/>
      <c r="GP144" s="251"/>
      <c r="GQ144" s="252"/>
      <c r="GT144" s="250"/>
      <c r="GU144" s="251"/>
      <c r="GV144" s="251"/>
      <c r="GW144" s="251"/>
      <c r="GX144" s="251"/>
      <c r="GY144" s="251"/>
      <c r="GZ144" s="251"/>
      <c r="HA144" s="251"/>
      <c r="HB144" s="251"/>
      <c r="HC144" s="251"/>
      <c r="HD144" s="251"/>
      <c r="HE144" s="251"/>
      <c r="HF144" s="251"/>
      <c r="HG144" s="251"/>
      <c r="HH144" s="251"/>
      <c r="HI144" s="251"/>
      <c r="HJ144" s="251"/>
      <c r="HK144" s="251"/>
      <c r="HL144" s="251"/>
      <c r="HM144" s="251"/>
      <c r="HN144" s="251"/>
      <c r="HO144" s="251"/>
      <c r="HP144" s="251"/>
      <c r="HQ144" s="251"/>
      <c r="HR144" s="251"/>
      <c r="HS144" s="251"/>
      <c r="HT144" s="251"/>
      <c r="HU144" s="251"/>
      <c r="HV144" s="251"/>
      <c r="HW144" s="251"/>
      <c r="HX144" s="251"/>
      <c r="HY144" s="251"/>
      <c r="HZ144" s="251"/>
      <c r="IA144" s="251"/>
      <c r="IB144" s="251"/>
      <c r="IC144" s="251"/>
      <c r="ID144" s="251"/>
      <c r="IE144" s="251"/>
      <c r="IF144" s="251"/>
      <c r="IG144" s="251"/>
      <c r="IH144" s="252"/>
      <c r="II144" s="250"/>
      <c r="IJ144" s="251"/>
      <c r="IK144" s="251"/>
      <c r="IL144" s="251"/>
      <c r="IM144" s="252"/>
      <c r="JK144" s="281"/>
      <c r="JL144" s="282"/>
      <c r="JM144" s="282"/>
      <c r="JN144" s="282"/>
      <c r="JO144" s="282"/>
      <c r="JP144" s="282"/>
      <c r="JQ144" s="282"/>
      <c r="JR144" s="282"/>
      <c r="JS144" s="282"/>
      <c r="JT144" s="282"/>
      <c r="JU144" s="282"/>
      <c r="JV144" s="282"/>
      <c r="JW144" s="282"/>
      <c r="JX144" s="282"/>
      <c r="JY144" s="282"/>
      <c r="JZ144" s="282"/>
      <c r="KA144" s="282"/>
      <c r="KB144" s="282"/>
      <c r="KC144" s="282"/>
      <c r="KD144" s="282"/>
      <c r="KE144" s="282"/>
      <c r="KF144" s="282"/>
      <c r="KG144" s="282"/>
      <c r="KH144" s="282"/>
      <c r="KI144" s="282"/>
      <c r="KJ144" s="282"/>
      <c r="KK144" s="282"/>
      <c r="KL144" s="282"/>
      <c r="KM144" s="282"/>
      <c r="KN144" s="282"/>
      <c r="KO144" s="282"/>
      <c r="KP144" s="282"/>
      <c r="KQ144" s="282"/>
      <c r="KR144" s="282"/>
      <c r="KS144" s="282"/>
      <c r="KT144" s="282"/>
      <c r="KU144" s="282"/>
      <c r="KV144" s="282"/>
      <c r="KW144" s="282"/>
      <c r="KX144" s="283"/>
      <c r="KY144" s="253"/>
      <c r="KZ144" s="254"/>
      <c r="LA144" s="254"/>
      <c r="LB144" s="254"/>
      <c r="LC144" s="255"/>
      <c r="LM144" s="253"/>
      <c r="LN144" s="254"/>
      <c r="LO144" s="254"/>
      <c r="LP144" s="254"/>
      <c r="LQ144" s="254"/>
      <c r="LR144" s="254"/>
      <c r="LS144" s="254"/>
      <c r="LT144" s="254"/>
      <c r="LU144" s="254"/>
      <c r="LV144" s="254"/>
      <c r="LW144" s="254"/>
      <c r="LX144" s="254"/>
      <c r="LY144" s="254"/>
      <c r="LZ144" s="254"/>
      <c r="MA144" s="254"/>
      <c r="MB144" s="254"/>
      <c r="MC144" s="254"/>
      <c r="MD144" s="254"/>
      <c r="ME144" s="254"/>
      <c r="MF144" s="254"/>
      <c r="MG144" s="254"/>
      <c r="MH144" s="254"/>
      <c r="MI144" s="254"/>
      <c r="MJ144" s="254"/>
      <c r="MK144" s="254"/>
      <c r="ML144" s="254"/>
      <c r="MM144" s="254"/>
      <c r="MN144" s="254"/>
      <c r="MO144" s="254"/>
      <c r="MP144" s="254"/>
      <c r="MQ144" s="254"/>
      <c r="MR144" s="254"/>
      <c r="MS144" s="254"/>
      <c r="MT144" s="254"/>
      <c r="MU144" s="254"/>
      <c r="MV144" s="254"/>
      <c r="MW144" s="254"/>
      <c r="MX144" s="254"/>
      <c r="MY144" s="254"/>
      <c r="MZ144" s="255"/>
      <c r="NA144" s="253"/>
      <c r="NB144" s="254"/>
      <c r="NC144" s="254"/>
      <c r="ND144" s="254"/>
      <c r="NE144" s="255"/>
      <c r="QQ144" s="18"/>
      <c r="QR144" s="19"/>
      <c r="QS144" s="39"/>
      <c r="QT144" s="39"/>
      <c r="QU144" s="39"/>
      <c r="QV144" s="39"/>
      <c r="QW144" s="40"/>
    </row>
    <row r="145" spans="3:465" ht="5.0999999999999996" customHeight="1" x14ac:dyDescent="0.3">
      <c r="C145" s="15"/>
      <c r="D145" s="16"/>
      <c r="J145" s="250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  <c r="AA145" s="251"/>
      <c r="AB145" s="251"/>
      <c r="AC145" s="251"/>
      <c r="AD145" s="251"/>
      <c r="AE145" s="251"/>
      <c r="AF145" s="251"/>
      <c r="AG145" s="251"/>
      <c r="AH145" s="251"/>
      <c r="AI145" s="251"/>
      <c r="AJ145" s="251"/>
      <c r="AK145" s="251"/>
      <c r="AL145" s="251"/>
      <c r="AM145" s="251"/>
      <c r="AN145" s="251"/>
      <c r="AO145" s="251"/>
      <c r="AP145" s="251"/>
      <c r="AQ145" s="251"/>
      <c r="AR145" s="251"/>
      <c r="AS145" s="251"/>
      <c r="AT145" s="251"/>
      <c r="AU145" s="251"/>
      <c r="AV145" s="251"/>
      <c r="AW145" s="251"/>
      <c r="AX145" s="252"/>
      <c r="AY145" s="250"/>
      <c r="AZ145" s="251"/>
      <c r="BA145" s="251"/>
      <c r="BB145" s="251"/>
      <c r="BC145" s="252"/>
      <c r="BF145" s="250"/>
      <c r="BG145" s="251"/>
      <c r="BH145" s="251"/>
      <c r="BI145" s="251"/>
      <c r="BJ145" s="251"/>
      <c r="BK145" s="251"/>
      <c r="BL145" s="251"/>
      <c r="BM145" s="251"/>
      <c r="BN145" s="251"/>
      <c r="BO145" s="251"/>
      <c r="BP145" s="251"/>
      <c r="BQ145" s="251"/>
      <c r="BR145" s="251"/>
      <c r="BS145" s="251"/>
      <c r="BT145" s="251"/>
      <c r="BU145" s="251"/>
      <c r="BV145" s="251"/>
      <c r="BW145" s="251"/>
      <c r="BX145" s="251"/>
      <c r="BY145" s="251"/>
      <c r="BZ145" s="251"/>
      <c r="CA145" s="251"/>
      <c r="CB145" s="251"/>
      <c r="CC145" s="251"/>
      <c r="CD145" s="251"/>
      <c r="CE145" s="251"/>
      <c r="CF145" s="251"/>
      <c r="CG145" s="251"/>
      <c r="CH145" s="251"/>
      <c r="CI145" s="251"/>
      <c r="CJ145" s="251"/>
      <c r="CK145" s="251"/>
      <c r="CL145" s="251"/>
      <c r="CM145" s="251"/>
      <c r="CN145" s="251"/>
      <c r="CO145" s="251"/>
      <c r="CP145" s="251"/>
      <c r="CQ145" s="251"/>
      <c r="CR145" s="251"/>
      <c r="CS145" s="251"/>
      <c r="CT145" s="252"/>
      <c r="CU145" s="250"/>
      <c r="CV145" s="251"/>
      <c r="CW145" s="251"/>
      <c r="CX145" s="251"/>
      <c r="CY145" s="252"/>
      <c r="DB145" s="250"/>
      <c r="DC145" s="251"/>
      <c r="DD145" s="251"/>
      <c r="DE145" s="251"/>
      <c r="DF145" s="251"/>
      <c r="DG145" s="251"/>
      <c r="DH145" s="251"/>
      <c r="DI145" s="251"/>
      <c r="DJ145" s="251"/>
      <c r="DK145" s="251"/>
      <c r="DL145" s="251"/>
      <c r="DM145" s="251"/>
      <c r="DN145" s="251"/>
      <c r="DO145" s="251"/>
      <c r="DP145" s="251"/>
      <c r="DQ145" s="251"/>
      <c r="DR145" s="251"/>
      <c r="DS145" s="251"/>
      <c r="DT145" s="251"/>
      <c r="DU145" s="251"/>
      <c r="DV145" s="251"/>
      <c r="DW145" s="251"/>
      <c r="DX145" s="251"/>
      <c r="DY145" s="251"/>
      <c r="DZ145" s="251"/>
      <c r="EA145" s="251"/>
      <c r="EB145" s="251"/>
      <c r="EC145" s="251"/>
      <c r="ED145" s="251"/>
      <c r="EE145" s="251"/>
      <c r="EF145" s="251"/>
      <c r="EG145" s="251"/>
      <c r="EH145" s="251"/>
      <c r="EI145" s="251"/>
      <c r="EJ145" s="251"/>
      <c r="EK145" s="251"/>
      <c r="EL145" s="251"/>
      <c r="EM145" s="251"/>
      <c r="EN145" s="251"/>
      <c r="EO145" s="251"/>
      <c r="EP145" s="252"/>
      <c r="EQ145" s="250"/>
      <c r="ER145" s="251"/>
      <c r="ES145" s="251"/>
      <c r="ET145" s="251"/>
      <c r="EU145" s="252"/>
      <c r="EX145" s="250"/>
      <c r="EY145" s="251"/>
      <c r="EZ145" s="251"/>
      <c r="FA145" s="251"/>
      <c r="FB145" s="251"/>
      <c r="FC145" s="251"/>
      <c r="FD145" s="251"/>
      <c r="FE145" s="251"/>
      <c r="FF145" s="251"/>
      <c r="FG145" s="251"/>
      <c r="FH145" s="251"/>
      <c r="FI145" s="251"/>
      <c r="FJ145" s="251"/>
      <c r="FK145" s="251"/>
      <c r="FL145" s="251"/>
      <c r="FM145" s="251"/>
      <c r="FN145" s="251"/>
      <c r="FO145" s="251"/>
      <c r="FP145" s="251"/>
      <c r="FQ145" s="251"/>
      <c r="FR145" s="251"/>
      <c r="FS145" s="251"/>
      <c r="FT145" s="251"/>
      <c r="FU145" s="251"/>
      <c r="FV145" s="251"/>
      <c r="FW145" s="251"/>
      <c r="FX145" s="251"/>
      <c r="FY145" s="251"/>
      <c r="FZ145" s="251"/>
      <c r="GA145" s="251"/>
      <c r="GB145" s="251"/>
      <c r="GC145" s="251"/>
      <c r="GD145" s="251"/>
      <c r="GE145" s="251"/>
      <c r="GF145" s="251"/>
      <c r="GG145" s="251"/>
      <c r="GH145" s="251"/>
      <c r="GI145" s="251"/>
      <c r="GJ145" s="251"/>
      <c r="GK145" s="251"/>
      <c r="GL145" s="252"/>
      <c r="GM145" s="250"/>
      <c r="GN145" s="251"/>
      <c r="GO145" s="251"/>
      <c r="GP145" s="251"/>
      <c r="GQ145" s="252"/>
      <c r="GT145" s="250"/>
      <c r="GU145" s="251"/>
      <c r="GV145" s="251"/>
      <c r="GW145" s="251"/>
      <c r="GX145" s="251"/>
      <c r="GY145" s="251"/>
      <c r="GZ145" s="251"/>
      <c r="HA145" s="251"/>
      <c r="HB145" s="251"/>
      <c r="HC145" s="251"/>
      <c r="HD145" s="251"/>
      <c r="HE145" s="251"/>
      <c r="HF145" s="251"/>
      <c r="HG145" s="251"/>
      <c r="HH145" s="251"/>
      <c r="HI145" s="251"/>
      <c r="HJ145" s="251"/>
      <c r="HK145" s="251"/>
      <c r="HL145" s="251"/>
      <c r="HM145" s="251"/>
      <c r="HN145" s="251"/>
      <c r="HO145" s="251"/>
      <c r="HP145" s="251"/>
      <c r="HQ145" s="251"/>
      <c r="HR145" s="251"/>
      <c r="HS145" s="251"/>
      <c r="HT145" s="251"/>
      <c r="HU145" s="251"/>
      <c r="HV145" s="251"/>
      <c r="HW145" s="251"/>
      <c r="HX145" s="251"/>
      <c r="HY145" s="251"/>
      <c r="HZ145" s="251"/>
      <c r="IA145" s="251"/>
      <c r="IB145" s="251"/>
      <c r="IC145" s="251"/>
      <c r="ID145" s="251"/>
      <c r="IE145" s="251"/>
      <c r="IF145" s="251"/>
      <c r="IG145" s="251"/>
      <c r="IH145" s="252"/>
      <c r="II145" s="250"/>
      <c r="IJ145" s="251"/>
      <c r="IK145" s="251"/>
      <c r="IL145" s="251"/>
      <c r="IM145" s="252"/>
      <c r="JK145" s="275" t="s">
        <v>50</v>
      </c>
      <c r="JL145" s="276"/>
      <c r="JM145" s="276"/>
      <c r="JN145" s="276"/>
      <c r="JO145" s="276"/>
      <c r="JP145" s="276"/>
      <c r="JQ145" s="276"/>
      <c r="JR145" s="276"/>
      <c r="JS145" s="276"/>
      <c r="JT145" s="276"/>
      <c r="JU145" s="276"/>
      <c r="JV145" s="276"/>
      <c r="JW145" s="276"/>
      <c r="JX145" s="276"/>
      <c r="JY145" s="276"/>
      <c r="JZ145" s="276"/>
      <c r="KA145" s="276"/>
      <c r="KB145" s="276"/>
      <c r="KC145" s="276"/>
      <c r="KD145" s="276"/>
      <c r="KE145" s="276"/>
      <c r="KF145" s="276"/>
      <c r="KG145" s="276"/>
      <c r="KH145" s="276"/>
      <c r="KI145" s="276"/>
      <c r="KJ145" s="276"/>
      <c r="KK145" s="276"/>
      <c r="KL145" s="276"/>
      <c r="KM145" s="276"/>
      <c r="KN145" s="276"/>
      <c r="KO145" s="276"/>
      <c r="KP145" s="276"/>
      <c r="KQ145" s="276"/>
      <c r="KR145" s="276"/>
      <c r="KS145" s="276"/>
      <c r="KT145" s="276"/>
      <c r="KU145" s="276"/>
      <c r="KV145" s="276"/>
      <c r="KW145" s="276"/>
      <c r="KX145" s="277"/>
      <c r="KY145" s="247">
        <v>5</v>
      </c>
      <c r="KZ145" s="248"/>
      <c r="LA145" s="248"/>
      <c r="LB145" s="248"/>
      <c r="LC145" s="249"/>
      <c r="QQ145" s="18"/>
      <c r="QR145" s="19"/>
      <c r="QS145" s="39"/>
      <c r="QT145" s="39"/>
      <c r="QU145" s="39"/>
      <c r="QV145" s="39"/>
      <c r="QW145" s="40"/>
    </row>
    <row r="146" spans="3:465" ht="5.0999999999999996" customHeight="1" x14ac:dyDescent="0.3">
      <c r="C146" s="15"/>
      <c r="D146" s="16"/>
      <c r="J146" s="250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  <c r="AA146" s="251"/>
      <c r="AB146" s="251"/>
      <c r="AC146" s="251"/>
      <c r="AD146" s="251"/>
      <c r="AE146" s="251"/>
      <c r="AF146" s="251"/>
      <c r="AG146" s="251"/>
      <c r="AH146" s="251"/>
      <c r="AI146" s="251"/>
      <c r="AJ146" s="251"/>
      <c r="AK146" s="251"/>
      <c r="AL146" s="251"/>
      <c r="AM146" s="251"/>
      <c r="AN146" s="251"/>
      <c r="AO146" s="251"/>
      <c r="AP146" s="251"/>
      <c r="AQ146" s="251"/>
      <c r="AR146" s="251"/>
      <c r="AS146" s="251"/>
      <c r="AT146" s="251"/>
      <c r="AU146" s="251"/>
      <c r="AV146" s="251"/>
      <c r="AW146" s="251"/>
      <c r="AX146" s="252"/>
      <c r="AY146" s="250"/>
      <c r="AZ146" s="251"/>
      <c r="BA146" s="251"/>
      <c r="BB146" s="251"/>
      <c r="BC146" s="252"/>
      <c r="BF146" s="250"/>
      <c r="BG146" s="251"/>
      <c r="BH146" s="251"/>
      <c r="BI146" s="251"/>
      <c r="BJ146" s="251"/>
      <c r="BK146" s="251"/>
      <c r="BL146" s="251"/>
      <c r="BM146" s="251"/>
      <c r="BN146" s="251"/>
      <c r="BO146" s="251"/>
      <c r="BP146" s="251"/>
      <c r="BQ146" s="251"/>
      <c r="BR146" s="251"/>
      <c r="BS146" s="251"/>
      <c r="BT146" s="251"/>
      <c r="BU146" s="251"/>
      <c r="BV146" s="251"/>
      <c r="BW146" s="251"/>
      <c r="BX146" s="251"/>
      <c r="BY146" s="251"/>
      <c r="BZ146" s="251"/>
      <c r="CA146" s="251"/>
      <c r="CB146" s="251"/>
      <c r="CC146" s="251"/>
      <c r="CD146" s="251"/>
      <c r="CE146" s="251"/>
      <c r="CF146" s="251"/>
      <c r="CG146" s="251"/>
      <c r="CH146" s="251"/>
      <c r="CI146" s="251"/>
      <c r="CJ146" s="251"/>
      <c r="CK146" s="251"/>
      <c r="CL146" s="251"/>
      <c r="CM146" s="251"/>
      <c r="CN146" s="251"/>
      <c r="CO146" s="251"/>
      <c r="CP146" s="251"/>
      <c r="CQ146" s="251"/>
      <c r="CR146" s="251"/>
      <c r="CS146" s="251"/>
      <c r="CT146" s="252"/>
      <c r="CU146" s="250"/>
      <c r="CV146" s="251"/>
      <c r="CW146" s="251"/>
      <c r="CX146" s="251"/>
      <c r="CY146" s="252"/>
      <c r="DB146" s="250"/>
      <c r="DC146" s="251"/>
      <c r="DD146" s="251"/>
      <c r="DE146" s="251"/>
      <c r="DF146" s="251"/>
      <c r="DG146" s="251"/>
      <c r="DH146" s="251"/>
      <c r="DI146" s="251"/>
      <c r="DJ146" s="251"/>
      <c r="DK146" s="251"/>
      <c r="DL146" s="251"/>
      <c r="DM146" s="251"/>
      <c r="DN146" s="251"/>
      <c r="DO146" s="251"/>
      <c r="DP146" s="251"/>
      <c r="DQ146" s="251"/>
      <c r="DR146" s="251"/>
      <c r="DS146" s="251"/>
      <c r="DT146" s="251"/>
      <c r="DU146" s="251"/>
      <c r="DV146" s="251"/>
      <c r="DW146" s="251"/>
      <c r="DX146" s="251"/>
      <c r="DY146" s="251"/>
      <c r="DZ146" s="251"/>
      <c r="EA146" s="251"/>
      <c r="EB146" s="251"/>
      <c r="EC146" s="251"/>
      <c r="ED146" s="251"/>
      <c r="EE146" s="251"/>
      <c r="EF146" s="251"/>
      <c r="EG146" s="251"/>
      <c r="EH146" s="251"/>
      <c r="EI146" s="251"/>
      <c r="EJ146" s="251"/>
      <c r="EK146" s="251"/>
      <c r="EL146" s="251"/>
      <c r="EM146" s="251"/>
      <c r="EN146" s="251"/>
      <c r="EO146" s="251"/>
      <c r="EP146" s="252"/>
      <c r="EQ146" s="250"/>
      <c r="ER146" s="251"/>
      <c r="ES146" s="251"/>
      <c r="ET146" s="251"/>
      <c r="EU146" s="252"/>
      <c r="EX146" s="250"/>
      <c r="EY146" s="251"/>
      <c r="EZ146" s="251"/>
      <c r="FA146" s="251"/>
      <c r="FB146" s="251"/>
      <c r="FC146" s="251"/>
      <c r="FD146" s="251"/>
      <c r="FE146" s="251"/>
      <c r="FF146" s="251"/>
      <c r="FG146" s="251"/>
      <c r="FH146" s="251"/>
      <c r="FI146" s="251"/>
      <c r="FJ146" s="251"/>
      <c r="FK146" s="251"/>
      <c r="FL146" s="251"/>
      <c r="FM146" s="251"/>
      <c r="FN146" s="251"/>
      <c r="FO146" s="251"/>
      <c r="FP146" s="251"/>
      <c r="FQ146" s="251"/>
      <c r="FR146" s="251"/>
      <c r="FS146" s="251"/>
      <c r="FT146" s="251"/>
      <c r="FU146" s="251"/>
      <c r="FV146" s="251"/>
      <c r="FW146" s="251"/>
      <c r="FX146" s="251"/>
      <c r="FY146" s="251"/>
      <c r="FZ146" s="251"/>
      <c r="GA146" s="251"/>
      <c r="GB146" s="251"/>
      <c r="GC146" s="251"/>
      <c r="GD146" s="251"/>
      <c r="GE146" s="251"/>
      <c r="GF146" s="251"/>
      <c r="GG146" s="251"/>
      <c r="GH146" s="251"/>
      <c r="GI146" s="251"/>
      <c r="GJ146" s="251"/>
      <c r="GK146" s="251"/>
      <c r="GL146" s="252"/>
      <c r="GM146" s="250"/>
      <c r="GN146" s="251"/>
      <c r="GO146" s="251"/>
      <c r="GP146" s="251"/>
      <c r="GQ146" s="252"/>
      <c r="GT146" s="250"/>
      <c r="GU146" s="251"/>
      <c r="GV146" s="251"/>
      <c r="GW146" s="251"/>
      <c r="GX146" s="251"/>
      <c r="GY146" s="251"/>
      <c r="GZ146" s="251"/>
      <c r="HA146" s="251"/>
      <c r="HB146" s="251"/>
      <c r="HC146" s="251"/>
      <c r="HD146" s="251"/>
      <c r="HE146" s="251"/>
      <c r="HF146" s="251"/>
      <c r="HG146" s="251"/>
      <c r="HH146" s="251"/>
      <c r="HI146" s="251"/>
      <c r="HJ146" s="251"/>
      <c r="HK146" s="251"/>
      <c r="HL146" s="251"/>
      <c r="HM146" s="251"/>
      <c r="HN146" s="251"/>
      <c r="HO146" s="251"/>
      <c r="HP146" s="251"/>
      <c r="HQ146" s="251"/>
      <c r="HR146" s="251"/>
      <c r="HS146" s="251"/>
      <c r="HT146" s="251"/>
      <c r="HU146" s="251"/>
      <c r="HV146" s="251"/>
      <c r="HW146" s="251"/>
      <c r="HX146" s="251"/>
      <c r="HY146" s="251"/>
      <c r="HZ146" s="251"/>
      <c r="IA146" s="251"/>
      <c r="IB146" s="251"/>
      <c r="IC146" s="251"/>
      <c r="ID146" s="251"/>
      <c r="IE146" s="251"/>
      <c r="IF146" s="251"/>
      <c r="IG146" s="251"/>
      <c r="IH146" s="252"/>
      <c r="II146" s="250"/>
      <c r="IJ146" s="251"/>
      <c r="IK146" s="251"/>
      <c r="IL146" s="251"/>
      <c r="IM146" s="252"/>
      <c r="JK146" s="278"/>
      <c r="JL146" s="279"/>
      <c r="JM146" s="279"/>
      <c r="JN146" s="279"/>
      <c r="JO146" s="279"/>
      <c r="JP146" s="279"/>
      <c r="JQ146" s="279"/>
      <c r="JR146" s="279"/>
      <c r="JS146" s="279"/>
      <c r="JT146" s="279"/>
      <c r="JU146" s="279"/>
      <c r="JV146" s="279"/>
      <c r="JW146" s="279"/>
      <c r="JX146" s="279"/>
      <c r="JY146" s="279"/>
      <c r="JZ146" s="279"/>
      <c r="KA146" s="279"/>
      <c r="KB146" s="279"/>
      <c r="KC146" s="279"/>
      <c r="KD146" s="279"/>
      <c r="KE146" s="279"/>
      <c r="KF146" s="279"/>
      <c r="KG146" s="279"/>
      <c r="KH146" s="279"/>
      <c r="KI146" s="279"/>
      <c r="KJ146" s="279"/>
      <c r="KK146" s="279"/>
      <c r="KL146" s="279"/>
      <c r="KM146" s="279"/>
      <c r="KN146" s="279"/>
      <c r="KO146" s="279"/>
      <c r="KP146" s="279"/>
      <c r="KQ146" s="279"/>
      <c r="KR146" s="279"/>
      <c r="KS146" s="279"/>
      <c r="KT146" s="279"/>
      <c r="KU146" s="279"/>
      <c r="KV146" s="279"/>
      <c r="KW146" s="279"/>
      <c r="KX146" s="280"/>
      <c r="KY146" s="250"/>
      <c r="KZ146" s="251"/>
      <c r="LA146" s="251"/>
      <c r="LB146" s="251"/>
      <c r="LC146" s="252"/>
      <c r="QQ146" s="18"/>
      <c r="QR146" s="19"/>
      <c r="QS146" s="39"/>
      <c r="QT146" s="39"/>
      <c r="QU146" s="39"/>
      <c r="QV146" s="39"/>
      <c r="QW146" s="40"/>
    </row>
    <row r="147" spans="3:465" ht="5.0999999999999996" customHeight="1" x14ac:dyDescent="0.3">
      <c r="C147" s="15"/>
      <c r="D147" s="16"/>
      <c r="J147" s="250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  <c r="AA147" s="251"/>
      <c r="AB147" s="251"/>
      <c r="AC147" s="251"/>
      <c r="AD147" s="251"/>
      <c r="AE147" s="251"/>
      <c r="AF147" s="251"/>
      <c r="AG147" s="251"/>
      <c r="AH147" s="251"/>
      <c r="AI147" s="251"/>
      <c r="AJ147" s="251"/>
      <c r="AK147" s="251"/>
      <c r="AL147" s="251"/>
      <c r="AM147" s="251"/>
      <c r="AN147" s="251"/>
      <c r="AO147" s="251"/>
      <c r="AP147" s="251"/>
      <c r="AQ147" s="251"/>
      <c r="AR147" s="251"/>
      <c r="AS147" s="251"/>
      <c r="AT147" s="251"/>
      <c r="AU147" s="251"/>
      <c r="AV147" s="251"/>
      <c r="AW147" s="251"/>
      <c r="AX147" s="252"/>
      <c r="AY147" s="250"/>
      <c r="AZ147" s="251"/>
      <c r="BA147" s="251"/>
      <c r="BB147" s="251"/>
      <c r="BC147" s="252"/>
      <c r="BF147" s="250"/>
      <c r="BG147" s="251"/>
      <c r="BH147" s="251"/>
      <c r="BI147" s="251"/>
      <c r="BJ147" s="251"/>
      <c r="BK147" s="251"/>
      <c r="BL147" s="251"/>
      <c r="BM147" s="251"/>
      <c r="BN147" s="251"/>
      <c r="BO147" s="251"/>
      <c r="BP147" s="251"/>
      <c r="BQ147" s="251"/>
      <c r="BR147" s="251"/>
      <c r="BS147" s="251"/>
      <c r="BT147" s="251"/>
      <c r="BU147" s="251"/>
      <c r="BV147" s="251"/>
      <c r="BW147" s="251"/>
      <c r="BX147" s="251"/>
      <c r="BY147" s="251"/>
      <c r="BZ147" s="251"/>
      <c r="CA147" s="251"/>
      <c r="CB147" s="251"/>
      <c r="CC147" s="251"/>
      <c r="CD147" s="251"/>
      <c r="CE147" s="251"/>
      <c r="CF147" s="251"/>
      <c r="CG147" s="251"/>
      <c r="CH147" s="251"/>
      <c r="CI147" s="251"/>
      <c r="CJ147" s="251"/>
      <c r="CK147" s="251"/>
      <c r="CL147" s="251"/>
      <c r="CM147" s="251"/>
      <c r="CN147" s="251"/>
      <c r="CO147" s="251"/>
      <c r="CP147" s="251"/>
      <c r="CQ147" s="251"/>
      <c r="CR147" s="251"/>
      <c r="CS147" s="251"/>
      <c r="CT147" s="252"/>
      <c r="CU147" s="250"/>
      <c r="CV147" s="251"/>
      <c r="CW147" s="251"/>
      <c r="CX147" s="251"/>
      <c r="CY147" s="252"/>
      <c r="DB147" s="250"/>
      <c r="DC147" s="251"/>
      <c r="DD147" s="251"/>
      <c r="DE147" s="251"/>
      <c r="DF147" s="251"/>
      <c r="DG147" s="251"/>
      <c r="DH147" s="251"/>
      <c r="DI147" s="251"/>
      <c r="DJ147" s="251"/>
      <c r="DK147" s="251"/>
      <c r="DL147" s="251"/>
      <c r="DM147" s="251"/>
      <c r="DN147" s="251"/>
      <c r="DO147" s="251"/>
      <c r="DP147" s="251"/>
      <c r="DQ147" s="251"/>
      <c r="DR147" s="251"/>
      <c r="DS147" s="251"/>
      <c r="DT147" s="251"/>
      <c r="DU147" s="251"/>
      <c r="DV147" s="251"/>
      <c r="DW147" s="251"/>
      <c r="DX147" s="251"/>
      <c r="DY147" s="251"/>
      <c r="DZ147" s="251"/>
      <c r="EA147" s="251"/>
      <c r="EB147" s="251"/>
      <c r="EC147" s="251"/>
      <c r="ED147" s="251"/>
      <c r="EE147" s="251"/>
      <c r="EF147" s="251"/>
      <c r="EG147" s="251"/>
      <c r="EH147" s="251"/>
      <c r="EI147" s="251"/>
      <c r="EJ147" s="251"/>
      <c r="EK147" s="251"/>
      <c r="EL147" s="251"/>
      <c r="EM147" s="251"/>
      <c r="EN147" s="251"/>
      <c r="EO147" s="251"/>
      <c r="EP147" s="252"/>
      <c r="EQ147" s="250"/>
      <c r="ER147" s="251"/>
      <c r="ES147" s="251"/>
      <c r="ET147" s="251"/>
      <c r="EU147" s="252"/>
      <c r="EX147" s="250"/>
      <c r="EY147" s="251"/>
      <c r="EZ147" s="251"/>
      <c r="FA147" s="251"/>
      <c r="FB147" s="251"/>
      <c r="FC147" s="251"/>
      <c r="FD147" s="251"/>
      <c r="FE147" s="251"/>
      <c r="FF147" s="251"/>
      <c r="FG147" s="251"/>
      <c r="FH147" s="251"/>
      <c r="FI147" s="251"/>
      <c r="FJ147" s="251"/>
      <c r="FK147" s="251"/>
      <c r="FL147" s="251"/>
      <c r="FM147" s="251"/>
      <c r="FN147" s="251"/>
      <c r="FO147" s="251"/>
      <c r="FP147" s="251"/>
      <c r="FQ147" s="251"/>
      <c r="FR147" s="251"/>
      <c r="FS147" s="251"/>
      <c r="FT147" s="251"/>
      <c r="FU147" s="251"/>
      <c r="FV147" s="251"/>
      <c r="FW147" s="251"/>
      <c r="FX147" s="251"/>
      <c r="FY147" s="251"/>
      <c r="FZ147" s="251"/>
      <c r="GA147" s="251"/>
      <c r="GB147" s="251"/>
      <c r="GC147" s="251"/>
      <c r="GD147" s="251"/>
      <c r="GE147" s="251"/>
      <c r="GF147" s="251"/>
      <c r="GG147" s="251"/>
      <c r="GH147" s="251"/>
      <c r="GI147" s="251"/>
      <c r="GJ147" s="251"/>
      <c r="GK147" s="251"/>
      <c r="GL147" s="252"/>
      <c r="GM147" s="250"/>
      <c r="GN147" s="251"/>
      <c r="GO147" s="251"/>
      <c r="GP147" s="251"/>
      <c r="GQ147" s="252"/>
      <c r="GT147" s="250"/>
      <c r="GU147" s="251"/>
      <c r="GV147" s="251"/>
      <c r="GW147" s="251"/>
      <c r="GX147" s="251"/>
      <c r="GY147" s="251"/>
      <c r="GZ147" s="251"/>
      <c r="HA147" s="251"/>
      <c r="HB147" s="251"/>
      <c r="HC147" s="251"/>
      <c r="HD147" s="251"/>
      <c r="HE147" s="251"/>
      <c r="HF147" s="251"/>
      <c r="HG147" s="251"/>
      <c r="HH147" s="251"/>
      <c r="HI147" s="251"/>
      <c r="HJ147" s="251"/>
      <c r="HK147" s="251"/>
      <c r="HL147" s="251"/>
      <c r="HM147" s="251"/>
      <c r="HN147" s="251"/>
      <c r="HO147" s="251"/>
      <c r="HP147" s="251"/>
      <c r="HQ147" s="251"/>
      <c r="HR147" s="251"/>
      <c r="HS147" s="251"/>
      <c r="HT147" s="251"/>
      <c r="HU147" s="251"/>
      <c r="HV147" s="251"/>
      <c r="HW147" s="251"/>
      <c r="HX147" s="251"/>
      <c r="HY147" s="251"/>
      <c r="HZ147" s="251"/>
      <c r="IA147" s="251"/>
      <c r="IB147" s="251"/>
      <c r="IC147" s="251"/>
      <c r="ID147" s="251"/>
      <c r="IE147" s="251"/>
      <c r="IF147" s="251"/>
      <c r="IG147" s="251"/>
      <c r="IH147" s="252"/>
      <c r="II147" s="250"/>
      <c r="IJ147" s="251"/>
      <c r="IK147" s="251"/>
      <c r="IL147" s="251"/>
      <c r="IM147" s="252"/>
      <c r="JK147" s="278"/>
      <c r="JL147" s="279"/>
      <c r="JM147" s="279"/>
      <c r="JN147" s="279"/>
      <c r="JO147" s="279"/>
      <c r="JP147" s="279"/>
      <c r="JQ147" s="279"/>
      <c r="JR147" s="279"/>
      <c r="JS147" s="279"/>
      <c r="JT147" s="279"/>
      <c r="JU147" s="279"/>
      <c r="JV147" s="279"/>
      <c r="JW147" s="279"/>
      <c r="JX147" s="279"/>
      <c r="JY147" s="279"/>
      <c r="JZ147" s="279"/>
      <c r="KA147" s="279"/>
      <c r="KB147" s="279"/>
      <c r="KC147" s="279"/>
      <c r="KD147" s="279"/>
      <c r="KE147" s="279"/>
      <c r="KF147" s="279"/>
      <c r="KG147" s="279"/>
      <c r="KH147" s="279"/>
      <c r="KI147" s="279"/>
      <c r="KJ147" s="279"/>
      <c r="KK147" s="279"/>
      <c r="KL147" s="279"/>
      <c r="KM147" s="279"/>
      <c r="KN147" s="279"/>
      <c r="KO147" s="279"/>
      <c r="KP147" s="279"/>
      <c r="KQ147" s="279"/>
      <c r="KR147" s="279"/>
      <c r="KS147" s="279"/>
      <c r="KT147" s="279"/>
      <c r="KU147" s="279"/>
      <c r="KV147" s="279"/>
      <c r="KW147" s="279"/>
      <c r="KX147" s="280"/>
      <c r="KY147" s="250"/>
      <c r="KZ147" s="251"/>
      <c r="LA147" s="251"/>
      <c r="LB147" s="251"/>
      <c r="LC147" s="252"/>
      <c r="QQ147" s="18"/>
      <c r="QR147" s="19"/>
      <c r="QS147" s="39"/>
      <c r="QT147" s="39"/>
      <c r="QU147" s="39"/>
      <c r="QV147" s="39"/>
      <c r="QW147" s="40"/>
    </row>
    <row r="148" spans="3:465" ht="5.0999999999999996" customHeight="1" x14ac:dyDescent="0.3">
      <c r="C148" s="15"/>
      <c r="D148" s="16"/>
      <c r="J148" s="250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  <c r="AA148" s="251"/>
      <c r="AB148" s="251"/>
      <c r="AC148" s="251"/>
      <c r="AD148" s="251"/>
      <c r="AE148" s="251"/>
      <c r="AF148" s="251"/>
      <c r="AG148" s="251"/>
      <c r="AH148" s="251"/>
      <c r="AI148" s="251"/>
      <c r="AJ148" s="251"/>
      <c r="AK148" s="251"/>
      <c r="AL148" s="251"/>
      <c r="AM148" s="251"/>
      <c r="AN148" s="251"/>
      <c r="AO148" s="251"/>
      <c r="AP148" s="251"/>
      <c r="AQ148" s="251"/>
      <c r="AR148" s="251"/>
      <c r="AS148" s="251"/>
      <c r="AT148" s="251"/>
      <c r="AU148" s="251"/>
      <c r="AV148" s="251"/>
      <c r="AW148" s="251"/>
      <c r="AX148" s="252"/>
      <c r="AY148" s="250"/>
      <c r="AZ148" s="251"/>
      <c r="BA148" s="251"/>
      <c r="BB148" s="251"/>
      <c r="BC148" s="252"/>
      <c r="BF148" s="250"/>
      <c r="BG148" s="251"/>
      <c r="BH148" s="251"/>
      <c r="BI148" s="251"/>
      <c r="BJ148" s="251"/>
      <c r="BK148" s="251"/>
      <c r="BL148" s="251"/>
      <c r="BM148" s="251"/>
      <c r="BN148" s="251"/>
      <c r="BO148" s="251"/>
      <c r="BP148" s="251"/>
      <c r="BQ148" s="251"/>
      <c r="BR148" s="251"/>
      <c r="BS148" s="251"/>
      <c r="BT148" s="251"/>
      <c r="BU148" s="251"/>
      <c r="BV148" s="251"/>
      <c r="BW148" s="251"/>
      <c r="BX148" s="251"/>
      <c r="BY148" s="251"/>
      <c r="BZ148" s="251"/>
      <c r="CA148" s="251"/>
      <c r="CB148" s="251"/>
      <c r="CC148" s="251"/>
      <c r="CD148" s="251"/>
      <c r="CE148" s="251"/>
      <c r="CF148" s="251"/>
      <c r="CG148" s="251"/>
      <c r="CH148" s="251"/>
      <c r="CI148" s="251"/>
      <c r="CJ148" s="251"/>
      <c r="CK148" s="251"/>
      <c r="CL148" s="251"/>
      <c r="CM148" s="251"/>
      <c r="CN148" s="251"/>
      <c r="CO148" s="251"/>
      <c r="CP148" s="251"/>
      <c r="CQ148" s="251"/>
      <c r="CR148" s="251"/>
      <c r="CS148" s="251"/>
      <c r="CT148" s="252"/>
      <c r="CU148" s="250"/>
      <c r="CV148" s="251"/>
      <c r="CW148" s="251"/>
      <c r="CX148" s="251"/>
      <c r="CY148" s="252"/>
      <c r="DB148" s="250"/>
      <c r="DC148" s="251"/>
      <c r="DD148" s="251"/>
      <c r="DE148" s="251"/>
      <c r="DF148" s="251"/>
      <c r="DG148" s="251"/>
      <c r="DH148" s="251"/>
      <c r="DI148" s="251"/>
      <c r="DJ148" s="251"/>
      <c r="DK148" s="251"/>
      <c r="DL148" s="251"/>
      <c r="DM148" s="251"/>
      <c r="DN148" s="251"/>
      <c r="DO148" s="251"/>
      <c r="DP148" s="251"/>
      <c r="DQ148" s="251"/>
      <c r="DR148" s="251"/>
      <c r="DS148" s="251"/>
      <c r="DT148" s="251"/>
      <c r="DU148" s="251"/>
      <c r="DV148" s="251"/>
      <c r="DW148" s="251"/>
      <c r="DX148" s="251"/>
      <c r="DY148" s="251"/>
      <c r="DZ148" s="251"/>
      <c r="EA148" s="251"/>
      <c r="EB148" s="251"/>
      <c r="EC148" s="251"/>
      <c r="ED148" s="251"/>
      <c r="EE148" s="251"/>
      <c r="EF148" s="251"/>
      <c r="EG148" s="251"/>
      <c r="EH148" s="251"/>
      <c r="EI148" s="251"/>
      <c r="EJ148" s="251"/>
      <c r="EK148" s="251"/>
      <c r="EL148" s="251"/>
      <c r="EM148" s="251"/>
      <c r="EN148" s="251"/>
      <c r="EO148" s="251"/>
      <c r="EP148" s="252"/>
      <c r="EQ148" s="250"/>
      <c r="ER148" s="251"/>
      <c r="ES148" s="251"/>
      <c r="ET148" s="251"/>
      <c r="EU148" s="252"/>
      <c r="EX148" s="250"/>
      <c r="EY148" s="251"/>
      <c r="EZ148" s="251"/>
      <c r="FA148" s="251"/>
      <c r="FB148" s="251"/>
      <c r="FC148" s="251"/>
      <c r="FD148" s="251"/>
      <c r="FE148" s="251"/>
      <c r="FF148" s="251"/>
      <c r="FG148" s="251"/>
      <c r="FH148" s="251"/>
      <c r="FI148" s="251"/>
      <c r="FJ148" s="251"/>
      <c r="FK148" s="251"/>
      <c r="FL148" s="251"/>
      <c r="FM148" s="251"/>
      <c r="FN148" s="251"/>
      <c r="FO148" s="251"/>
      <c r="FP148" s="251"/>
      <c r="FQ148" s="251"/>
      <c r="FR148" s="251"/>
      <c r="FS148" s="251"/>
      <c r="FT148" s="251"/>
      <c r="FU148" s="251"/>
      <c r="FV148" s="251"/>
      <c r="FW148" s="251"/>
      <c r="FX148" s="251"/>
      <c r="FY148" s="251"/>
      <c r="FZ148" s="251"/>
      <c r="GA148" s="251"/>
      <c r="GB148" s="251"/>
      <c r="GC148" s="251"/>
      <c r="GD148" s="251"/>
      <c r="GE148" s="251"/>
      <c r="GF148" s="251"/>
      <c r="GG148" s="251"/>
      <c r="GH148" s="251"/>
      <c r="GI148" s="251"/>
      <c r="GJ148" s="251"/>
      <c r="GK148" s="251"/>
      <c r="GL148" s="252"/>
      <c r="GM148" s="250"/>
      <c r="GN148" s="251"/>
      <c r="GO148" s="251"/>
      <c r="GP148" s="251"/>
      <c r="GQ148" s="252"/>
      <c r="GT148" s="250"/>
      <c r="GU148" s="251"/>
      <c r="GV148" s="251"/>
      <c r="GW148" s="251"/>
      <c r="GX148" s="251"/>
      <c r="GY148" s="251"/>
      <c r="GZ148" s="251"/>
      <c r="HA148" s="251"/>
      <c r="HB148" s="251"/>
      <c r="HC148" s="251"/>
      <c r="HD148" s="251"/>
      <c r="HE148" s="251"/>
      <c r="HF148" s="251"/>
      <c r="HG148" s="251"/>
      <c r="HH148" s="251"/>
      <c r="HI148" s="251"/>
      <c r="HJ148" s="251"/>
      <c r="HK148" s="251"/>
      <c r="HL148" s="251"/>
      <c r="HM148" s="251"/>
      <c r="HN148" s="251"/>
      <c r="HO148" s="251"/>
      <c r="HP148" s="251"/>
      <c r="HQ148" s="251"/>
      <c r="HR148" s="251"/>
      <c r="HS148" s="251"/>
      <c r="HT148" s="251"/>
      <c r="HU148" s="251"/>
      <c r="HV148" s="251"/>
      <c r="HW148" s="251"/>
      <c r="HX148" s="251"/>
      <c r="HY148" s="251"/>
      <c r="HZ148" s="251"/>
      <c r="IA148" s="251"/>
      <c r="IB148" s="251"/>
      <c r="IC148" s="251"/>
      <c r="ID148" s="251"/>
      <c r="IE148" s="251"/>
      <c r="IF148" s="251"/>
      <c r="IG148" s="251"/>
      <c r="IH148" s="252"/>
      <c r="II148" s="250"/>
      <c r="IJ148" s="251"/>
      <c r="IK148" s="251"/>
      <c r="IL148" s="251"/>
      <c r="IM148" s="252"/>
      <c r="JK148" s="278"/>
      <c r="JL148" s="279"/>
      <c r="JM148" s="279"/>
      <c r="JN148" s="279"/>
      <c r="JO148" s="279"/>
      <c r="JP148" s="279"/>
      <c r="JQ148" s="279"/>
      <c r="JR148" s="279"/>
      <c r="JS148" s="279"/>
      <c r="JT148" s="279"/>
      <c r="JU148" s="279"/>
      <c r="JV148" s="279"/>
      <c r="JW148" s="279"/>
      <c r="JX148" s="279"/>
      <c r="JY148" s="279"/>
      <c r="JZ148" s="279"/>
      <c r="KA148" s="279"/>
      <c r="KB148" s="279"/>
      <c r="KC148" s="279"/>
      <c r="KD148" s="279"/>
      <c r="KE148" s="279"/>
      <c r="KF148" s="279"/>
      <c r="KG148" s="279"/>
      <c r="KH148" s="279"/>
      <c r="KI148" s="279"/>
      <c r="KJ148" s="279"/>
      <c r="KK148" s="279"/>
      <c r="KL148" s="279"/>
      <c r="KM148" s="279"/>
      <c r="KN148" s="279"/>
      <c r="KO148" s="279"/>
      <c r="KP148" s="279"/>
      <c r="KQ148" s="279"/>
      <c r="KR148" s="279"/>
      <c r="KS148" s="279"/>
      <c r="KT148" s="279"/>
      <c r="KU148" s="279"/>
      <c r="KV148" s="279"/>
      <c r="KW148" s="279"/>
      <c r="KX148" s="280"/>
      <c r="KY148" s="250"/>
      <c r="KZ148" s="251"/>
      <c r="LA148" s="251"/>
      <c r="LB148" s="251"/>
      <c r="LC148" s="252"/>
      <c r="QQ148" s="18"/>
      <c r="QR148" s="19"/>
      <c r="QS148" s="39"/>
      <c r="QT148" s="39"/>
      <c r="QU148" s="39"/>
      <c r="QV148" s="39"/>
      <c r="QW148" s="40"/>
    </row>
    <row r="149" spans="3:465" ht="5.0999999999999996" customHeight="1" x14ac:dyDescent="0.3">
      <c r="C149" s="15"/>
      <c r="D149" s="16"/>
      <c r="J149" s="250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  <c r="AA149" s="251"/>
      <c r="AB149" s="251"/>
      <c r="AC149" s="251"/>
      <c r="AD149" s="251"/>
      <c r="AE149" s="251"/>
      <c r="AF149" s="251"/>
      <c r="AG149" s="251"/>
      <c r="AH149" s="251"/>
      <c r="AI149" s="251"/>
      <c r="AJ149" s="251"/>
      <c r="AK149" s="251"/>
      <c r="AL149" s="251"/>
      <c r="AM149" s="251"/>
      <c r="AN149" s="251"/>
      <c r="AO149" s="251"/>
      <c r="AP149" s="251"/>
      <c r="AQ149" s="251"/>
      <c r="AR149" s="251"/>
      <c r="AS149" s="251"/>
      <c r="AT149" s="251"/>
      <c r="AU149" s="251"/>
      <c r="AV149" s="251"/>
      <c r="AW149" s="251"/>
      <c r="AX149" s="252"/>
      <c r="AY149" s="250"/>
      <c r="AZ149" s="251"/>
      <c r="BA149" s="251"/>
      <c r="BB149" s="251"/>
      <c r="BC149" s="252"/>
      <c r="BF149" s="250"/>
      <c r="BG149" s="251"/>
      <c r="BH149" s="251"/>
      <c r="BI149" s="251"/>
      <c r="BJ149" s="251"/>
      <c r="BK149" s="251"/>
      <c r="BL149" s="251"/>
      <c r="BM149" s="251"/>
      <c r="BN149" s="251"/>
      <c r="BO149" s="251"/>
      <c r="BP149" s="251"/>
      <c r="BQ149" s="251"/>
      <c r="BR149" s="251"/>
      <c r="BS149" s="251"/>
      <c r="BT149" s="251"/>
      <c r="BU149" s="251"/>
      <c r="BV149" s="251"/>
      <c r="BW149" s="251"/>
      <c r="BX149" s="251"/>
      <c r="BY149" s="251"/>
      <c r="BZ149" s="251"/>
      <c r="CA149" s="251"/>
      <c r="CB149" s="251"/>
      <c r="CC149" s="251"/>
      <c r="CD149" s="251"/>
      <c r="CE149" s="251"/>
      <c r="CF149" s="251"/>
      <c r="CG149" s="251"/>
      <c r="CH149" s="251"/>
      <c r="CI149" s="251"/>
      <c r="CJ149" s="251"/>
      <c r="CK149" s="251"/>
      <c r="CL149" s="251"/>
      <c r="CM149" s="251"/>
      <c r="CN149" s="251"/>
      <c r="CO149" s="251"/>
      <c r="CP149" s="251"/>
      <c r="CQ149" s="251"/>
      <c r="CR149" s="251"/>
      <c r="CS149" s="251"/>
      <c r="CT149" s="252"/>
      <c r="CU149" s="250"/>
      <c r="CV149" s="251"/>
      <c r="CW149" s="251"/>
      <c r="CX149" s="251"/>
      <c r="CY149" s="252"/>
      <c r="DB149" s="250"/>
      <c r="DC149" s="251"/>
      <c r="DD149" s="251"/>
      <c r="DE149" s="251"/>
      <c r="DF149" s="251"/>
      <c r="DG149" s="251"/>
      <c r="DH149" s="251"/>
      <c r="DI149" s="251"/>
      <c r="DJ149" s="251"/>
      <c r="DK149" s="251"/>
      <c r="DL149" s="251"/>
      <c r="DM149" s="251"/>
      <c r="DN149" s="251"/>
      <c r="DO149" s="251"/>
      <c r="DP149" s="251"/>
      <c r="DQ149" s="251"/>
      <c r="DR149" s="251"/>
      <c r="DS149" s="251"/>
      <c r="DT149" s="251"/>
      <c r="DU149" s="251"/>
      <c r="DV149" s="251"/>
      <c r="DW149" s="251"/>
      <c r="DX149" s="251"/>
      <c r="DY149" s="251"/>
      <c r="DZ149" s="251"/>
      <c r="EA149" s="251"/>
      <c r="EB149" s="251"/>
      <c r="EC149" s="251"/>
      <c r="ED149" s="251"/>
      <c r="EE149" s="251"/>
      <c r="EF149" s="251"/>
      <c r="EG149" s="251"/>
      <c r="EH149" s="251"/>
      <c r="EI149" s="251"/>
      <c r="EJ149" s="251"/>
      <c r="EK149" s="251"/>
      <c r="EL149" s="251"/>
      <c r="EM149" s="251"/>
      <c r="EN149" s="251"/>
      <c r="EO149" s="251"/>
      <c r="EP149" s="252"/>
      <c r="EQ149" s="250"/>
      <c r="ER149" s="251"/>
      <c r="ES149" s="251"/>
      <c r="ET149" s="251"/>
      <c r="EU149" s="252"/>
      <c r="EX149" s="250"/>
      <c r="EY149" s="251"/>
      <c r="EZ149" s="251"/>
      <c r="FA149" s="251"/>
      <c r="FB149" s="251"/>
      <c r="FC149" s="251"/>
      <c r="FD149" s="251"/>
      <c r="FE149" s="251"/>
      <c r="FF149" s="251"/>
      <c r="FG149" s="251"/>
      <c r="FH149" s="251"/>
      <c r="FI149" s="251"/>
      <c r="FJ149" s="251"/>
      <c r="FK149" s="251"/>
      <c r="FL149" s="251"/>
      <c r="FM149" s="251"/>
      <c r="FN149" s="251"/>
      <c r="FO149" s="251"/>
      <c r="FP149" s="251"/>
      <c r="FQ149" s="251"/>
      <c r="FR149" s="251"/>
      <c r="FS149" s="251"/>
      <c r="FT149" s="251"/>
      <c r="FU149" s="251"/>
      <c r="FV149" s="251"/>
      <c r="FW149" s="251"/>
      <c r="FX149" s="251"/>
      <c r="FY149" s="251"/>
      <c r="FZ149" s="251"/>
      <c r="GA149" s="251"/>
      <c r="GB149" s="251"/>
      <c r="GC149" s="251"/>
      <c r="GD149" s="251"/>
      <c r="GE149" s="251"/>
      <c r="GF149" s="251"/>
      <c r="GG149" s="251"/>
      <c r="GH149" s="251"/>
      <c r="GI149" s="251"/>
      <c r="GJ149" s="251"/>
      <c r="GK149" s="251"/>
      <c r="GL149" s="252"/>
      <c r="GM149" s="250"/>
      <c r="GN149" s="251"/>
      <c r="GO149" s="251"/>
      <c r="GP149" s="251"/>
      <c r="GQ149" s="252"/>
      <c r="GT149" s="250"/>
      <c r="GU149" s="251"/>
      <c r="GV149" s="251"/>
      <c r="GW149" s="251"/>
      <c r="GX149" s="251"/>
      <c r="GY149" s="251"/>
      <c r="GZ149" s="251"/>
      <c r="HA149" s="251"/>
      <c r="HB149" s="251"/>
      <c r="HC149" s="251"/>
      <c r="HD149" s="251"/>
      <c r="HE149" s="251"/>
      <c r="HF149" s="251"/>
      <c r="HG149" s="251"/>
      <c r="HH149" s="251"/>
      <c r="HI149" s="251"/>
      <c r="HJ149" s="251"/>
      <c r="HK149" s="251"/>
      <c r="HL149" s="251"/>
      <c r="HM149" s="251"/>
      <c r="HN149" s="251"/>
      <c r="HO149" s="251"/>
      <c r="HP149" s="251"/>
      <c r="HQ149" s="251"/>
      <c r="HR149" s="251"/>
      <c r="HS149" s="251"/>
      <c r="HT149" s="251"/>
      <c r="HU149" s="251"/>
      <c r="HV149" s="251"/>
      <c r="HW149" s="251"/>
      <c r="HX149" s="251"/>
      <c r="HY149" s="251"/>
      <c r="HZ149" s="251"/>
      <c r="IA149" s="251"/>
      <c r="IB149" s="251"/>
      <c r="IC149" s="251"/>
      <c r="ID149" s="251"/>
      <c r="IE149" s="251"/>
      <c r="IF149" s="251"/>
      <c r="IG149" s="251"/>
      <c r="IH149" s="252"/>
      <c r="II149" s="250"/>
      <c r="IJ149" s="251"/>
      <c r="IK149" s="251"/>
      <c r="IL149" s="251"/>
      <c r="IM149" s="252"/>
      <c r="JK149" s="278"/>
      <c r="JL149" s="279"/>
      <c r="JM149" s="279"/>
      <c r="JN149" s="279"/>
      <c r="JO149" s="279"/>
      <c r="JP149" s="279"/>
      <c r="JQ149" s="279"/>
      <c r="JR149" s="279"/>
      <c r="JS149" s="279"/>
      <c r="JT149" s="279"/>
      <c r="JU149" s="279"/>
      <c r="JV149" s="279"/>
      <c r="JW149" s="279"/>
      <c r="JX149" s="279"/>
      <c r="JY149" s="279"/>
      <c r="JZ149" s="279"/>
      <c r="KA149" s="279"/>
      <c r="KB149" s="279"/>
      <c r="KC149" s="279"/>
      <c r="KD149" s="279"/>
      <c r="KE149" s="279"/>
      <c r="KF149" s="279"/>
      <c r="KG149" s="279"/>
      <c r="KH149" s="279"/>
      <c r="KI149" s="279"/>
      <c r="KJ149" s="279"/>
      <c r="KK149" s="279"/>
      <c r="KL149" s="279"/>
      <c r="KM149" s="279"/>
      <c r="KN149" s="279"/>
      <c r="KO149" s="279"/>
      <c r="KP149" s="279"/>
      <c r="KQ149" s="279"/>
      <c r="KR149" s="279"/>
      <c r="KS149" s="279"/>
      <c r="KT149" s="279"/>
      <c r="KU149" s="279"/>
      <c r="KV149" s="279"/>
      <c r="KW149" s="279"/>
      <c r="KX149" s="280"/>
      <c r="KY149" s="250"/>
      <c r="KZ149" s="251"/>
      <c r="LA149" s="251"/>
      <c r="LB149" s="251"/>
      <c r="LC149" s="252"/>
      <c r="QQ149" s="18"/>
      <c r="QR149" s="19"/>
      <c r="QS149" s="39"/>
      <c r="QT149" s="39"/>
      <c r="QU149" s="39"/>
      <c r="QV149" s="39"/>
      <c r="QW149" s="40"/>
    </row>
    <row r="150" spans="3:465" ht="5.0999999999999996" customHeight="1" x14ac:dyDescent="0.3">
      <c r="C150" s="15"/>
      <c r="D150" s="16"/>
      <c r="J150" s="253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  <c r="AB150" s="254"/>
      <c r="AC150" s="254"/>
      <c r="AD150" s="254"/>
      <c r="AE150" s="254"/>
      <c r="AF150" s="254"/>
      <c r="AG150" s="254"/>
      <c r="AH150" s="254"/>
      <c r="AI150" s="254"/>
      <c r="AJ150" s="254"/>
      <c r="AK150" s="254"/>
      <c r="AL150" s="254"/>
      <c r="AM150" s="254"/>
      <c r="AN150" s="254"/>
      <c r="AO150" s="254"/>
      <c r="AP150" s="254"/>
      <c r="AQ150" s="254"/>
      <c r="AR150" s="254"/>
      <c r="AS150" s="254"/>
      <c r="AT150" s="254"/>
      <c r="AU150" s="254"/>
      <c r="AV150" s="254"/>
      <c r="AW150" s="254"/>
      <c r="AX150" s="255"/>
      <c r="AY150" s="253"/>
      <c r="AZ150" s="254"/>
      <c r="BA150" s="254"/>
      <c r="BB150" s="254"/>
      <c r="BC150" s="255"/>
      <c r="BF150" s="253"/>
      <c r="BG150" s="254"/>
      <c r="BH150" s="254"/>
      <c r="BI150" s="254"/>
      <c r="BJ150" s="254"/>
      <c r="BK150" s="254"/>
      <c r="BL150" s="254"/>
      <c r="BM150" s="254"/>
      <c r="BN150" s="254"/>
      <c r="BO150" s="254"/>
      <c r="BP150" s="254"/>
      <c r="BQ150" s="254"/>
      <c r="BR150" s="254"/>
      <c r="BS150" s="254"/>
      <c r="BT150" s="254"/>
      <c r="BU150" s="254"/>
      <c r="BV150" s="254"/>
      <c r="BW150" s="254"/>
      <c r="BX150" s="254"/>
      <c r="BY150" s="254"/>
      <c r="BZ150" s="254"/>
      <c r="CA150" s="254"/>
      <c r="CB150" s="254"/>
      <c r="CC150" s="254"/>
      <c r="CD150" s="254"/>
      <c r="CE150" s="254"/>
      <c r="CF150" s="254"/>
      <c r="CG150" s="254"/>
      <c r="CH150" s="254"/>
      <c r="CI150" s="254"/>
      <c r="CJ150" s="254"/>
      <c r="CK150" s="254"/>
      <c r="CL150" s="254"/>
      <c r="CM150" s="254"/>
      <c r="CN150" s="254"/>
      <c r="CO150" s="254"/>
      <c r="CP150" s="254"/>
      <c r="CQ150" s="254"/>
      <c r="CR150" s="254"/>
      <c r="CS150" s="254"/>
      <c r="CT150" s="255"/>
      <c r="CU150" s="253"/>
      <c r="CV150" s="254"/>
      <c r="CW150" s="254"/>
      <c r="CX150" s="254"/>
      <c r="CY150" s="255"/>
      <c r="DB150" s="253"/>
      <c r="DC150" s="254"/>
      <c r="DD150" s="254"/>
      <c r="DE150" s="254"/>
      <c r="DF150" s="254"/>
      <c r="DG150" s="254"/>
      <c r="DH150" s="254"/>
      <c r="DI150" s="254"/>
      <c r="DJ150" s="254"/>
      <c r="DK150" s="254"/>
      <c r="DL150" s="254"/>
      <c r="DM150" s="254"/>
      <c r="DN150" s="254"/>
      <c r="DO150" s="254"/>
      <c r="DP150" s="254"/>
      <c r="DQ150" s="254"/>
      <c r="DR150" s="254"/>
      <c r="DS150" s="254"/>
      <c r="DT150" s="254"/>
      <c r="DU150" s="254"/>
      <c r="DV150" s="254"/>
      <c r="DW150" s="254"/>
      <c r="DX150" s="254"/>
      <c r="DY150" s="254"/>
      <c r="DZ150" s="254"/>
      <c r="EA150" s="254"/>
      <c r="EB150" s="254"/>
      <c r="EC150" s="254"/>
      <c r="ED150" s="254"/>
      <c r="EE150" s="254"/>
      <c r="EF150" s="254"/>
      <c r="EG150" s="254"/>
      <c r="EH150" s="254"/>
      <c r="EI150" s="254"/>
      <c r="EJ150" s="254"/>
      <c r="EK150" s="254"/>
      <c r="EL150" s="254"/>
      <c r="EM150" s="254"/>
      <c r="EN150" s="254"/>
      <c r="EO150" s="254"/>
      <c r="EP150" s="255"/>
      <c r="EQ150" s="253"/>
      <c r="ER150" s="254"/>
      <c r="ES150" s="254"/>
      <c r="ET150" s="254"/>
      <c r="EU150" s="255"/>
      <c r="EX150" s="253"/>
      <c r="EY150" s="254"/>
      <c r="EZ150" s="254"/>
      <c r="FA150" s="254"/>
      <c r="FB150" s="254"/>
      <c r="FC150" s="254"/>
      <c r="FD150" s="254"/>
      <c r="FE150" s="254"/>
      <c r="FF150" s="254"/>
      <c r="FG150" s="254"/>
      <c r="FH150" s="254"/>
      <c r="FI150" s="254"/>
      <c r="FJ150" s="254"/>
      <c r="FK150" s="254"/>
      <c r="FL150" s="254"/>
      <c r="FM150" s="254"/>
      <c r="FN150" s="254"/>
      <c r="FO150" s="254"/>
      <c r="FP150" s="254"/>
      <c r="FQ150" s="254"/>
      <c r="FR150" s="254"/>
      <c r="FS150" s="254"/>
      <c r="FT150" s="254"/>
      <c r="FU150" s="254"/>
      <c r="FV150" s="254"/>
      <c r="FW150" s="254"/>
      <c r="FX150" s="254"/>
      <c r="FY150" s="254"/>
      <c r="FZ150" s="254"/>
      <c r="GA150" s="254"/>
      <c r="GB150" s="254"/>
      <c r="GC150" s="254"/>
      <c r="GD150" s="254"/>
      <c r="GE150" s="254"/>
      <c r="GF150" s="254"/>
      <c r="GG150" s="254"/>
      <c r="GH150" s="254"/>
      <c r="GI150" s="254"/>
      <c r="GJ150" s="254"/>
      <c r="GK150" s="254"/>
      <c r="GL150" s="255"/>
      <c r="GM150" s="253"/>
      <c r="GN150" s="254"/>
      <c r="GO150" s="254"/>
      <c r="GP150" s="254"/>
      <c r="GQ150" s="255"/>
      <c r="GT150" s="253"/>
      <c r="GU150" s="254"/>
      <c r="GV150" s="254"/>
      <c r="GW150" s="254"/>
      <c r="GX150" s="254"/>
      <c r="GY150" s="254"/>
      <c r="GZ150" s="254"/>
      <c r="HA150" s="254"/>
      <c r="HB150" s="254"/>
      <c r="HC150" s="254"/>
      <c r="HD150" s="254"/>
      <c r="HE150" s="254"/>
      <c r="HF150" s="254"/>
      <c r="HG150" s="254"/>
      <c r="HH150" s="254"/>
      <c r="HI150" s="254"/>
      <c r="HJ150" s="254"/>
      <c r="HK150" s="254"/>
      <c r="HL150" s="254"/>
      <c r="HM150" s="254"/>
      <c r="HN150" s="254"/>
      <c r="HO150" s="254"/>
      <c r="HP150" s="254"/>
      <c r="HQ150" s="254"/>
      <c r="HR150" s="254"/>
      <c r="HS150" s="254"/>
      <c r="HT150" s="254"/>
      <c r="HU150" s="254"/>
      <c r="HV150" s="254"/>
      <c r="HW150" s="254"/>
      <c r="HX150" s="254"/>
      <c r="HY150" s="254"/>
      <c r="HZ150" s="254"/>
      <c r="IA150" s="254"/>
      <c r="IB150" s="254"/>
      <c r="IC150" s="254"/>
      <c r="ID150" s="254"/>
      <c r="IE150" s="254"/>
      <c r="IF150" s="254"/>
      <c r="IG150" s="254"/>
      <c r="IH150" s="255"/>
      <c r="II150" s="253"/>
      <c r="IJ150" s="254"/>
      <c r="IK150" s="254"/>
      <c r="IL150" s="254"/>
      <c r="IM150" s="255"/>
      <c r="JK150" s="278"/>
      <c r="JL150" s="279"/>
      <c r="JM150" s="279"/>
      <c r="JN150" s="279"/>
      <c r="JO150" s="279"/>
      <c r="JP150" s="279"/>
      <c r="JQ150" s="279"/>
      <c r="JR150" s="279"/>
      <c r="JS150" s="279"/>
      <c r="JT150" s="279"/>
      <c r="JU150" s="279"/>
      <c r="JV150" s="279"/>
      <c r="JW150" s="279"/>
      <c r="JX150" s="279"/>
      <c r="JY150" s="279"/>
      <c r="JZ150" s="279"/>
      <c r="KA150" s="279"/>
      <c r="KB150" s="279"/>
      <c r="KC150" s="279"/>
      <c r="KD150" s="279"/>
      <c r="KE150" s="279"/>
      <c r="KF150" s="279"/>
      <c r="KG150" s="279"/>
      <c r="KH150" s="279"/>
      <c r="KI150" s="279"/>
      <c r="KJ150" s="279"/>
      <c r="KK150" s="279"/>
      <c r="KL150" s="279"/>
      <c r="KM150" s="279"/>
      <c r="KN150" s="279"/>
      <c r="KO150" s="279"/>
      <c r="KP150" s="279"/>
      <c r="KQ150" s="279"/>
      <c r="KR150" s="279"/>
      <c r="KS150" s="279"/>
      <c r="KT150" s="279"/>
      <c r="KU150" s="279"/>
      <c r="KV150" s="279"/>
      <c r="KW150" s="279"/>
      <c r="KX150" s="280"/>
      <c r="KY150" s="250"/>
      <c r="KZ150" s="251"/>
      <c r="LA150" s="251"/>
      <c r="LB150" s="251"/>
      <c r="LC150" s="252"/>
      <c r="QQ150" s="18"/>
      <c r="QR150" s="19"/>
      <c r="QS150" s="39"/>
      <c r="QT150" s="39"/>
      <c r="QU150" s="39"/>
      <c r="QV150" s="39"/>
      <c r="QW150" s="40"/>
    </row>
    <row r="151" spans="3:465" ht="5.0999999999999996" customHeight="1" x14ac:dyDescent="0.3">
      <c r="C151" s="15"/>
      <c r="D151" s="16"/>
      <c r="AG151" s="21"/>
      <c r="CC151" s="21"/>
      <c r="DY151" s="21"/>
      <c r="FU151" s="21"/>
      <c r="HQ151" s="21"/>
      <c r="JK151" s="278"/>
      <c r="JL151" s="279"/>
      <c r="JM151" s="279"/>
      <c r="JN151" s="279"/>
      <c r="JO151" s="279"/>
      <c r="JP151" s="279"/>
      <c r="JQ151" s="279"/>
      <c r="JR151" s="279"/>
      <c r="JS151" s="279"/>
      <c r="JT151" s="279"/>
      <c r="JU151" s="279"/>
      <c r="JV151" s="279"/>
      <c r="JW151" s="279"/>
      <c r="JX151" s="279"/>
      <c r="JY151" s="279"/>
      <c r="JZ151" s="279"/>
      <c r="KA151" s="279"/>
      <c r="KB151" s="279"/>
      <c r="KC151" s="279"/>
      <c r="KD151" s="279"/>
      <c r="KE151" s="279"/>
      <c r="KF151" s="279"/>
      <c r="KG151" s="279"/>
      <c r="KH151" s="279"/>
      <c r="KI151" s="279"/>
      <c r="KJ151" s="279"/>
      <c r="KK151" s="279"/>
      <c r="KL151" s="279"/>
      <c r="KM151" s="279"/>
      <c r="KN151" s="279"/>
      <c r="KO151" s="279"/>
      <c r="KP151" s="279"/>
      <c r="KQ151" s="279"/>
      <c r="KR151" s="279"/>
      <c r="KS151" s="279"/>
      <c r="KT151" s="279"/>
      <c r="KU151" s="279"/>
      <c r="KV151" s="279"/>
      <c r="KW151" s="279"/>
      <c r="KX151" s="280"/>
      <c r="KY151" s="250"/>
      <c r="KZ151" s="251"/>
      <c r="LA151" s="251"/>
      <c r="LB151" s="251"/>
      <c r="LC151" s="252"/>
      <c r="QQ151" s="18"/>
      <c r="QR151" s="19"/>
      <c r="QS151" s="39"/>
      <c r="QT151" s="39"/>
      <c r="QU151" s="39"/>
      <c r="QV151" s="39"/>
      <c r="QW151" s="40"/>
    </row>
    <row r="152" spans="3:465" ht="5.0999999999999996" customHeight="1" x14ac:dyDescent="0.3">
      <c r="C152" s="15"/>
      <c r="D152" s="16"/>
      <c r="AG152" s="30"/>
      <c r="AH152" s="31"/>
      <c r="CC152" s="30"/>
      <c r="CD152" s="31"/>
      <c r="DY152" s="30"/>
      <c r="DZ152" s="31"/>
      <c r="FU152" s="30"/>
      <c r="FV152" s="31"/>
      <c r="HQ152" s="30"/>
      <c r="HR152" s="31"/>
      <c r="JK152" s="278"/>
      <c r="JL152" s="279"/>
      <c r="JM152" s="279"/>
      <c r="JN152" s="279"/>
      <c r="JO152" s="279"/>
      <c r="JP152" s="279"/>
      <c r="JQ152" s="279"/>
      <c r="JR152" s="279"/>
      <c r="JS152" s="279"/>
      <c r="JT152" s="279"/>
      <c r="JU152" s="279"/>
      <c r="JV152" s="279"/>
      <c r="JW152" s="279"/>
      <c r="JX152" s="279"/>
      <c r="JY152" s="279"/>
      <c r="JZ152" s="279"/>
      <c r="KA152" s="279"/>
      <c r="KB152" s="279"/>
      <c r="KC152" s="279"/>
      <c r="KD152" s="279"/>
      <c r="KE152" s="279"/>
      <c r="KF152" s="279"/>
      <c r="KG152" s="279"/>
      <c r="KH152" s="279"/>
      <c r="KI152" s="279"/>
      <c r="KJ152" s="279"/>
      <c r="KK152" s="279"/>
      <c r="KL152" s="279"/>
      <c r="KM152" s="279"/>
      <c r="KN152" s="279"/>
      <c r="KO152" s="279"/>
      <c r="KP152" s="279"/>
      <c r="KQ152" s="279"/>
      <c r="KR152" s="279"/>
      <c r="KS152" s="279"/>
      <c r="KT152" s="279"/>
      <c r="KU152" s="279"/>
      <c r="KV152" s="279"/>
      <c r="KW152" s="279"/>
      <c r="KX152" s="280"/>
      <c r="KY152" s="250"/>
      <c r="KZ152" s="251"/>
      <c r="LA152" s="251"/>
      <c r="LB152" s="251"/>
      <c r="LC152" s="252"/>
      <c r="OR152" s="256" t="s">
        <v>51</v>
      </c>
      <c r="OS152" s="257"/>
      <c r="OT152" s="257"/>
      <c r="OU152" s="257"/>
      <c r="OV152" s="257"/>
      <c r="OW152" s="257"/>
      <c r="OX152" s="257"/>
      <c r="OY152" s="257"/>
      <c r="OZ152" s="257"/>
      <c r="PA152" s="257"/>
      <c r="PB152" s="257"/>
      <c r="PC152" s="257"/>
      <c r="PD152" s="257"/>
      <c r="PE152" s="257"/>
      <c r="PF152" s="257"/>
      <c r="PG152" s="257"/>
      <c r="PH152" s="257"/>
      <c r="PI152" s="257"/>
      <c r="PJ152" s="257"/>
      <c r="PK152" s="257"/>
      <c r="PL152" s="257"/>
      <c r="PM152" s="257"/>
      <c r="PN152" s="257"/>
      <c r="PO152" s="257"/>
      <c r="PP152" s="257"/>
      <c r="PQ152" s="257"/>
      <c r="PR152" s="257"/>
      <c r="PS152" s="257"/>
      <c r="PT152" s="257"/>
      <c r="PU152" s="257"/>
      <c r="PV152" s="257"/>
      <c r="PW152" s="257"/>
      <c r="PX152" s="257"/>
      <c r="PY152" s="257"/>
      <c r="PZ152" s="257"/>
      <c r="QA152" s="257"/>
      <c r="QB152" s="257"/>
      <c r="QC152" s="257"/>
      <c r="QD152" s="257"/>
      <c r="QE152" s="257"/>
      <c r="QF152" s="265"/>
      <c r="QG152" s="265"/>
      <c r="QH152" s="265"/>
      <c r="QI152" s="265"/>
      <c r="QJ152" s="265"/>
      <c r="QK152" s="265"/>
      <c r="QQ152" s="18"/>
      <c r="QR152" s="19"/>
      <c r="QS152" s="39"/>
      <c r="QT152" s="39"/>
      <c r="QU152" s="39"/>
      <c r="QV152" s="39"/>
      <c r="QW152" s="40"/>
    </row>
    <row r="153" spans="3:465" ht="5.0999999999999996" customHeight="1" x14ac:dyDescent="0.3">
      <c r="C153" s="15"/>
      <c r="D153" s="16"/>
      <c r="J153" s="247" t="s">
        <v>52</v>
      </c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  <c r="AD153" s="248"/>
      <c r="AE153" s="248"/>
      <c r="AF153" s="248"/>
      <c r="AG153" s="248"/>
      <c r="AH153" s="248"/>
      <c r="AI153" s="248"/>
      <c r="AJ153" s="248"/>
      <c r="AK153" s="248"/>
      <c r="AL153" s="248"/>
      <c r="AM153" s="248"/>
      <c r="AN153" s="248"/>
      <c r="AO153" s="248"/>
      <c r="AP153" s="248"/>
      <c r="AQ153" s="248"/>
      <c r="AR153" s="248"/>
      <c r="AS153" s="248"/>
      <c r="AT153" s="248"/>
      <c r="AU153" s="248"/>
      <c r="AV153" s="248"/>
      <c r="AW153" s="248"/>
      <c r="AX153" s="249"/>
      <c r="AY153" s="247">
        <v>4</v>
      </c>
      <c r="AZ153" s="248"/>
      <c r="BA153" s="248"/>
      <c r="BB153" s="248"/>
      <c r="BC153" s="249"/>
      <c r="BF153" s="247" t="s">
        <v>53</v>
      </c>
      <c r="BG153" s="248"/>
      <c r="BH153" s="248"/>
      <c r="BI153" s="248"/>
      <c r="BJ153" s="248"/>
      <c r="BK153" s="248"/>
      <c r="BL153" s="248"/>
      <c r="BM153" s="248"/>
      <c r="BN153" s="248"/>
      <c r="BO153" s="248"/>
      <c r="BP153" s="248"/>
      <c r="BQ153" s="248"/>
      <c r="BR153" s="248"/>
      <c r="BS153" s="248"/>
      <c r="BT153" s="248"/>
      <c r="BU153" s="248"/>
      <c r="BV153" s="248"/>
      <c r="BW153" s="248"/>
      <c r="BX153" s="248"/>
      <c r="BY153" s="248"/>
      <c r="BZ153" s="248"/>
      <c r="CA153" s="248"/>
      <c r="CB153" s="248"/>
      <c r="CC153" s="248"/>
      <c r="CD153" s="248"/>
      <c r="CE153" s="248"/>
      <c r="CF153" s="248"/>
      <c r="CG153" s="248"/>
      <c r="CH153" s="248"/>
      <c r="CI153" s="248"/>
      <c r="CJ153" s="248"/>
      <c r="CK153" s="248"/>
      <c r="CL153" s="248"/>
      <c r="CM153" s="248"/>
      <c r="CN153" s="248"/>
      <c r="CO153" s="248"/>
      <c r="CP153" s="248"/>
      <c r="CQ153" s="248"/>
      <c r="CR153" s="248"/>
      <c r="CS153" s="248"/>
      <c r="CT153" s="249"/>
      <c r="CU153" s="247">
        <v>6</v>
      </c>
      <c r="CV153" s="248"/>
      <c r="CW153" s="248"/>
      <c r="CX153" s="248"/>
      <c r="CY153" s="249"/>
      <c r="DB153" s="247" t="s">
        <v>54</v>
      </c>
      <c r="DC153" s="248"/>
      <c r="DD153" s="248"/>
      <c r="DE153" s="248"/>
      <c r="DF153" s="248"/>
      <c r="DG153" s="248"/>
      <c r="DH153" s="248"/>
      <c r="DI153" s="248"/>
      <c r="DJ153" s="248"/>
      <c r="DK153" s="248"/>
      <c r="DL153" s="248"/>
      <c r="DM153" s="248"/>
      <c r="DN153" s="248"/>
      <c r="DO153" s="248"/>
      <c r="DP153" s="248"/>
      <c r="DQ153" s="248"/>
      <c r="DR153" s="248"/>
      <c r="DS153" s="248"/>
      <c r="DT153" s="248"/>
      <c r="DU153" s="248"/>
      <c r="DV153" s="248"/>
      <c r="DW153" s="248"/>
      <c r="DX153" s="248"/>
      <c r="DY153" s="248"/>
      <c r="DZ153" s="248"/>
      <c r="EA153" s="248"/>
      <c r="EB153" s="248"/>
      <c r="EC153" s="248"/>
      <c r="ED153" s="248"/>
      <c r="EE153" s="248"/>
      <c r="EF153" s="248"/>
      <c r="EG153" s="248"/>
      <c r="EH153" s="248"/>
      <c r="EI153" s="248"/>
      <c r="EJ153" s="248"/>
      <c r="EK153" s="248"/>
      <c r="EL153" s="248"/>
      <c r="EM153" s="248"/>
      <c r="EN153" s="248"/>
      <c r="EO153" s="248"/>
      <c r="EP153" s="249"/>
      <c r="EQ153" s="247">
        <v>5</v>
      </c>
      <c r="ER153" s="248"/>
      <c r="ES153" s="248"/>
      <c r="ET153" s="248"/>
      <c r="EU153" s="249"/>
      <c r="EX153" s="247" t="s">
        <v>55</v>
      </c>
      <c r="EY153" s="248"/>
      <c r="EZ153" s="248"/>
      <c r="FA153" s="248"/>
      <c r="FB153" s="248"/>
      <c r="FC153" s="248"/>
      <c r="FD153" s="248"/>
      <c r="FE153" s="248"/>
      <c r="FF153" s="248"/>
      <c r="FG153" s="248"/>
      <c r="FH153" s="248"/>
      <c r="FI153" s="248"/>
      <c r="FJ153" s="248"/>
      <c r="FK153" s="248"/>
      <c r="FL153" s="248"/>
      <c r="FM153" s="248"/>
      <c r="FN153" s="248"/>
      <c r="FO153" s="248"/>
      <c r="FP153" s="248"/>
      <c r="FQ153" s="248"/>
      <c r="FR153" s="248"/>
      <c r="FS153" s="248"/>
      <c r="FT153" s="248"/>
      <c r="FU153" s="248"/>
      <c r="FV153" s="248"/>
      <c r="FW153" s="248"/>
      <c r="FX153" s="248"/>
      <c r="FY153" s="248"/>
      <c r="FZ153" s="248"/>
      <c r="GA153" s="248"/>
      <c r="GB153" s="248"/>
      <c r="GC153" s="248"/>
      <c r="GD153" s="248"/>
      <c r="GE153" s="248"/>
      <c r="GF153" s="248"/>
      <c r="GG153" s="248"/>
      <c r="GH153" s="248"/>
      <c r="GI153" s="248"/>
      <c r="GJ153" s="248"/>
      <c r="GK153" s="248"/>
      <c r="GL153" s="249"/>
      <c r="GM153" s="247">
        <v>4</v>
      </c>
      <c r="GN153" s="248"/>
      <c r="GO153" s="248"/>
      <c r="GP153" s="248"/>
      <c r="GQ153" s="249"/>
      <c r="GT153" s="247" t="s">
        <v>56</v>
      </c>
      <c r="GU153" s="248"/>
      <c r="GV153" s="248"/>
      <c r="GW153" s="248"/>
      <c r="GX153" s="248"/>
      <c r="GY153" s="248"/>
      <c r="GZ153" s="248"/>
      <c r="HA153" s="248"/>
      <c r="HB153" s="248"/>
      <c r="HC153" s="248"/>
      <c r="HD153" s="248"/>
      <c r="HE153" s="248"/>
      <c r="HF153" s="248"/>
      <c r="HG153" s="248"/>
      <c r="HH153" s="248"/>
      <c r="HI153" s="248"/>
      <c r="HJ153" s="248"/>
      <c r="HK153" s="248"/>
      <c r="HL153" s="248"/>
      <c r="HM153" s="248"/>
      <c r="HN153" s="248"/>
      <c r="HO153" s="248"/>
      <c r="HP153" s="248"/>
      <c r="HQ153" s="248"/>
      <c r="HR153" s="248"/>
      <c r="HS153" s="248"/>
      <c r="HT153" s="248"/>
      <c r="HU153" s="248"/>
      <c r="HV153" s="248"/>
      <c r="HW153" s="248"/>
      <c r="HX153" s="248"/>
      <c r="HY153" s="248"/>
      <c r="HZ153" s="248"/>
      <c r="IA153" s="248"/>
      <c r="IB153" s="248"/>
      <c r="IC153" s="248"/>
      <c r="ID153" s="248"/>
      <c r="IE153" s="248"/>
      <c r="IF153" s="248"/>
      <c r="IG153" s="248"/>
      <c r="IH153" s="249"/>
      <c r="II153" s="247">
        <v>5</v>
      </c>
      <c r="IJ153" s="248"/>
      <c r="IK153" s="248"/>
      <c r="IL153" s="248"/>
      <c r="IM153" s="249"/>
      <c r="JK153" s="278"/>
      <c r="JL153" s="279"/>
      <c r="JM153" s="279"/>
      <c r="JN153" s="279"/>
      <c r="JO153" s="279"/>
      <c r="JP153" s="279"/>
      <c r="JQ153" s="279"/>
      <c r="JR153" s="279"/>
      <c r="JS153" s="279"/>
      <c r="JT153" s="279"/>
      <c r="JU153" s="279"/>
      <c r="JV153" s="279"/>
      <c r="JW153" s="279"/>
      <c r="JX153" s="279"/>
      <c r="JY153" s="279"/>
      <c r="JZ153" s="279"/>
      <c r="KA153" s="279"/>
      <c r="KB153" s="279"/>
      <c r="KC153" s="279"/>
      <c r="KD153" s="279"/>
      <c r="KE153" s="279"/>
      <c r="KF153" s="279"/>
      <c r="KG153" s="279"/>
      <c r="KH153" s="279"/>
      <c r="KI153" s="279"/>
      <c r="KJ153" s="279"/>
      <c r="KK153" s="279"/>
      <c r="KL153" s="279"/>
      <c r="KM153" s="279"/>
      <c r="KN153" s="279"/>
      <c r="KO153" s="279"/>
      <c r="KP153" s="279"/>
      <c r="KQ153" s="279"/>
      <c r="KR153" s="279"/>
      <c r="KS153" s="279"/>
      <c r="KT153" s="279"/>
      <c r="KU153" s="279"/>
      <c r="KV153" s="279"/>
      <c r="KW153" s="279"/>
      <c r="KX153" s="280"/>
      <c r="KY153" s="250"/>
      <c r="KZ153" s="251"/>
      <c r="LA153" s="251"/>
      <c r="LB153" s="251"/>
      <c r="LC153" s="252"/>
      <c r="OR153" s="259"/>
      <c r="OS153" s="260"/>
      <c r="OT153" s="260"/>
      <c r="OU153" s="260"/>
      <c r="OV153" s="260"/>
      <c r="OW153" s="260"/>
      <c r="OX153" s="260"/>
      <c r="OY153" s="260"/>
      <c r="OZ153" s="260"/>
      <c r="PA153" s="260"/>
      <c r="PB153" s="260"/>
      <c r="PC153" s="260"/>
      <c r="PD153" s="260"/>
      <c r="PE153" s="260"/>
      <c r="PF153" s="260"/>
      <c r="PG153" s="260"/>
      <c r="PH153" s="260"/>
      <c r="PI153" s="260"/>
      <c r="PJ153" s="260"/>
      <c r="PK153" s="260"/>
      <c r="PL153" s="260"/>
      <c r="PM153" s="260"/>
      <c r="PN153" s="260"/>
      <c r="PO153" s="260"/>
      <c r="PP153" s="260"/>
      <c r="PQ153" s="260"/>
      <c r="PR153" s="260"/>
      <c r="PS153" s="260"/>
      <c r="PT153" s="260"/>
      <c r="PU153" s="260"/>
      <c r="PV153" s="260"/>
      <c r="PW153" s="260"/>
      <c r="PX153" s="260"/>
      <c r="PY153" s="260"/>
      <c r="PZ153" s="260"/>
      <c r="QA153" s="260"/>
      <c r="QB153" s="260"/>
      <c r="QC153" s="260"/>
      <c r="QD153" s="260"/>
      <c r="QE153" s="260"/>
      <c r="QF153" s="265"/>
      <c r="QG153" s="265"/>
      <c r="QH153" s="265"/>
      <c r="QI153" s="265"/>
      <c r="QJ153" s="265"/>
      <c r="QK153" s="265"/>
      <c r="QQ153" s="18"/>
      <c r="QR153" s="19"/>
      <c r="QS153" s="39"/>
      <c r="QT153" s="39"/>
      <c r="QU153" s="39"/>
      <c r="QV153" s="39"/>
      <c r="QW153" s="40"/>
    </row>
    <row r="154" spans="3:465" ht="5.0999999999999996" customHeight="1" x14ac:dyDescent="0.3">
      <c r="C154" s="15"/>
      <c r="D154" s="16"/>
      <c r="J154" s="250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2"/>
      <c r="AY154" s="250"/>
      <c r="AZ154" s="251"/>
      <c r="BA154" s="251"/>
      <c r="BB154" s="251"/>
      <c r="BC154" s="252"/>
      <c r="BF154" s="250"/>
      <c r="BG154" s="251"/>
      <c r="BH154" s="251"/>
      <c r="BI154" s="251"/>
      <c r="BJ154" s="251"/>
      <c r="BK154" s="251"/>
      <c r="BL154" s="251"/>
      <c r="BM154" s="251"/>
      <c r="BN154" s="251"/>
      <c r="BO154" s="251"/>
      <c r="BP154" s="251"/>
      <c r="BQ154" s="251"/>
      <c r="BR154" s="251"/>
      <c r="BS154" s="251"/>
      <c r="BT154" s="251"/>
      <c r="BU154" s="251"/>
      <c r="BV154" s="251"/>
      <c r="BW154" s="251"/>
      <c r="BX154" s="251"/>
      <c r="BY154" s="251"/>
      <c r="BZ154" s="251"/>
      <c r="CA154" s="251"/>
      <c r="CB154" s="251"/>
      <c r="CC154" s="251"/>
      <c r="CD154" s="251"/>
      <c r="CE154" s="251"/>
      <c r="CF154" s="251"/>
      <c r="CG154" s="251"/>
      <c r="CH154" s="251"/>
      <c r="CI154" s="251"/>
      <c r="CJ154" s="251"/>
      <c r="CK154" s="251"/>
      <c r="CL154" s="251"/>
      <c r="CM154" s="251"/>
      <c r="CN154" s="251"/>
      <c r="CO154" s="251"/>
      <c r="CP154" s="251"/>
      <c r="CQ154" s="251"/>
      <c r="CR154" s="251"/>
      <c r="CS154" s="251"/>
      <c r="CT154" s="252"/>
      <c r="CU154" s="250"/>
      <c r="CV154" s="251"/>
      <c r="CW154" s="251"/>
      <c r="CX154" s="251"/>
      <c r="CY154" s="252"/>
      <c r="DB154" s="250"/>
      <c r="DC154" s="251"/>
      <c r="DD154" s="251"/>
      <c r="DE154" s="251"/>
      <c r="DF154" s="251"/>
      <c r="DG154" s="251"/>
      <c r="DH154" s="251"/>
      <c r="DI154" s="251"/>
      <c r="DJ154" s="251"/>
      <c r="DK154" s="251"/>
      <c r="DL154" s="251"/>
      <c r="DM154" s="251"/>
      <c r="DN154" s="251"/>
      <c r="DO154" s="251"/>
      <c r="DP154" s="251"/>
      <c r="DQ154" s="251"/>
      <c r="DR154" s="251"/>
      <c r="DS154" s="251"/>
      <c r="DT154" s="251"/>
      <c r="DU154" s="251"/>
      <c r="DV154" s="251"/>
      <c r="DW154" s="251"/>
      <c r="DX154" s="251"/>
      <c r="DY154" s="251"/>
      <c r="DZ154" s="251"/>
      <c r="EA154" s="251"/>
      <c r="EB154" s="251"/>
      <c r="EC154" s="251"/>
      <c r="ED154" s="251"/>
      <c r="EE154" s="251"/>
      <c r="EF154" s="251"/>
      <c r="EG154" s="251"/>
      <c r="EH154" s="251"/>
      <c r="EI154" s="251"/>
      <c r="EJ154" s="251"/>
      <c r="EK154" s="251"/>
      <c r="EL154" s="251"/>
      <c r="EM154" s="251"/>
      <c r="EN154" s="251"/>
      <c r="EO154" s="251"/>
      <c r="EP154" s="252"/>
      <c r="EQ154" s="250"/>
      <c r="ER154" s="251"/>
      <c r="ES154" s="251"/>
      <c r="ET154" s="251"/>
      <c r="EU154" s="252"/>
      <c r="EX154" s="250"/>
      <c r="EY154" s="251"/>
      <c r="EZ154" s="251"/>
      <c r="FA154" s="251"/>
      <c r="FB154" s="251"/>
      <c r="FC154" s="251"/>
      <c r="FD154" s="251"/>
      <c r="FE154" s="251"/>
      <c r="FF154" s="251"/>
      <c r="FG154" s="251"/>
      <c r="FH154" s="251"/>
      <c r="FI154" s="251"/>
      <c r="FJ154" s="251"/>
      <c r="FK154" s="251"/>
      <c r="FL154" s="251"/>
      <c r="FM154" s="251"/>
      <c r="FN154" s="251"/>
      <c r="FO154" s="251"/>
      <c r="FP154" s="251"/>
      <c r="FQ154" s="251"/>
      <c r="FR154" s="251"/>
      <c r="FS154" s="251"/>
      <c r="FT154" s="251"/>
      <c r="FU154" s="251"/>
      <c r="FV154" s="251"/>
      <c r="FW154" s="251"/>
      <c r="FX154" s="251"/>
      <c r="FY154" s="251"/>
      <c r="FZ154" s="251"/>
      <c r="GA154" s="251"/>
      <c r="GB154" s="251"/>
      <c r="GC154" s="251"/>
      <c r="GD154" s="251"/>
      <c r="GE154" s="251"/>
      <c r="GF154" s="251"/>
      <c r="GG154" s="251"/>
      <c r="GH154" s="251"/>
      <c r="GI154" s="251"/>
      <c r="GJ154" s="251"/>
      <c r="GK154" s="251"/>
      <c r="GL154" s="252"/>
      <c r="GM154" s="250"/>
      <c r="GN154" s="251"/>
      <c r="GO154" s="251"/>
      <c r="GP154" s="251"/>
      <c r="GQ154" s="252"/>
      <c r="GT154" s="250"/>
      <c r="GU154" s="251"/>
      <c r="GV154" s="251"/>
      <c r="GW154" s="251"/>
      <c r="GX154" s="251"/>
      <c r="GY154" s="251"/>
      <c r="GZ154" s="251"/>
      <c r="HA154" s="251"/>
      <c r="HB154" s="251"/>
      <c r="HC154" s="251"/>
      <c r="HD154" s="251"/>
      <c r="HE154" s="251"/>
      <c r="HF154" s="251"/>
      <c r="HG154" s="251"/>
      <c r="HH154" s="251"/>
      <c r="HI154" s="251"/>
      <c r="HJ154" s="251"/>
      <c r="HK154" s="251"/>
      <c r="HL154" s="251"/>
      <c r="HM154" s="251"/>
      <c r="HN154" s="251"/>
      <c r="HO154" s="251"/>
      <c r="HP154" s="251"/>
      <c r="HQ154" s="251"/>
      <c r="HR154" s="251"/>
      <c r="HS154" s="251"/>
      <c r="HT154" s="251"/>
      <c r="HU154" s="251"/>
      <c r="HV154" s="251"/>
      <c r="HW154" s="251"/>
      <c r="HX154" s="251"/>
      <c r="HY154" s="251"/>
      <c r="HZ154" s="251"/>
      <c r="IA154" s="251"/>
      <c r="IB154" s="251"/>
      <c r="IC154" s="251"/>
      <c r="ID154" s="251"/>
      <c r="IE154" s="251"/>
      <c r="IF154" s="251"/>
      <c r="IG154" s="251"/>
      <c r="IH154" s="252"/>
      <c r="II154" s="250"/>
      <c r="IJ154" s="251"/>
      <c r="IK154" s="251"/>
      <c r="IL154" s="251"/>
      <c r="IM154" s="252"/>
      <c r="JK154" s="281"/>
      <c r="JL154" s="282"/>
      <c r="JM154" s="282"/>
      <c r="JN154" s="282"/>
      <c r="JO154" s="282"/>
      <c r="JP154" s="282"/>
      <c r="JQ154" s="282"/>
      <c r="JR154" s="282"/>
      <c r="JS154" s="282"/>
      <c r="JT154" s="282"/>
      <c r="JU154" s="282"/>
      <c r="JV154" s="282"/>
      <c r="JW154" s="282"/>
      <c r="JX154" s="282"/>
      <c r="JY154" s="282"/>
      <c r="JZ154" s="282"/>
      <c r="KA154" s="282"/>
      <c r="KB154" s="282"/>
      <c r="KC154" s="282"/>
      <c r="KD154" s="282"/>
      <c r="KE154" s="282"/>
      <c r="KF154" s="282"/>
      <c r="KG154" s="282"/>
      <c r="KH154" s="282"/>
      <c r="KI154" s="282"/>
      <c r="KJ154" s="282"/>
      <c r="KK154" s="282"/>
      <c r="KL154" s="282"/>
      <c r="KM154" s="282"/>
      <c r="KN154" s="282"/>
      <c r="KO154" s="282"/>
      <c r="KP154" s="282"/>
      <c r="KQ154" s="282"/>
      <c r="KR154" s="282"/>
      <c r="KS154" s="282"/>
      <c r="KT154" s="282"/>
      <c r="KU154" s="282"/>
      <c r="KV154" s="282"/>
      <c r="KW154" s="282"/>
      <c r="KX154" s="283"/>
      <c r="KY154" s="253"/>
      <c r="KZ154" s="254"/>
      <c r="LA154" s="254"/>
      <c r="LB154" s="254"/>
      <c r="LC154" s="255"/>
      <c r="OR154" s="259"/>
      <c r="OS154" s="260"/>
      <c r="OT154" s="260"/>
      <c r="OU154" s="260"/>
      <c r="OV154" s="260"/>
      <c r="OW154" s="260"/>
      <c r="OX154" s="260"/>
      <c r="OY154" s="260"/>
      <c r="OZ154" s="260"/>
      <c r="PA154" s="260"/>
      <c r="PB154" s="260"/>
      <c r="PC154" s="260"/>
      <c r="PD154" s="260"/>
      <c r="PE154" s="260"/>
      <c r="PF154" s="260"/>
      <c r="PG154" s="260"/>
      <c r="PH154" s="260"/>
      <c r="PI154" s="260"/>
      <c r="PJ154" s="260"/>
      <c r="PK154" s="260"/>
      <c r="PL154" s="260"/>
      <c r="PM154" s="260"/>
      <c r="PN154" s="260"/>
      <c r="PO154" s="260"/>
      <c r="PP154" s="260"/>
      <c r="PQ154" s="260"/>
      <c r="PR154" s="260"/>
      <c r="PS154" s="260"/>
      <c r="PT154" s="260"/>
      <c r="PU154" s="260"/>
      <c r="PV154" s="260"/>
      <c r="PW154" s="260"/>
      <c r="PX154" s="260"/>
      <c r="PY154" s="260"/>
      <c r="PZ154" s="260"/>
      <c r="QA154" s="260"/>
      <c r="QB154" s="260"/>
      <c r="QC154" s="260"/>
      <c r="QD154" s="260"/>
      <c r="QE154" s="260"/>
      <c r="QF154" s="265"/>
      <c r="QG154" s="265"/>
      <c r="QH154" s="265"/>
      <c r="QI154" s="265"/>
      <c r="QJ154" s="265"/>
      <c r="QK154" s="265"/>
      <c r="QQ154" s="18"/>
      <c r="QR154" s="19"/>
      <c r="QS154" s="39"/>
      <c r="QT154" s="39"/>
      <c r="QU154" s="39"/>
      <c r="QV154" s="39"/>
      <c r="QW154" s="40"/>
    </row>
    <row r="155" spans="3:465" ht="5.0999999999999996" customHeight="1" x14ac:dyDescent="0.3">
      <c r="C155" s="15"/>
      <c r="D155" s="16"/>
      <c r="J155" s="250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  <c r="AA155" s="251"/>
      <c r="AB155" s="251"/>
      <c r="AC155" s="251"/>
      <c r="AD155" s="251"/>
      <c r="AE155" s="251"/>
      <c r="AF155" s="251"/>
      <c r="AG155" s="251"/>
      <c r="AH155" s="251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2"/>
      <c r="AY155" s="250"/>
      <c r="AZ155" s="251"/>
      <c r="BA155" s="251"/>
      <c r="BB155" s="251"/>
      <c r="BC155" s="252"/>
      <c r="BF155" s="250"/>
      <c r="BG155" s="251"/>
      <c r="BH155" s="251"/>
      <c r="BI155" s="251"/>
      <c r="BJ155" s="251"/>
      <c r="BK155" s="251"/>
      <c r="BL155" s="251"/>
      <c r="BM155" s="251"/>
      <c r="BN155" s="251"/>
      <c r="BO155" s="251"/>
      <c r="BP155" s="251"/>
      <c r="BQ155" s="251"/>
      <c r="BR155" s="251"/>
      <c r="BS155" s="251"/>
      <c r="BT155" s="251"/>
      <c r="BU155" s="251"/>
      <c r="BV155" s="251"/>
      <c r="BW155" s="251"/>
      <c r="BX155" s="251"/>
      <c r="BY155" s="251"/>
      <c r="BZ155" s="251"/>
      <c r="CA155" s="251"/>
      <c r="CB155" s="251"/>
      <c r="CC155" s="251"/>
      <c r="CD155" s="251"/>
      <c r="CE155" s="251"/>
      <c r="CF155" s="251"/>
      <c r="CG155" s="251"/>
      <c r="CH155" s="251"/>
      <c r="CI155" s="251"/>
      <c r="CJ155" s="251"/>
      <c r="CK155" s="251"/>
      <c r="CL155" s="251"/>
      <c r="CM155" s="251"/>
      <c r="CN155" s="251"/>
      <c r="CO155" s="251"/>
      <c r="CP155" s="251"/>
      <c r="CQ155" s="251"/>
      <c r="CR155" s="251"/>
      <c r="CS155" s="251"/>
      <c r="CT155" s="252"/>
      <c r="CU155" s="250"/>
      <c r="CV155" s="251"/>
      <c r="CW155" s="251"/>
      <c r="CX155" s="251"/>
      <c r="CY155" s="252"/>
      <c r="DB155" s="250"/>
      <c r="DC155" s="251"/>
      <c r="DD155" s="251"/>
      <c r="DE155" s="251"/>
      <c r="DF155" s="251"/>
      <c r="DG155" s="251"/>
      <c r="DH155" s="251"/>
      <c r="DI155" s="251"/>
      <c r="DJ155" s="251"/>
      <c r="DK155" s="251"/>
      <c r="DL155" s="251"/>
      <c r="DM155" s="251"/>
      <c r="DN155" s="251"/>
      <c r="DO155" s="251"/>
      <c r="DP155" s="251"/>
      <c r="DQ155" s="251"/>
      <c r="DR155" s="251"/>
      <c r="DS155" s="251"/>
      <c r="DT155" s="251"/>
      <c r="DU155" s="251"/>
      <c r="DV155" s="251"/>
      <c r="DW155" s="251"/>
      <c r="DX155" s="251"/>
      <c r="DY155" s="251"/>
      <c r="DZ155" s="251"/>
      <c r="EA155" s="251"/>
      <c r="EB155" s="251"/>
      <c r="EC155" s="251"/>
      <c r="ED155" s="251"/>
      <c r="EE155" s="251"/>
      <c r="EF155" s="251"/>
      <c r="EG155" s="251"/>
      <c r="EH155" s="251"/>
      <c r="EI155" s="251"/>
      <c r="EJ155" s="251"/>
      <c r="EK155" s="251"/>
      <c r="EL155" s="251"/>
      <c r="EM155" s="251"/>
      <c r="EN155" s="251"/>
      <c r="EO155" s="251"/>
      <c r="EP155" s="252"/>
      <c r="EQ155" s="250"/>
      <c r="ER155" s="251"/>
      <c r="ES155" s="251"/>
      <c r="ET155" s="251"/>
      <c r="EU155" s="252"/>
      <c r="EX155" s="250"/>
      <c r="EY155" s="251"/>
      <c r="EZ155" s="251"/>
      <c r="FA155" s="251"/>
      <c r="FB155" s="251"/>
      <c r="FC155" s="251"/>
      <c r="FD155" s="251"/>
      <c r="FE155" s="251"/>
      <c r="FF155" s="251"/>
      <c r="FG155" s="251"/>
      <c r="FH155" s="251"/>
      <c r="FI155" s="251"/>
      <c r="FJ155" s="251"/>
      <c r="FK155" s="251"/>
      <c r="FL155" s="251"/>
      <c r="FM155" s="251"/>
      <c r="FN155" s="251"/>
      <c r="FO155" s="251"/>
      <c r="FP155" s="251"/>
      <c r="FQ155" s="251"/>
      <c r="FR155" s="251"/>
      <c r="FS155" s="251"/>
      <c r="FT155" s="251"/>
      <c r="FU155" s="251"/>
      <c r="FV155" s="251"/>
      <c r="FW155" s="251"/>
      <c r="FX155" s="251"/>
      <c r="FY155" s="251"/>
      <c r="FZ155" s="251"/>
      <c r="GA155" s="251"/>
      <c r="GB155" s="251"/>
      <c r="GC155" s="251"/>
      <c r="GD155" s="251"/>
      <c r="GE155" s="251"/>
      <c r="GF155" s="251"/>
      <c r="GG155" s="251"/>
      <c r="GH155" s="251"/>
      <c r="GI155" s="251"/>
      <c r="GJ155" s="251"/>
      <c r="GK155" s="251"/>
      <c r="GL155" s="252"/>
      <c r="GM155" s="250"/>
      <c r="GN155" s="251"/>
      <c r="GO155" s="251"/>
      <c r="GP155" s="251"/>
      <c r="GQ155" s="252"/>
      <c r="GT155" s="250"/>
      <c r="GU155" s="251"/>
      <c r="GV155" s="251"/>
      <c r="GW155" s="251"/>
      <c r="GX155" s="251"/>
      <c r="GY155" s="251"/>
      <c r="GZ155" s="251"/>
      <c r="HA155" s="251"/>
      <c r="HB155" s="251"/>
      <c r="HC155" s="251"/>
      <c r="HD155" s="251"/>
      <c r="HE155" s="251"/>
      <c r="HF155" s="251"/>
      <c r="HG155" s="251"/>
      <c r="HH155" s="251"/>
      <c r="HI155" s="251"/>
      <c r="HJ155" s="251"/>
      <c r="HK155" s="251"/>
      <c r="HL155" s="251"/>
      <c r="HM155" s="251"/>
      <c r="HN155" s="251"/>
      <c r="HO155" s="251"/>
      <c r="HP155" s="251"/>
      <c r="HQ155" s="251"/>
      <c r="HR155" s="251"/>
      <c r="HS155" s="251"/>
      <c r="HT155" s="251"/>
      <c r="HU155" s="251"/>
      <c r="HV155" s="251"/>
      <c r="HW155" s="251"/>
      <c r="HX155" s="251"/>
      <c r="HY155" s="251"/>
      <c r="HZ155" s="251"/>
      <c r="IA155" s="251"/>
      <c r="IB155" s="251"/>
      <c r="IC155" s="251"/>
      <c r="ID155" s="251"/>
      <c r="IE155" s="251"/>
      <c r="IF155" s="251"/>
      <c r="IG155" s="251"/>
      <c r="IH155" s="252"/>
      <c r="II155" s="250"/>
      <c r="IJ155" s="251"/>
      <c r="IK155" s="251"/>
      <c r="IL155" s="251"/>
      <c r="IM155" s="252"/>
      <c r="OR155" s="259"/>
      <c r="OS155" s="260"/>
      <c r="OT155" s="260"/>
      <c r="OU155" s="260"/>
      <c r="OV155" s="260"/>
      <c r="OW155" s="260"/>
      <c r="OX155" s="260"/>
      <c r="OY155" s="260"/>
      <c r="OZ155" s="260"/>
      <c r="PA155" s="260"/>
      <c r="PB155" s="260"/>
      <c r="PC155" s="260"/>
      <c r="PD155" s="260"/>
      <c r="PE155" s="260"/>
      <c r="PF155" s="260"/>
      <c r="PG155" s="260"/>
      <c r="PH155" s="260"/>
      <c r="PI155" s="260"/>
      <c r="PJ155" s="260"/>
      <c r="PK155" s="260"/>
      <c r="PL155" s="260"/>
      <c r="PM155" s="260"/>
      <c r="PN155" s="260"/>
      <c r="PO155" s="260"/>
      <c r="PP155" s="260"/>
      <c r="PQ155" s="260"/>
      <c r="PR155" s="260"/>
      <c r="PS155" s="260"/>
      <c r="PT155" s="260"/>
      <c r="PU155" s="260"/>
      <c r="PV155" s="260"/>
      <c r="PW155" s="260"/>
      <c r="PX155" s="260"/>
      <c r="PY155" s="260"/>
      <c r="PZ155" s="260"/>
      <c r="QA155" s="260"/>
      <c r="QB155" s="260"/>
      <c r="QC155" s="260"/>
      <c r="QD155" s="260"/>
      <c r="QE155" s="260"/>
      <c r="QF155" s="265"/>
      <c r="QG155" s="265"/>
      <c r="QH155" s="265"/>
      <c r="QI155" s="265"/>
      <c r="QJ155" s="265"/>
      <c r="QK155" s="265"/>
      <c r="QQ155" s="18"/>
      <c r="QR155" s="19"/>
      <c r="QS155" s="39"/>
      <c r="QT155" s="39"/>
      <c r="QU155" s="39"/>
      <c r="QV155" s="39"/>
      <c r="QW155" s="40"/>
    </row>
    <row r="156" spans="3:465" ht="5.0999999999999996" customHeight="1" x14ac:dyDescent="0.3">
      <c r="C156" s="15"/>
      <c r="D156" s="16"/>
      <c r="J156" s="250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  <c r="AA156" s="251"/>
      <c r="AB156" s="251"/>
      <c r="AC156" s="251"/>
      <c r="AD156" s="251"/>
      <c r="AE156" s="251"/>
      <c r="AF156" s="251"/>
      <c r="AG156" s="251"/>
      <c r="AH156" s="251"/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2"/>
      <c r="AY156" s="250"/>
      <c r="AZ156" s="251"/>
      <c r="BA156" s="251"/>
      <c r="BB156" s="251"/>
      <c r="BC156" s="252"/>
      <c r="BF156" s="250"/>
      <c r="BG156" s="251"/>
      <c r="BH156" s="251"/>
      <c r="BI156" s="251"/>
      <c r="BJ156" s="251"/>
      <c r="BK156" s="251"/>
      <c r="BL156" s="251"/>
      <c r="BM156" s="251"/>
      <c r="BN156" s="251"/>
      <c r="BO156" s="251"/>
      <c r="BP156" s="251"/>
      <c r="BQ156" s="251"/>
      <c r="BR156" s="251"/>
      <c r="BS156" s="251"/>
      <c r="BT156" s="251"/>
      <c r="BU156" s="251"/>
      <c r="BV156" s="251"/>
      <c r="BW156" s="251"/>
      <c r="BX156" s="251"/>
      <c r="BY156" s="251"/>
      <c r="BZ156" s="251"/>
      <c r="CA156" s="251"/>
      <c r="CB156" s="251"/>
      <c r="CC156" s="251"/>
      <c r="CD156" s="251"/>
      <c r="CE156" s="251"/>
      <c r="CF156" s="251"/>
      <c r="CG156" s="251"/>
      <c r="CH156" s="251"/>
      <c r="CI156" s="251"/>
      <c r="CJ156" s="251"/>
      <c r="CK156" s="251"/>
      <c r="CL156" s="251"/>
      <c r="CM156" s="251"/>
      <c r="CN156" s="251"/>
      <c r="CO156" s="251"/>
      <c r="CP156" s="251"/>
      <c r="CQ156" s="251"/>
      <c r="CR156" s="251"/>
      <c r="CS156" s="251"/>
      <c r="CT156" s="252"/>
      <c r="CU156" s="250"/>
      <c r="CV156" s="251"/>
      <c r="CW156" s="251"/>
      <c r="CX156" s="251"/>
      <c r="CY156" s="252"/>
      <c r="DB156" s="250"/>
      <c r="DC156" s="251"/>
      <c r="DD156" s="251"/>
      <c r="DE156" s="251"/>
      <c r="DF156" s="251"/>
      <c r="DG156" s="251"/>
      <c r="DH156" s="251"/>
      <c r="DI156" s="251"/>
      <c r="DJ156" s="251"/>
      <c r="DK156" s="251"/>
      <c r="DL156" s="251"/>
      <c r="DM156" s="251"/>
      <c r="DN156" s="251"/>
      <c r="DO156" s="251"/>
      <c r="DP156" s="251"/>
      <c r="DQ156" s="251"/>
      <c r="DR156" s="251"/>
      <c r="DS156" s="251"/>
      <c r="DT156" s="251"/>
      <c r="DU156" s="251"/>
      <c r="DV156" s="251"/>
      <c r="DW156" s="251"/>
      <c r="DX156" s="251"/>
      <c r="DY156" s="251"/>
      <c r="DZ156" s="251"/>
      <c r="EA156" s="251"/>
      <c r="EB156" s="251"/>
      <c r="EC156" s="251"/>
      <c r="ED156" s="251"/>
      <c r="EE156" s="251"/>
      <c r="EF156" s="251"/>
      <c r="EG156" s="251"/>
      <c r="EH156" s="251"/>
      <c r="EI156" s="251"/>
      <c r="EJ156" s="251"/>
      <c r="EK156" s="251"/>
      <c r="EL156" s="251"/>
      <c r="EM156" s="251"/>
      <c r="EN156" s="251"/>
      <c r="EO156" s="251"/>
      <c r="EP156" s="252"/>
      <c r="EQ156" s="250"/>
      <c r="ER156" s="251"/>
      <c r="ES156" s="251"/>
      <c r="ET156" s="251"/>
      <c r="EU156" s="252"/>
      <c r="EX156" s="250"/>
      <c r="EY156" s="251"/>
      <c r="EZ156" s="251"/>
      <c r="FA156" s="251"/>
      <c r="FB156" s="251"/>
      <c r="FC156" s="251"/>
      <c r="FD156" s="251"/>
      <c r="FE156" s="251"/>
      <c r="FF156" s="251"/>
      <c r="FG156" s="251"/>
      <c r="FH156" s="251"/>
      <c r="FI156" s="251"/>
      <c r="FJ156" s="251"/>
      <c r="FK156" s="251"/>
      <c r="FL156" s="251"/>
      <c r="FM156" s="251"/>
      <c r="FN156" s="251"/>
      <c r="FO156" s="251"/>
      <c r="FP156" s="251"/>
      <c r="FQ156" s="251"/>
      <c r="FR156" s="251"/>
      <c r="FS156" s="251"/>
      <c r="FT156" s="251"/>
      <c r="FU156" s="251"/>
      <c r="FV156" s="251"/>
      <c r="FW156" s="251"/>
      <c r="FX156" s="251"/>
      <c r="FY156" s="251"/>
      <c r="FZ156" s="251"/>
      <c r="GA156" s="251"/>
      <c r="GB156" s="251"/>
      <c r="GC156" s="251"/>
      <c r="GD156" s="251"/>
      <c r="GE156" s="251"/>
      <c r="GF156" s="251"/>
      <c r="GG156" s="251"/>
      <c r="GH156" s="251"/>
      <c r="GI156" s="251"/>
      <c r="GJ156" s="251"/>
      <c r="GK156" s="251"/>
      <c r="GL156" s="252"/>
      <c r="GM156" s="250"/>
      <c r="GN156" s="251"/>
      <c r="GO156" s="251"/>
      <c r="GP156" s="251"/>
      <c r="GQ156" s="252"/>
      <c r="GT156" s="250"/>
      <c r="GU156" s="251"/>
      <c r="GV156" s="251"/>
      <c r="GW156" s="251"/>
      <c r="GX156" s="251"/>
      <c r="GY156" s="251"/>
      <c r="GZ156" s="251"/>
      <c r="HA156" s="251"/>
      <c r="HB156" s="251"/>
      <c r="HC156" s="251"/>
      <c r="HD156" s="251"/>
      <c r="HE156" s="251"/>
      <c r="HF156" s="251"/>
      <c r="HG156" s="251"/>
      <c r="HH156" s="251"/>
      <c r="HI156" s="251"/>
      <c r="HJ156" s="251"/>
      <c r="HK156" s="251"/>
      <c r="HL156" s="251"/>
      <c r="HM156" s="251"/>
      <c r="HN156" s="251"/>
      <c r="HO156" s="251"/>
      <c r="HP156" s="251"/>
      <c r="HQ156" s="251"/>
      <c r="HR156" s="251"/>
      <c r="HS156" s="251"/>
      <c r="HT156" s="251"/>
      <c r="HU156" s="251"/>
      <c r="HV156" s="251"/>
      <c r="HW156" s="251"/>
      <c r="HX156" s="251"/>
      <c r="HY156" s="251"/>
      <c r="HZ156" s="251"/>
      <c r="IA156" s="251"/>
      <c r="IB156" s="251"/>
      <c r="IC156" s="251"/>
      <c r="ID156" s="251"/>
      <c r="IE156" s="251"/>
      <c r="IF156" s="251"/>
      <c r="IG156" s="251"/>
      <c r="IH156" s="252"/>
      <c r="II156" s="250"/>
      <c r="IJ156" s="251"/>
      <c r="IK156" s="251"/>
      <c r="IL156" s="251"/>
      <c r="IM156" s="252"/>
      <c r="OR156" s="259"/>
      <c r="OS156" s="260"/>
      <c r="OT156" s="260"/>
      <c r="OU156" s="260"/>
      <c r="OV156" s="260"/>
      <c r="OW156" s="260"/>
      <c r="OX156" s="260"/>
      <c r="OY156" s="260"/>
      <c r="OZ156" s="260"/>
      <c r="PA156" s="260"/>
      <c r="PB156" s="260"/>
      <c r="PC156" s="260"/>
      <c r="PD156" s="260"/>
      <c r="PE156" s="260"/>
      <c r="PF156" s="260"/>
      <c r="PG156" s="260"/>
      <c r="PH156" s="260"/>
      <c r="PI156" s="260"/>
      <c r="PJ156" s="260"/>
      <c r="PK156" s="260"/>
      <c r="PL156" s="260"/>
      <c r="PM156" s="260"/>
      <c r="PN156" s="260"/>
      <c r="PO156" s="260"/>
      <c r="PP156" s="260"/>
      <c r="PQ156" s="260"/>
      <c r="PR156" s="260"/>
      <c r="PS156" s="260"/>
      <c r="PT156" s="260"/>
      <c r="PU156" s="260"/>
      <c r="PV156" s="260"/>
      <c r="PW156" s="260"/>
      <c r="PX156" s="260"/>
      <c r="PY156" s="260"/>
      <c r="PZ156" s="260"/>
      <c r="QA156" s="260"/>
      <c r="QB156" s="260"/>
      <c r="QC156" s="260"/>
      <c r="QD156" s="260"/>
      <c r="QE156" s="260"/>
      <c r="QF156" s="265"/>
      <c r="QG156" s="265"/>
      <c r="QH156" s="265"/>
      <c r="QI156" s="265"/>
      <c r="QJ156" s="265"/>
      <c r="QK156" s="265"/>
      <c r="QQ156" s="18"/>
      <c r="QR156" s="19"/>
      <c r="QS156" s="39"/>
      <c r="QT156" s="39"/>
      <c r="QU156" s="39"/>
      <c r="QV156" s="39"/>
      <c r="QW156" s="40"/>
    </row>
    <row r="157" spans="3:465" ht="5.0999999999999996" customHeight="1" x14ac:dyDescent="0.3">
      <c r="C157" s="15"/>
      <c r="D157" s="16"/>
      <c r="J157" s="250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  <c r="AA157" s="251"/>
      <c r="AB157" s="251"/>
      <c r="AC157" s="251"/>
      <c r="AD157" s="251"/>
      <c r="AE157" s="251"/>
      <c r="AF157" s="251"/>
      <c r="AG157" s="251"/>
      <c r="AH157" s="251"/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2"/>
      <c r="AY157" s="250"/>
      <c r="AZ157" s="251"/>
      <c r="BA157" s="251"/>
      <c r="BB157" s="251"/>
      <c r="BC157" s="252"/>
      <c r="BF157" s="250"/>
      <c r="BG157" s="251"/>
      <c r="BH157" s="251"/>
      <c r="BI157" s="251"/>
      <c r="BJ157" s="251"/>
      <c r="BK157" s="251"/>
      <c r="BL157" s="251"/>
      <c r="BM157" s="251"/>
      <c r="BN157" s="251"/>
      <c r="BO157" s="251"/>
      <c r="BP157" s="251"/>
      <c r="BQ157" s="251"/>
      <c r="BR157" s="251"/>
      <c r="BS157" s="251"/>
      <c r="BT157" s="251"/>
      <c r="BU157" s="251"/>
      <c r="BV157" s="251"/>
      <c r="BW157" s="251"/>
      <c r="BX157" s="251"/>
      <c r="BY157" s="251"/>
      <c r="BZ157" s="251"/>
      <c r="CA157" s="251"/>
      <c r="CB157" s="251"/>
      <c r="CC157" s="251"/>
      <c r="CD157" s="251"/>
      <c r="CE157" s="251"/>
      <c r="CF157" s="251"/>
      <c r="CG157" s="251"/>
      <c r="CH157" s="251"/>
      <c r="CI157" s="251"/>
      <c r="CJ157" s="251"/>
      <c r="CK157" s="251"/>
      <c r="CL157" s="251"/>
      <c r="CM157" s="251"/>
      <c r="CN157" s="251"/>
      <c r="CO157" s="251"/>
      <c r="CP157" s="251"/>
      <c r="CQ157" s="251"/>
      <c r="CR157" s="251"/>
      <c r="CS157" s="251"/>
      <c r="CT157" s="252"/>
      <c r="CU157" s="250"/>
      <c r="CV157" s="251"/>
      <c r="CW157" s="251"/>
      <c r="CX157" s="251"/>
      <c r="CY157" s="252"/>
      <c r="DB157" s="250"/>
      <c r="DC157" s="251"/>
      <c r="DD157" s="251"/>
      <c r="DE157" s="251"/>
      <c r="DF157" s="251"/>
      <c r="DG157" s="251"/>
      <c r="DH157" s="251"/>
      <c r="DI157" s="251"/>
      <c r="DJ157" s="251"/>
      <c r="DK157" s="251"/>
      <c r="DL157" s="251"/>
      <c r="DM157" s="251"/>
      <c r="DN157" s="251"/>
      <c r="DO157" s="251"/>
      <c r="DP157" s="251"/>
      <c r="DQ157" s="251"/>
      <c r="DR157" s="251"/>
      <c r="DS157" s="251"/>
      <c r="DT157" s="251"/>
      <c r="DU157" s="251"/>
      <c r="DV157" s="251"/>
      <c r="DW157" s="251"/>
      <c r="DX157" s="251"/>
      <c r="DY157" s="251"/>
      <c r="DZ157" s="251"/>
      <c r="EA157" s="251"/>
      <c r="EB157" s="251"/>
      <c r="EC157" s="251"/>
      <c r="ED157" s="251"/>
      <c r="EE157" s="251"/>
      <c r="EF157" s="251"/>
      <c r="EG157" s="251"/>
      <c r="EH157" s="251"/>
      <c r="EI157" s="251"/>
      <c r="EJ157" s="251"/>
      <c r="EK157" s="251"/>
      <c r="EL157" s="251"/>
      <c r="EM157" s="251"/>
      <c r="EN157" s="251"/>
      <c r="EO157" s="251"/>
      <c r="EP157" s="252"/>
      <c r="EQ157" s="250"/>
      <c r="ER157" s="251"/>
      <c r="ES157" s="251"/>
      <c r="ET157" s="251"/>
      <c r="EU157" s="252"/>
      <c r="EX157" s="250"/>
      <c r="EY157" s="251"/>
      <c r="EZ157" s="251"/>
      <c r="FA157" s="251"/>
      <c r="FB157" s="251"/>
      <c r="FC157" s="251"/>
      <c r="FD157" s="251"/>
      <c r="FE157" s="251"/>
      <c r="FF157" s="251"/>
      <c r="FG157" s="251"/>
      <c r="FH157" s="251"/>
      <c r="FI157" s="251"/>
      <c r="FJ157" s="251"/>
      <c r="FK157" s="251"/>
      <c r="FL157" s="251"/>
      <c r="FM157" s="251"/>
      <c r="FN157" s="251"/>
      <c r="FO157" s="251"/>
      <c r="FP157" s="251"/>
      <c r="FQ157" s="251"/>
      <c r="FR157" s="251"/>
      <c r="FS157" s="251"/>
      <c r="FT157" s="251"/>
      <c r="FU157" s="251"/>
      <c r="FV157" s="251"/>
      <c r="FW157" s="251"/>
      <c r="FX157" s="251"/>
      <c r="FY157" s="251"/>
      <c r="FZ157" s="251"/>
      <c r="GA157" s="251"/>
      <c r="GB157" s="251"/>
      <c r="GC157" s="251"/>
      <c r="GD157" s="251"/>
      <c r="GE157" s="251"/>
      <c r="GF157" s="251"/>
      <c r="GG157" s="251"/>
      <c r="GH157" s="251"/>
      <c r="GI157" s="251"/>
      <c r="GJ157" s="251"/>
      <c r="GK157" s="251"/>
      <c r="GL157" s="252"/>
      <c r="GM157" s="250"/>
      <c r="GN157" s="251"/>
      <c r="GO157" s="251"/>
      <c r="GP157" s="251"/>
      <c r="GQ157" s="252"/>
      <c r="GT157" s="250"/>
      <c r="GU157" s="251"/>
      <c r="GV157" s="251"/>
      <c r="GW157" s="251"/>
      <c r="GX157" s="251"/>
      <c r="GY157" s="251"/>
      <c r="GZ157" s="251"/>
      <c r="HA157" s="251"/>
      <c r="HB157" s="251"/>
      <c r="HC157" s="251"/>
      <c r="HD157" s="251"/>
      <c r="HE157" s="251"/>
      <c r="HF157" s="251"/>
      <c r="HG157" s="251"/>
      <c r="HH157" s="251"/>
      <c r="HI157" s="251"/>
      <c r="HJ157" s="251"/>
      <c r="HK157" s="251"/>
      <c r="HL157" s="251"/>
      <c r="HM157" s="251"/>
      <c r="HN157" s="251"/>
      <c r="HO157" s="251"/>
      <c r="HP157" s="251"/>
      <c r="HQ157" s="251"/>
      <c r="HR157" s="251"/>
      <c r="HS157" s="251"/>
      <c r="HT157" s="251"/>
      <c r="HU157" s="251"/>
      <c r="HV157" s="251"/>
      <c r="HW157" s="251"/>
      <c r="HX157" s="251"/>
      <c r="HY157" s="251"/>
      <c r="HZ157" s="251"/>
      <c r="IA157" s="251"/>
      <c r="IB157" s="251"/>
      <c r="IC157" s="251"/>
      <c r="ID157" s="251"/>
      <c r="IE157" s="251"/>
      <c r="IF157" s="251"/>
      <c r="IG157" s="251"/>
      <c r="IH157" s="252"/>
      <c r="II157" s="250"/>
      <c r="IJ157" s="251"/>
      <c r="IK157" s="251"/>
      <c r="IL157" s="251"/>
      <c r="IM157" s="252"/>
      <c r="OR157" s="259"/>
      <c r="OS157" s="260"/>
      <c r="OT157" s="260"/>
      <c r="OU157" s="260"/>
      <c r="OV157" s="260"/>
      <c r="OW157" s="260"/>
      <c r="OX157" s="260"/>
      <c r="OY157" s="260"/>
      <c r="OZ157" s="260"/>
      <c r="PA157" s="260"/>
      <c r="PB157" s="260"/>
      <c r="PC157" s="260"/>
      <c r="PD157" s="260"/>
      <c r="PE157" s="260"/>
      <c r="PF157" s="260"/>
      <c r="PG157" s="260"/>
      <c r="PH157" s="260"/>
      <c r="PI157" s="260"/>
      <c r="PJ157" s="260"/>
      <c r="PK157" s="260"/>
      <c r="PL157" s="260"/>
      <c r="PM157" s="260"/>
      <c r="PN157" s="260"/>
      <c r="PO157" s="260"/>
      <c r="PP157" s="260"/>
      <c r="PQ157" s="260"/>
      <c r="PR157" s="260"/>
      <c r="PS157" s="260"/>
      <c r="PT157" s="260"/>
      <c r="PU157" s="260"/>
      <c r="PV157" s="260"/>
      <c r="PW157" s="260"/>
      <c r="PX157" s="260"/>
      <c r="PY157" s="260"/>
      <c r="PZ157" s="260"/>
      <c r="QA157" s="260"/>
      <c r="QB157" s="260"/>
      <c r="QC157" s="260"/>
      <c r="QD157" s="260"/>
      <c r="QE157" s="260"/>
      <c r="QF157" s="265"/>
      <c r="QG157" s="265"/>
      <c r="QH157" s="265"/>
      <c r="QI157" s="265"/>
      <c r="QJ157" s="265"/>
      <c r="QK157" s="265"/>
      <c r="QQ157" s="18"/>
      <c r="QR157" s="19"/>
      <c r="QS157" s="39"/>
      <c r="QT157" s="39"/>
      <c r="QU157" s="39"/>
      <c r="QV157" s="39"/>
      <c r="QW157" s="40"/>
    </row>
    <row r="158" spans="3:465" ht="5.0999999999999996" customHeight="1" x14ac:dyDescent="0.3">
      <c r="C158" s="15"/>
      <c r="D158" s="16"/>
      <c r="J158" s="250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  <c r="AA158" s="251"/>
      <c r="AB158" s="251"/>
      <c r="AC158" s="251"/>
      <c r="AD158" s="251"/>
      <c r="AE158" s="251"/>
      <c r="AF158" s="251"/>
      <c r="AG158" s="251"/>
      <c r="AH158" s="251"/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2"/>
      <c r="AY158" s="250"/>
      <c r="AZ158" s="251"/>
      <c r="BA158" s="251"/>
      <c r="BB158" s="251"/>
      <c r="BC158" s="252"/>
      <c r="BF158" s="250"/>
      <c r="BG158" s="251"/>
      <c r="BH158" s="251"/>
      <c r="BI158" s="251"/>
      <c r="BJ158" s="251"/>
      <c r="BK158" s="251"/>
      <c r="BL158" s="251"/>
      <c r="BM158" s="251"/>
      <c r="BN158" s="251"/>
      <c r="BO158" s="251"/>
      <c r="BP158" s="251"/>
      <c r="BQ158" s="251"/>
      <c r="BR158" s="251"/>
      <c r="BS158" s="251"/>
      <c r="BT158" s="251"/>
      <c r="BU158" s="251"/>
      <c r="BV158" s="251"/>
      <c r="BW158" s="251"/>
      <c r="BX158" s="251"/>
      <c r="BY158" s="251"/>
      <c r="BZ158" s="251"/>
      <c r="CA158" s="251"/>
      <c r="CB158" s="251"/>
      <c r="CC158" s="251"/>
      <c r="CD158" s="251"/>
      <c r="CE158" s="251"/>
      <c r="CF158" s="251"/>
      <c r="CG158" s="251"/>
      <c r="CH158" s="251"/>
      <c r="CI158" s="251"/>
      <c r="CJ158" s="251"/>
      <c r="CK158" s="251"/>
      <c r="CL158" s="251"/>
      <c r="CM158" s="251"/>
      <c r="CN158" s="251"/>
      <c r="CO158" s="251"/>
      <c r="CP158" s="251"/>
      <c r="CQ158" s="251"/>
      <c r="CR158" s="251"/>
      <c r="CS158" s="251"/>
      <c r="CT158" s="252"/>
      <c r="CU158" s="250"/>
      <c r="CV158" s="251"/>
      <c r="CW158" s="251"/>
      <c r="CX158" s="251"/>
      <c r="CY158" s="252"/>
      <c r="DB158" s="250"/>
      <c r="DC158" s="251"/>
      <c r="DD158" s="251"/>
      <c r="DE158" s="251"/>
      <c r="DF158" s="251"/>
      <c r="DG158" s="251"/>
      <c r="DH158" s="251"/>
      <c r="DI158" s="251"/>
      <c r="DJ158" s="251"/>
      <c r="DK158" s="251"/>
      <c r="DL158" s="251"/>
      <c r="DM158" s="251"/>
      <c r="DN158" s="251"/>
      <c r="DO158" s="251"/>
      <c r="DP158" s="251"/>
      <c r="DQ158" s="251"/>
      <c r="DR158" s="251"/>
      <c r="DS158" s="251"/>
      <c r="DT158" s="251"/>
      <c r="DU158" s="251"/>
      <c r="DV158" s="251"/>
      <c r="DW158" s="251"/>
      <c r="DX158" s="251"/>
      <c r="DY158" s="251"/>
      <c r="DZ158" s="251"/>
      <c r="EA158" s="251"/>
      <c r="EB158" s="251"/>
      <c r="EC158" s="251"/>
      <c r="ED158" s="251"/>
      <c r="EE158" s="251"/>
      <c r="EF158" s="251"/>
      <c r="EG158" s="251"/>
      <c r="EH158" s="251"/>
      <c r="EI158" s="251"/>
      <c r="EJ158" s="251"/>
      <c r="EK158" s="251"/>
      <c r="EL158" s="251"/>
      <c r="EM158" s="251"/>
      <c r="EN158" s="251"/>
      <c r="EO158" s="251"/>
      <c r="EP158" s="252"/>
      <c r="EQ158" s="250"/>
      <c r="ER158" s="251"/>
      <c r="ES158" s="251"/>
      <c r="ET158" s="251"/>
      <c r="EU158" s="252"/>
      <c r="EX158" s="250"/>
      <c r="EY158" s="251"/>
      <c r="EZ158" s="251"/>
      <c r="FA158" s="251"/>
      <c r="FB158" s="251"/>
      <c r="FC158" s="251"/>
      <c r="FD158" s="251"/>
      <c r="FE158" s="251"/>
      <c r="FF158" s="251"/>
      <c r="FG158" s="251"/>
      <c r="FH158" s="251"/>
      <c r="FI158" s="251"/>
      <c r="FJ158" s="251"/>
      <c r="FK158" s="251"/>
      <c r="FL158" s="251"/>
      <c r="FM158" s="251"/>
      <c r="FN158" s="251"/>
      <c r="FO158" s="251"/>
      <c r="FP158" s="251"/>
      <c r="FQ158" s="251"/>
      <c r="FR158" s="251"/>
      <c r="FS158" s="251"/>
      <c r="FT158" s="251"/>
      <c r="FU158" s="251"/>
      <c r="FV158" s="251"/>
      <c r="FW158" s="251"/>
      <c r="FX158" s="251"/>
      <c r="FY158" s="251"/>
      <c r="FZ158" s="251"/>
      <c r="GA158" s="251"/>
      <c r="GB158" s="251"/>
      <c r="GC158" s="251"/>
      <c r="GD158" s="251"/>
      <c r="GE158" s="251"/>
      <c r="GF158" s="251"/>
      <c r="GG158" s="251"/>
      <c r="GH158" s="251"/>
      <c r="GI158" s="251"/>
      <c r="GJ158" s="251"/>
      <c r="GK158" s="251"/>
      <c r="GL158" s="252"/>
      <c r="GM158" s="250"/>
      <c r="GN158" s="251"/>
      <c r="GO158" s="251"/>
      <c r="GP158" s="251"/>
      <c r="GQ158" s="252"/>
      <c r="GT158" s="250"/>
      <c r="GU158" s="251"/>
      <c r="GV158" s="251"/>
      <c r="GW158" s="251"/>
      <c r="GX158" s="251"/>
      <c r="GY158" s="251"/>
      <c r="GZ158" s="251"/>
      <c r="HA158" s="251"/>
      <c r="HB158" s="251"/>
      <c r="HC158" s="251"/>
      <c r="HD158" s="251"/>
      <c r="HE158" s="251"/>
      <c r="HF158" s="251"/>
      <c r="HG158" s="251"/>
      <c r="HH158" s="251"/>
      <c r="HI158" s="251"/>
      <c r="HJ158" s="251"/>
      <c r="HK158" s="251"/>
      <c r="HL158" s="251"/>
      <c r="HM158" s="251"/>
      <c r="HN158" s="251"/>
      <c r="HO158" s="251"/>
      <c r="HP158" s="251"/>
      <c r="HQ158" s="251"/>
      <c r="HR158" s="251"/>
      <c r="HS158" s="251"/>
      <c r="HT158" s="251"/>
      <c r="HU158" s="251"/>
      <c r="HV158" s="251"/>
      <c r="HW158" s="251"/>
      <c r="HX158" s="251"/>
      <c r="HY158" s="251"/>
      <c r="HZ158" s="251"/>
      <c r="IA158" s="251"/>
      <c r="IB158" s="251"/>
      <c r="IC158" s="251"/>
      <c r="ID158" s="251"/>
      <c r="IE158" s="251"/>
      <c r="IF158" s="251"/>
      <c r="IG158" s="251"/>
      <c r="IH158" s="252"/>
      <c r="II158" s="250"/>
      <c r="IJ158" s="251"/>
      <c r="IK158" s="251"/>
      <c r="IL158" s="251"/>
      <c r="IM158" s="252"/>
      <c r="OR158" s="259"/>
      <c r="OS158" s="260"/>
      <c r="OT158" s="260"/>
      <c r="OU158" s="260"/>
      <c r="OV158" s="260"/>
      <c r="OW158" s="260"/>
      <c r="OX158" s="260"/>
      <c r="OY158" s="260"/>
      <c r="OZ158" s="260"/>
      <c r="PA158" s="260"/>
      <c r="PB158" s="260"/>
      <c r="PC158" s="260"/>
      <c r="PD158" s="260"/>
      <c r="PE158" s="260"/>
      <c r="PF158" s="260"/>
      <c r="PG158" s="260"/>
      <c r="PH158" s="260"/>
      <c r="PI158" s="260"/>
      <c r="PJ158" s="260"/>
      <c r="PK158" s="260"/>
      <c r="PL158" s="260"/>
      <c r="PM158" s="260"/>
      <c r="PN158" s="260"/>
      <c r="PO158" s="260"/>
      <c r="PP158" s="260"/>
      <c r="PQ158" s="260"/>
      <c r="PR158" s="260"/>
      <c r="PS158" s="260"/>
      <c r="PT158" s="260"/>
      <c r="PU158" s="260"/>
      <c r="PV158" s="260"/>
      <c r="PW158" s="260"/>
      <c r="PX158" s="260"/>
      <c r="PY158" s="260"/>
      <c r="PZ158" s="260"/>
      <c r="QA158" s="260"/>
      <c r="QB158" s="260"/>
      <c r="QC158" s="260"/>
      <c r="QD158" s="260"/>
      <c r="QE158" s="260"/>
      <c r="QF158" s="265"/>
      <c r="QG158" s="265"/>
      <c r="QH158" s="265"/>
      <c r="QI158" s="265"/>
      <c r="QJ158" s="265"/>
      <c r="QK158" s="265"/>
      <c r="QQ158" s="18"/>
      <c r="QR158" s="19"/>
      <c r="QS158" s="39"/>
      <c r="QT158" s="39"/>
      <c r="QU158" s="39"/>
      <c r="QV158" s="39"/>
      <c r="QW158" s="40"/>
    </row>
    <row r="159" spans="3:465" ht="5.0999999999999996" customHeight="1" x14ac:dyDescent="0.3">
      <c r="C159" s="15"/>
      <c r="D159" s="16"/>
      <c r="J159" s="250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  <c r="AA159" s="251"/>
      <c r="AB159" s="251"/>
      <c r="AC159" s="251"/>
      <c r="AD159" s="251"/>
      <c r="AE159" s="251"/>
      <c r="AF159" s="251"/>
      <c r="AG159" s="251"/>
      <c r="AH159" s="251"/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2"/>
      <c r="AY159" s="250"/>
      <c r="AZ159" s="251"/>
      <c r="BA159" s="251"/>
      <c r="BB159" s="251"/>
      <c r="BC159" s="252"/>
      <c r="BF159" s="250"/>
      <c r="BG159" s="251"/>
      <c r="BH159" s="251"/>
      <c r="BI159" s="251"/>
      <c r="BJ159" s="251"/>
      <c r="BK159" s="251"/>
      <c r="BL159" s="251"/>
      <c r="BM159" s="251"/>
      <c r="BN159" s="251"/>
      <c r="BO159" s="251"/>
      <c r="BP159" s="251"/>
      <c r="BQ159" s="251"/>
      <c r="BR159" s="251"/>
      <c r="BS159" s="251"/>
      <c r="BT159" s="251"/>
      <c r="BU159" s="251"/>
      <c r="BV159" s="251"/>
      <c r="BW159" s="251"/>
      <c r="BX159" s="251"/>
      <c r="BY159" s="251"/>
      <c r="BZ159" s="251"/>
      <c r="CA159" s="251"/>
      <c r="CB159" s="251"/>
      <c r="CC159" s="251"/>
      <c r="CD159" s="251"/>
      <c r="CE159" s="251"/>
      <c r="CF159" s="251"/>
      <c r="CG159" s="251"/>
      <c r="CH159" s="251"/>
      <c r="CI159" s="251"/>
      <c r="CJ159" s="251"/>
      <c r="CK159" s="251"/>
      <c r="CL159" s="251"/>
      <c r="CM159" s="251"/>
      <c r="CN159" s="251"/>
      <c r="CO159" s="251"/>
      <c r="CP159" s="251"/>
      <c r="CQ159" s="251"/>
      <c r="CR159" s="251"/>
      <c r="CS159" s="251"/>
      <c r="CT159" s="252"/>
      <c r="CU159" s="250"/>
      <c r="CV159" s="251"/>
      <c r="CW159" s="251"/>
      <c r="CX159" s="251"/>
      <c r="CY159" s="252"/>
      <c r="DB159" s="250"/>
      <c r="DC159" s="251"/>
      <c r="DD159" s="251"/>
      <c r="DE159" s="251"/>
      <c r="DF159" s="251"/>
      <c r="DG159" s="251"/>
      <c r="DH159" s="251"/>
      <c r="DI159" s="251"/>
      <c r="DJ159" s="251"/>
      <c r="DK159" s="251"/>
      <c r="DL159" s="251"/>
      <c r="DM159" s="251"/>
      <c r="DN159" s="251"/>
      <c r="DO159" s="251"/>
      <c r="DP159" s="251"/>
      <c r="DQ159" s="251"/>
      <c r="DR159" s="251"/>
      <c r="DS159" s="251"/>
      <c r="DT159" s="251"/>
      <c r="DU159" s="251"/>
      <c r="DV159" s="251"/>
      <c r="DW159" s="251"/>
      <c r="DX159" s="251"/>
      <c r="DY159" s="251"/>
      <c r="DZ159" s="251"/>
      <c r="EA159" s="251"/>
      <c r="EB159" s="251"/>
      <c r="EC159" s="251"/>
      <c r="ED159" s="251"/>
      <c r="EE159" s="251"/>
      <c r="EF159" s="251"/>
      <c r="EG159" s="251"/>
      <c r="EH159" s="251"/>
      <c r="EI159" s="251"/>
      <c r="EJ159" s="251"/>
      <c r="EK159" s="251"/>
      <c r="EL159" s="251"/>
      <c r="EM159" s="251"/>
      <c r="EN159" s="251"/>
      <c r="EO159" s="251"/>
      <c r="EP159" s="252"/>
      <c r="EQ159" s="250"/>
      <c r="ER159" s="251"/>
      <c r="ES159" s="251"/>
      <c r="ET159" s="251"/>
      <c r="EU159" s="252"/>
      <c r="EX159" s="250"/>
      <c r="EY159" s="251"/>
      <c r="EZ159" s="251"/>
      <c r="FA159" s="251"/>
      <c r="FB159" s="251"/>
      <c r="FC159" s="251"/>
      <c r="FD159" s="251"/>
      <c r="FE159" s="251"/>
      <c r="FF159" s="251"/>
      <c r="FG159" s="251"/>
      <c r="FH159" s="251"/>
      <c r="FI159" s="251"/>
      <c r="FJ159" s="251"/>
      <c r="FK159" s="251"/>
      <c r="FL159" s="251"/>
      <c r="FM159" s="251"/>
      <c r="FN159" s="251"/>
      <c r="FO159" s="251"/>
      <c r="FP159" s="251"/>
      <c r="FQ159" s="251"/>
      <c r="FR159" s="251"/>
      <c r="FS159" s="251"/>
      <c r="FT159" s="251"/>
      <c r="FU159" s="251"/>
      <c r="FV159" s="251"/>
      <c r="FW159" s="251"/>
      <c r="FX159" s="251"/>
      <c r="FY159" s="251"/>
      <c r="FZ159" s="251"/>
      <c r="GA159" s="251"/>
      <c r="GB159" s="251"/>
      <c r="GC159" s="251"/>
      <c r="GD159" s="251"/>
      <c r="GE159" s="251"/>
      <c r="GF159" s="251"/>
      <c r="GG159" s="251"/>
      <c r="GH159" s="251"/>
      <c r="GI159" s="251"/>
      <c r="GJ159" s="251"/>
      <c r="GK159" s="251"/>
      <c r="GL159" s="252"/>
      <c r="GM159" s="250"/>
      <c r="GN159" s="251"/>
      <c r="GO159" s="251"/>
      <c r="GP159" s="251"/>
      <c r="GQ159" s="252"/>
      <c r="GT159" s="250"/>
      <c r="GU159" s="251"/>
      <c r="GV159" s="251"/>
      <c r="GW159" s="251"/>
      <c r="GX159" s="251"/>
      <c r="GY159" s="251"/>
      <c r="GZ159" s="251"/>
      <c r="HA159" s="251"/>
      <c r="HB159" s="251"/>
      <c r="HC159" s="251"/>
      <c r="HD159" s="251"/>
      <c r="HE159" s="251"/>
      <c r="HF159" s="251"/>
      <c r="HG159" s="251"/>
      <c r="HH159" s="251"/>
      <c r="HI159" s="251"/>
      <c r="HJ159" s="251"/>
      <c r="HK159" s="251"/>
      <c r="HL159" s="251"/>
      <c r="HM159" s="251"/>
      <c r="HN159" s="251"/>
      <c r="HO159" s="251"/>
      <c r="HP159" s="251"/>
      <c r="HQ159" s="251"/>
      <c r="HR159" s="251"/>
      <c r="HS159" s="251"/>
      <c r="HT159" s="251"/>
      <c r="HU159" s="251"/>
      <c r="HV159" s="251"/>
      <c r="HW159" s="251"/>
      <c r="HX159" s="251"/>
      <c r="HY159" s="251"/>
      <c r="HZ159" s="251"/>
      <c r="IA159" s="251"/>
      <c r="IB159" s="251"/>
      <c r="IC159" s="251"/>
      <c r="ID159" s="251"/>
      <c r="IE159" s="251"/>
      <c r="IF159" s="251"/>
      <c r="IG159" s="251"/>
      <c r="IH159" s="252"/>
      <c r="II159" s="250"/>
      <c r="IJ159" s="251"/>
      <c r="IK159" s="251"/>
      <c r="IL159" s="251"/>
      <c r="IM159" s="252"/>
      <c r="OR159" s="259"/>
      <c r="OS159" s="260"/>
      <c r="OT159" s="260"/>
      <c r="OU159" s="260"/>
      <c r="OV159" s="260"/>
      <c r="OW159" s="260"/>
      <c r="OX159" s="260"/>
      <c r="OY159" s="260"/>
      <c r="OZ159" s="260"/>
      <c r="PA159" s="260"/>
      <c r="PB159" s="260"/>
      <c r="PC159" s="260"/>
      <c r="PD159" s="260"/>
      <c r="PE159" s="260"/>
      <c r="PF159" s="260"/>
      <c r="PG159" s="260"/>
      <c r="PH159" s="260"/>
      <c r="PI159" s="260"/>
      <c r="PJ159" s="260"/>
      <c r="PK159" s="260"/>
      <c r="PL159" s="260"/>
      <c r="PM159" s="260"/>
      <c r="PN159" s="260"/>
      <c r="PO159" s="260"/>
      <c r="PP159" s="260"/>
      <c r="PQ159" s="260"/>
      <c r="PR159" s="260"/>
      <c r="PS159" s="260"/>
      <c r="PT159" s="260"/>
      <c r="PU159" s="260"/>
      <c r="PV159" s="260"/>
      <c r="PW159" s="260"/>
      <c r="PX159" s="260"/>
      <c r="PY159" s="260"/>
      <c r="PZ159" s="260"/>
      <c r="QA159" s="260"/>
      <c r="QB159" s="260"/>
      <c r="QC159" s="260"/>
      <c r="QD159" s="260"/>
      <c r="QE159" s="260"/>
      <c r="QF159" s="265"/>
      <c r="QG159" s="265"/>
      <c r="QH159" s="265"/>
      <c r="QI159" s="265"/>
      <c r="QJ159" s="265"/>
      <c r="QK159" s="265"/>
      <c r="QQ159" s="18"/>
      <c r="QR159" s="19"/>
      <c r="QS159" s="39"/>
      <c r="QT159" s="39"/>
      <c r="QU159" s="39"/>
      <c r="QV159" s="39"/>
      <c r="QW159" s="40"/>
    </row>
    <row r="160" spans="3:465" ht="5.0999999999999996" customHeight="1" x14ac:dyDescent="0.3">
      <c r="C160" s="15"/>
      <c r="D160" s="16"/>
      <c r="J160" s="250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1"/>
      <c r="AG160" s="251"/>
      <c r="AH160" s="251"/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2"/>
      <c r="AY160" s="250"/>
      <c r="AZ160" s="251"/>
      <c r="BA160" s="251"/>
      <c r="BB160" s="251"/>
      <c r="BC160" s="252"/>
      <c r="BF160" s="250"/>
      <c r="BG160" s="251"/>
      <c r="BH160" s="251"/>
      <c r="BI160" s="251"/>
      <c r="BJ160" s="251"/>
      <c r="BK160" s="251"/>
      <c r="BL160" s="251"/>
      <c r="BM160" s="251"/>
      <c r="BN160" s="251"/>
      <c r="BO160" s="251"/>
      <c r="BP160" s="251"/>
      <c r="BQ160" s="251"/>
      <c r="BR160" s="251"/>
      <c r="BS160" s="251"/>
      <c r="BT160" s="251"/>
      <c r="BU160" s="251"/>
      <c r="BV160" s="251"/>
      <c r="BW160" s="251"/>
      <c r="BX160" s="251"/>
      <c r="BY160" s="251"/>
      <c r="BZ160" s="251"/>
      <c r="CA160" s="251"/>
      <c r="CB160" s="251"/>
      <c r="CC160" s="251"/>
      <c r="CD160" s="251"/>
      <c r="CE160" s="251"/>
      <c r="CF160" s="251"/>
      <c r="CG160" s="251"/>
      <c r="CH160" s="251"/>
      <c r="CI160" s="251"/>
      <c r="CJ160" s="251"/>
      <c r="CK160" s="251"/>
      <c r="CL160" s="251"/>
      <c r="CM160" s="251"/>
      <c r="CN160" s="251"/>
      <c r="CO160" s="251"/>
      <c r="CP160" s="251"/>
      <c r="CQ160" s="251"/>
      <c r="CR160" s="251"/>
      <c r="CS160" s="251"/>
      <c r="CT160" s="252"/>
      <c r="CU160" s="250"/>
      <c r="CV160" s="251"/>
      <c r="CW160" s="251"/>
      <c r="CX160" s="251"/>
      <c r="CY160" s="252"/>
      <c r="DB160" s="250"/>
      <c r="DC160" s="251"/>
      <c r="DD160" s="251"/>
      <c r="DE160" s="251"/>
      <c r="DF160" s="251"/>
      <c r="DG160" s="251"/>
      <c r="DH160" s="251"/>
      <c r="DI160" s="251"/>
      <c r="DJ160" s="251"/>
      <c r="DK160" s="251"/>
      <c r="DL160" s="251"/>
      <c r="DM160" s="251"/>
      <c r="DN160" s="251"/>
      <c r="DO160" s="251"/>
      <c r="DP160" s="251"/>
      <c r="DQ160" s="251"/>
      <c r="DR160" s="251"/>
      <c r="DS160" s="251"/>
      <c r="DT160" s="251"/>
      <c r="DU160" s="251"/>
      <c r="DV160" s="251"/>
      <c r="DW160" s="251"/>
      <c r="DX160" s="251"/>
      <c r="DY160" s="251"/>
      <c r="DZ160" s="251"/>
      <c r="EA160" s="251"/>
      <c r="EB160" s="251"/>
      <c r="EC160" s="251"/>
      <c r="ED160" s="251"/>
      <c r="EE160" s="251"/>
      <c r="EF160" s="251"/>
      <c r="EG160" s="251"/>
      <c r="EH160" s="251"/>
      <c r="EI160" s="251"/>
      <c r="EJ160" s="251"/>
      <c r="EK160" s="251"/>
      <c r="EL160" s="251"/>
      <c r="EM160" s="251"/>
      <c r="EN160" s="251"/>
      <c r="EO160" s="251"/>
      <c r="EP160" s="252"/>
      <c r="EQ160" s="250"/>
      <c r="ER160" s="251"/>
      <c r="ES160" s="251"/>
      <c r="ET160" s="251"/>
      <c r="EU160" s="252"/>
      <c r="EX160" s="250"/>
      <c r="EY160" s="251"/>
      <c r="EZ160" s="251"/>
      <c r="FA160" s="251"/>
      <c r="FB160" s="251"/>
      <c r="FC160" s="251"/>
      <c r="FD160" s="251"/>
      <c r="FE160" s="251"/>
      <c r="FF160" s="251"/>
      <c r="FG160" s="251"/>
      <c r="FH160" s="251"/>
      <c r="FI160" s="251"/>
      <c r="FJ160" s="251"/>
      <c r="FK160" s="251"/>
      <c r="FL160" s="251"/>
      <c r="FM160" s="251"/>
      <c r="FN160" s="251"/>
      <c r="FO160" s="251"/>
      <c r="FP160" s="251"/>
      <c r="FQ160" s="251"/>
      <c r="FR160" s="251"/>
      <c r="FS160" s="251"/>
      <c r="FT160" s="251"/>
      <c r="FU160" s="251"/>
      <c r="FV160" s="251"/>
      <c r="FW160" s="251"/>
      <c r="FX160" s="251"/>
      <c r="FY160" s="251"/>
      <c r="FZ160" s="251"/>
      <c r="GA160" s="251"/>
      <c r="GB160" s="251"/>
      <c r="GC160" s="251"/>
      <c r="GD160" s="251"/>
      <c r="GE160" s="251"/>
      <c r="GF160" s="251"/>
      <c r="GG160" s="251"/>
      <c r="GH160" s="251"/>
      <c r="GI160" s="251"/>
      <c r="GJ160" s="251"/>
      <c r="GK160" s="251"/>
      <c r="GL160" s="252"/>
      <c r="GM160" s="250"/>
      <c r="GN160" s="251"/>
      <c r="GO160" s="251"/>
      <c r="GP160" s="251"/>
      <c r="GQ160" s="252"/>
      <c r="GT160" s="250"/>
      <c r="GU160" s="251"/>
      <c r="GV160" s="251"/>
      <c r="GW160" s="251"/>
      <c r="GX160" s="251"/>
      <c r="GY160" s="251"/>
      <c r="GZ160" s="251"/>
      <c r="HA160" s="251"/>
      <c r="HB160" s="251"/>
      <c r="HC160" s="251"/>
      <c r="HD160" s="251"/>
      <c r="HE160" s="251"/>
      <c r="HF160" s="251"/>
      <c r="HG160" s="251"/>
      <c r="HH160" s="251"/>
      <c r="HI160" s="251"/>
      <c r="HJ160" s="251"/>
      <c r="HK160" s="251"/>
      <c r="HL160" s="251"/>
      <c r="HM160" s="251"/>
      <c r="HN160" s="251"/>
      <c r="HO160" s="251"/>
      <c r="HP160" s="251"/>
      <c r="HQ160" s="251"/>
      <c r="HR160" s="251"/>
      <c r="HS160" s="251"/>
      <c r="HT160" s="251"/>
      <c r="HU160" s="251"/>
      <c r="HV160" s="251"/>
      <c r="HW160" s="251"/>
      <c r="HX160" s="251"/>
      <c r="HY160" s="251"/>
      <c r="HZ160" s="251"/>
      <c r="IA160" s="251"/>
      <c r="IB160" s="251"/>
      <c r="IC160" s="251"/>
      <c r="ID160" s="251"/>
      <c r="IE160" s="251"/>
      <c r="IF160" s="251"/>
      <c r="IG160" s="251"/>
      <c r="IH160" s="252"/>
      <c r="II160" s="250"/>
      <c r="IJ160" s="251"/>
      <c r="IK160" s="251"/>
      <c r="IL160" s="251"/>
      <c r="IM160" s="252"/>
      <c r="OR160" s="259"/>
      <c r="OS160" s="260"/>
      <c r="OT160" s="260"/>
      <c r="OU160" s="260"/>
      <c r="OV160" s="260"/>
      <c r="OW160" s="260"/>
      <c r="OX160" s="260"/>
      <c r="OY160" s="260"/>
      <c r="OZ160" s="260"/>
      <c r="PA160" s="260"/>
      <c r="PB160" s="260"/>
      <c r="PC160" s="260"/>
      <c r="PD160" s="260"/>
      <c r="PE160" s="260"/>
      <c r="PF160" s="260"/>
      <c r="PG160" s="260"/>
      <c r="PH160" s="260"/>
      <c r="PI160" s="260"/>
      <c r="PJ160" s="260"/>
      <c r="PK160" s="260"/>
      <c r="PL160" s="260"/>
      <c r="PM160" s="260"/>
      <c r="PN160" s="260"/>
      <c r="PO160" s="260"/>
      <c r="PP160" s="260"/>
      <c r="PQ160" s="260"/>
      <c r="PR160" s="260"/>
      <c r="PS160" s="260"/>
      <c r="PT160" s="260"/>
      <c r="PU160" s="260"/>
      <c r="PV160" s="260"/>
      <c r="PW160" s="260"/>
      <c r="PX160" s="260"/>
      <c r="PY160" s="260"/>
      <c r="PZ160" s="260"/>
      <c r="QA160" s="260"/>
      <c r="QB160" s="260"/>
      <c r="QC160" s="260"/>
      <c r="QD160" s="260"/>
      <c r="QE160" s="260"/>
      <c r="QF160" s="265"/>
      <c r="QG160" s="265"/>
      <c r="QH160" s="265"/>
      <c r="QI160" s="265"/>
      <c r="QJ160" s="265"/>
      <c r="QK160" s="265"/>
      <c r="QQ160" s="18"/>
      <c r="QR160" s="19"/>
      <c r="QS160" s="39"/>
      <c r="QT160" s="39"/>
      <c r="QU160" s="39"/>
      <c r="QV160" s="39"/>
      <c r="QW160" s="40"/>
    </row>
    <row r="161" spans="3:465" ht="5.0999999999999996" customHeight="1" thickBot="1" x14ac:dyDescent="0.35">
      <c r="C161" s="15"/>
      <c r="D161" s="16"/>
      <c r="J161" s="250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  <c r="AA161" s="251"/>
      <c r="AB161" s="251"/>
      <c r="AC161" s="251"/>
      <c r="AD161" s="251"/>
      <c r="AE161" s="251"/>
      <c r="AF161" s="251"/>
      <c r="AG161" s="251"/>
      <c r="AH161" s="251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2"/>
      <c r="AY161" s="250"/>
      <c r="AZ161" s="251"/>
      <c r="BA161" s="251"/>
      <c r="BB161" s="251"/>
      <c r="BC161" s="252"/>
      <c r="BF161" s="250"/>
      <c r="BG161" s="251"/>
      <c r="BH161" s="251"/>
      <c r="BI161" s="251"/>
      <c r="BJ161" s="251"/>
      <c r="BK161" s="251"/>
      <c r="BL161" s="251"/>
      <c r="BM161" s="251"/>
      <c r="BN161" s="251"/>
      <c r="BO161" s="251"/>
      <c r="BP161" s="251"/>
      <c r="BQ161" s="251"/>
      <c r="BR161" s="251"/>
      <c r="BS161" s="251"/>
      <c r="BT161" s="251"/>
      <c r="BU161" s="251"/>
      <c r="BV161" s="251"/>
      <c r="BW161" s="251"/>
      <c r="BX161" s="251"/>
      <c r="BY161" s="251"/>
      <c r="BZ161" s="251"/>
      <c r="CA161" s="251"/>
      <c r="CB161" s="251"/>
      <c r="CC161" s="251"/>
      <c r="CD161" s="251"/>
      <c r="CE161" s="251"/>
      <c r="CF161" s="251"/>
      <c r="CG161" s="251"/>
      <c r="CH161" s="251"/>
      <c r="CI161" s="251"/>
      <c r="CJ161" s="251"/>
      <c r="CK161" s="251"/>
      <c r="CL161" s="251"/>
      <c r="CM161" s="251"/>
      <c r="CN161" s="251"/>
      <c r="CO161" s="251"/>
      <c r="CP161" s="251"/>
      <c r="CQ161" s="251"/>
      <c r="CR161" s="251"/>
      <c r="CS161" s="251"/>
      <c r="CT161" s="252"/>
      <c r="CU161" s="250"/>
      <c r="CV161" s="251"/>
      <c r="CW161" s="251"/>
      <c r="CX161" s="251"/>
      <c r="CY161" s="252"/>
      <c r="DB161" s="250"/>
      <c r="DC161" s="251"/>
      <c r="DD161" s="251"/>
      <c r="DE161" s="251"/>
      <c r="DF161" s="251"/>
      <c r="DG161" s="251"/>
      <c r="DH161" s="251"/>
      <c r="DI161" s="251"/>
      <c r="DJ161" s="251"/>
      <c r="DK161" s="251"/>
      <c r="DL161" s="251"/>
      <c r="DM161" s="251"/>
      <c r="DN161" s="251"/>
      <c r="DO161" s="251"/>
      <c r="DP161" s="251"/>
      <c r="DQ161" s="251"/>
      <c r="DR161" s="251"/>
      <c r="DS161" s="251"/>
      <c r="DT161" s="251"/>
      <c r="DU161" s="251"/>
      <c r="DV161" s="251"/>
      <c r="DW161" s="251"/>
      <c r="DX161" s="251"/>
      <c r="DY161" s="251"/>
      <c r="DZ161" s="251"/>
      <c r="EA161" s="251"/>
      <c r="EB161" s="251"/>
      <c r="EC161" s="251"/>
      <c r="ED161" s="251"/>
      <c r="EE161" s="251"/>
      <c r="EF161" s="251"/>
      <c r="EG161" s="251"/>
      <c r="EH161" s="251"/>
      <c r="EI161" s="251"/>
      <c r="EJ161" s="251"/>
      <c r="EK161" s="251"/>
      <c r="EL161" s="251"/>
      <c r="EM161" s="251"/>
      <c r="EN161" s="251"/>
      <c r="EO161" s="251"/>
      <c r="EP161" s="252"/>
      <c r="EQ161" s="250"/>
      <c r="ER161" s="251"/>
      <c r="ES161" s="251"/>
      <c r="ET161" s="251"/>
      <c r="EU161" s="252"/>
      <c r="EX161" s="250"/>
      <c r="EY161" s="251"/>
      <c r="EZ161" s="251"/>
      <c r="FA161" s="251"/>
      <c r="FB161" s="251"/>
      <c r="FC161" s="251"/>
      <c r="FD161" s="251"/>
      <c r="FE161" s="251"/>
      <c r="FF161" s="251"/>
      <c r="FG161" s="251"/>
      <c r="FH161" s="251"/>
      <c r="FI161" s="251"/>
      <c r="FJ161" s="251"/>
      <c r="FK161" s="251"/>
      <c r="FL161" s="251"/>
      <c r="FM161" s="251"/>
      <c r="FN161" s="251"/>
      <c r="FO161" s="251"/>
      <c r="FP161" s="251"/>
      <c r="FQ161" s="251"/>
      <c r="FR161" s="251"/>
      <c r="FS161" s="251"/>
      <c r="FT161" s="251"/>
      <c r="FU161" s="251"/>
      <c r="FV161" s="251"/>
      <c r="FW161" s="251"/>
      <c r="FX161" s="251"/>
      <c r="FY161" s="251"/>
      <c r="FZ161" s="251"/>
      <c r="GA161" s="251"/>
      <c r="GB161" s="251"/>
      <c r="GC161" s="251"/>
      <c r="GD161" s="251"/>
      <c r="GE161" s="251"/>
      <c r="GF161" s="251"/>
      <c r="GG161" s="251"/>
      <c r="GH161" s="251"/>
      <c r="GI161" s="251"/>
      <c r="GJ161" s="251"/>
      <c r="GK161" s="251"/>
      <c r="GL161" s="252"/>
      <c r="GM161" s="250"/>
      <c r="GN161" s="251"/>
      <c r="GO161" s="251"/>
      <c r="GP161" s="251"/>
      <c r="GQ161" s="252"/>
      <c r="GT161" s="250"/>
      <c r="GU161" s="251"/>
      <c r="GV161" s="251"/>
      <c r="GW161" s="251"/>
      <c r="GX161" s="251"/>
      <c r="GY161" s="251"/>
      <c r="GZ161" s="251"/>
      <c r="HA161" s="251"/>
      <c r="HB161" s="251"/>
      <c r="HC161" s="251"/>
      <c r="HD161" s="251"/>
      <c r="HE161" s="251"/>
      <c r="HF161" s="251"/>
      <c r="HG161" s="251"/>
      <c r="HH161" s="251"/>
      <c r="HI161" s="251"/>
      <c r="HJ161" s="251"/>
      <c r="HK161" s="251"/>
      <c r="HL161" s="251"/>
      <c r="HM161" s="251"/>
      <c r="HN161" s="251"/>
      <c r="HO161" s="251"/>
      <c r="HP161" s="251"/>
      <c r="HQ161" s="251"/>
      <c r="HR161" s="251"/>
      <c r="HS161" s="251"/>
      <c r="HT161" s="251"/>
      <c r="HU161" s="251"/>
      <c r="HV161" s="251"/>
      <c r="HW161" s="251"/>
      <c r="HX161" s="251"/>
      <c r="HY161" s="251"/>
      <c r="HZ161" s="251"/>
      <c r="IA161" s="251"/>
      <c r="IB161" s="251"/>
      <c r="IC161" s="251"/>
      <c r="ID161" s="251"/>
      <c r="IE161" s="251"/>
      <c r="IF161" s="251"/>
      <c r="IG161" s="251"/>
      <c r="IH161" s="252"/>
      <c r="II161" s="250"/>
      <c r="IJ161" s="251"/>
      <c r="IK161" s="251"/>
      <c r="IL161" s="251"/>
      <c r="IM161" s="252"/>
      <c r="OR161" s="262"/>
      <c r="OS161" s="263"/>
      <c r="OT161" s="263"/>
      <c r="OU161" s="263"/>
      <c r="OV161" s="263"/>
      <c r="OW161" s="263"/>
      <c r="OX161" s="263"/>
      <c r="OY161" s="263"/>
      <c r="OZ161" s="263"/>
      <c r="PA161" s="263"/>
      <c r="PB161" s="263"/>
      <c r="PC161" s="263"/>
      <c r="PD161" s="263"/>
      <c r="PE161" s="263"/>
      <c r="PF161" s="263"/>
      <c r="PG161" s="263"/>
      <c r="PH161" s="263"/>
      <c r="PI161" s="263"/>
      <c r="PJ161" s="263"/>
      <c r="PK161" s="263"/>
      <c r="PL161" s="263"/>
      <c r="PM161" s="263"/>
      <c r="PN161" s="263"/>
      <c r="PO161" s="263"/>
      <c r="PP161" s="263"/>
      <c r="PQ161" s="263"/>
      <c r="PR161" s="263"/>
      <c r="PS161" s="263"/>
      <c r="PT161" s="263"/>
      <c r="PU161" s="263"/>
      <c r="PV161" s="263"/>
      <c r="PW161" s="263"/>
      <c r="PX161" s="263"/>
      <c r="PY161" s="263"/>
      <c r="PZ161" s="263"/>
      <c r="QA161" s="263"/>
      <c r="QB161" s="263"/>
      <c r="QC161" s="263"/>
      <c r="QD161" s="263"/>
      <c r="QE161" s="263"/>
      <c r="QF161" s="265"/>
      <c r="QG161" s="265"/>
      <c r="QH161" s="265"/>
      <c r="QI161" s="265"/>
      <c r="QJ161" s="265"/>
      <c r="QK161" s="265"/>
      <c r="QQ161" s="18"/>
      <c r="QR161" s="19"/>
      <c r="QS161" s="39"/>
      <c r="QT161" s="39"/>
      <c r="QU161" s="39"/>
      <c r="QV161" s="39"/>
      <c r="QW161" s="40"/>
    </row>
    <row r="162" spans="3:465" ht="5.0999999999999996" customHeight="1" x14ac:dyDescent="0.3">
      <c r="C162" s="15"/>
      <c r="D162" s="16"/>
      <c r="J162" s="253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  <c r="AA162" s="254"/>
      <c r="AB162" s="254"/>
      <c r="AC162" s="254"/>
      <c r="AD162" s="254"/>
      <c r="AE162" s="254"/>
      <c r="AF162" s="254"/>
      <c r="AG162" s="254"/>
      <c r="AH162" s="254"/>
      <c r="AI162" s="254"/>
      <c r="AJ162" s="254"/>
      <c r="AK162" s="254"/>
      <c r="AL162" s="254"/>
      <c r="AM162" s="254"/>
      <c r="AN162" s="254"/>
      <c r="AO162" s="254"/>
      <c r="AP162" s="254"/>
      <c r="AQ162" s="254"/>
      <c r="AR162" s="254"/>
      <c r="AS162" s="254"/>
      <c r="AT162" s="254"/>
      <c r="AU162" s="254"/>
      <c r="AV162" s="254"/>
      <c r="AW162" s="254"/>
      <c r="AX162" s="255"/>
      <c r="AY162" s="253"/>
      <c r="AZ162" s="254"/>
      <c r="BA162" s="254"/>
      <c r="BB162" s="254"/>
      <c r="BC162" s="255"/>
      <c r="BF162" s="253"/>
      <c r="BG162" s="254"/>
      <c r="BH162" s="254"/>
      <c r="BI162" s="254"/>
      <c r="BJ162" s="254"/>
      <c r="BK162" s="254"/>
      <c r="BL162" s="254"/>
      <c r="BM162" s="254"/>
      <c r="BN162" s="254"/>
      <c r="BO162" s="254"/>
      <c r="BP162" s="254"/>
      <c r="BQ162" s="254"/>
      <c r="BR162" s="254"/>
      <c r="BS162" s="254"/>
      <c r="BT162" s="254"/>
      <c r="BU162" s="254"/>
      <c r="BV162" s="254"/>
      <c r="BW162" s="254"/>
      <c r="BX162" s="254"/>
      <c r="BY162" s="254"/>
      <c r="BZ162" s="254"/>
      <c r="CA162" s="254"/>
      <c r="CB162" s="254"/>
      <c r="CC162" s="254"/>
      <c r="CD162" s="254"/>
      <c r="CE162" s="254"/>
      <c r="CF162" s="254"/>
      <c r="CG162" s="254"/>
      <c r="CH162" s="254"/>
      <c r="CI162" s="254"/>
      <c r="CJ162" s="254"/>
      <c r="CK162" s="254"/>
      <c r="CL162" s="254"/>
      <c r="CM162" s="254"/>
      <c r="CN162" s="254"/>
      <c r="CO162" s="254"/>
      <c r="CP162" s="254"/>
      <c r="CQ162" s="254"/>
      <c r="CR162" s="254"/>
      <c r="CS162" s="254"/>
      <c r="CT162" s="255"/>
      <c r="CU162" s="253"/>
      <c r="CV162" s="254"/>
      <c r="CW162" s="254"/>
      <c r="CX162" s="254"/>
      <c r="CY162" s="255"/>
      <c r="DB162" s="253"/>
      <c r="DC162" s="254"/>
      <c r="DD162" s="254"/>
      <c r="DE162" s="254"/>
      <c r="DF162" s="254"/>
      <c r="DG162" s="254"/>
      <c r="DH162" s="254"/>
      <c r="DI162" s="254"/>
      <c r="DJ162" s="254"/>
      <c r="DK162" s="254"/>
      <c r="DL162" s="254"/>
      <c r="DM162" s="254"/>
      <c r="DN162" s="254"/>
      <c r="DO162" s="254"/>
      <c r="DP162" s="254"/>
      <c r="DQ162" s="254"/>
      <c r="DR162" s="254"/>
      <c r="DS162" s="254"/>
      <c r="DT162" s="254"/>
      <c r="DU162" s="254"/>
      <c r="DV162" s="254"/>
      <c r="DW162" s="254"/>
      <c r="DX162" s="254"/>
      <c r="DY162" s="254"/>
      <c r="DZ162" s="254"/>
      <c r="EA162" s="254"/>
      <c r="EB162" s="254"/>
      <c r="EC162" s="254"/>
      <c r="ED162" s="254"/>
      <c r="EE162" s="254"/>
      <c r="EF162" s="254"/>
      <c r="EG162" s="254"/>
      <c r="EH162" s="254"/>
      <c r="EI162" s="254"/>
      <c r="EJ162" s="254"/>
      <c r="EK162" s="254"/>
      <c r="EL162" s="254"/>
      <c r="EM162" s="254"/>
      <c r="EN162" s="254"/>
      <c r="EO162" s="254"/>
      <c r="EP162" s="255"/>
      <c r="EQ162" s="253"/>
      <c r="ER162" s="254"/>
      <c r="ES162" s="254"/>
      <c r="ET162" s="254"/>
      <c r="EU162" s="255"/>
      <c r="EX162" s="253"/>
      <c r="EY162" s="254"/>
      <c r="EZ162" s="254"/>
      <c r="FA162" s="254"/>
      <c r="FB162" s="254"/>
      <c r="FC162" s="254"/>
      <c r="FD162" s="254"/>
      <c r="FE162" s="254"/>
      <c r="FF162" s="254"/>
      <c r="FG162" s="254"/>
      <c r="FH162" s="254"/>
      <c r="FI162" s="254"/>
      <c r="FJ162" s="254"/>
      <c r="FK162" s="254"/>
      <c r="FL162" s="254"/>
      <c r="FM162" s="254"/>
      <c r="FN162" s="254"/>
      <c r="FO162" s="254"/>
      <c r="FP162" s="254"/>
      <c r="FQ162" s="254"/>
      <c r="FR162" s="254"/>
      <c r="FS162" s="254"/>
      <c r="FT162" s="254"/>
      <c r="FU162" s="254"/>
      <c r="FV162" s="254"/>
      <c r="FW162" s="254"/>
      <c r="FX162" s="254"/>
      <c r="FY162" s="254"/>
      <c r="FZ162" s="254"/>
      <c r="GA162" s="254"/>
      <c r="GB162" s="254"/>
      <c r="GC162" s="254"/>
      <c r="GD162" s="254"/>
      <c r="GE162" s="254"/>
      <c r="GF162" s="254"/>
      <c r="GG162" s="254"/>
      <c r="GH162" s="254"/>
      <c r="GI162" s="254"/>
      <c r="GJ162" s="254"/>
      <c r="GK162" s="254"/>
      <c r="GL162" s="255"/>
      <c r="GM162" s="253"/>
      <c r="GN162" s="254"/>
      <c r="GO162" s="254"/>
      <c r="GP162" s="254"/>
      <c r="GQ162" s="255"/>
      <c r="GT162" s="253"/>
      <c r="GU162" s="254"/>
      <c r="GV162" s="254"/>
      <c r="GW162" s="254"/>
      <c r="GX162" s="254"/>
      <c r="GY162" s="254"/>
      <c r="GZ162" s="254"/>
      <c r="HA162" s="254"/>
      <c r="HB162" s="254"/>
      <c r="HC162" s="254"/>
      <c r="HD162" s="254"/>
      <c r="HE162" s="254"/>
      <c r="HF162" s="254"/>
      <c r="HG162" s="254"/>
      <c r="HH162" s="254"/>
      <c r="HI162" s="254"/>
      <c r="HJ162" s="254"/>
      <c r="HK162" s="254"/>
      <c r="HL162" s="254"/>
      <c r="HM162" s="254"/>
      <c r="HN162" s="254"/>
      <c r="HO162" s="254"/>
      <c r="HP162" s="254"/>
      <c r="HQ162" s="254"/>
      <c r="HR162" s="254"/>
      <c r="HS162" s="254"/>
      <c r="HT162" s="254"/>
      <c r="HU162" s="254"/>
      <c r="HV162" s="254"/>
      <c r="HW162" s="254"/>
      <c r="HX162" s="254"/>
      <c r="HY162" s="254"/>
      <c r="HZ162" s="254"/>
      <c r="IA162" s="254"/>
      <c r="IB162" s="254"/>
      <c r="IC162" s="254"/>
      <c r="ID162" s="254"/>
      <c r="IE162" s="254"/>
      <c r="IF162" s="254"/>
      <c r="IG162" s="254"/>
      <c r="IH162" s="255"/>
      <c r="II162" s="253"/>
      <c r="IJ162" s="254"/>
      <c r="IK162" s="254"/>
      <c r="IL162" s="254"/>
      <c r="IM162" s="255"/>
      <c r="OR162" s="247" t="s">
        <v>57</v>
      </c>
      <c r="OS162" s="248"/>
      <c r="OT162" s="248"/>
      <c r="OU162" s="248"/>
      <c r="OV162" s="248"/>
      <c r="OW162" s="248"/>
      <c r="OX162" s="248"/>
      <c r="OY162" s="248"/>
      <c r="OZ162" s="248"/>
      <c r="PA162" s="248"/>
      <c r="PB162" s="248"/>
      <c r="PC162" s="248"/>
      <c r="PD162" s="248"/>
      <c r="PE162" s="248"/>
      <c r="PF162" s="248"/>
      <c r="PG162" s="248"/>
      <c r="PH162" s="248"/>
      <c r="PI162" s="248"/>
      <c r="PJ162" s="248"/>
      <c r="PK162" s="248"/>
      <c r="PL162" s="248"/>
      <c r="PM162" s="248"/>
      <c r="PN162" s="248"/>
      <c r="PO162" s="248"/>
      <c r="PP162" s="248"/>
      <c r="PQ162" s="248"/>
      <c r="PR162" s="248"/>
      <c r="PS162" s="248"/>
      <c r="PT162" s="248"/>
      <c r="PU162" s="248"/>
      <c r="PV162" s="248"/>
      <c r="PW162" s="248"/>
      <c r="PX162" s="248"/>
      <c r="PY162" s="248"/>
      <c r="PZ162" s="248"/>
      <c r="QA162" s="248"/>
      <c r="QB162" s="248"/>
      <c r="QC162" s="248"/>
      <c r="QD162" s="248"/>
      <c r="QE162" s="248"/>
      <c r="QF162" s="250">
        <v>19</v>
      </c>
      <c r="QG162" s="251"/>
      <c r="QH162" s="251"/>
      <c r="QI162" s="251"/>
      <c r="QJ162" s="251"/>
      <c r="QK162" s="252"/>
      <c r="QL162" s="51"/>
      <c r="QQ162" s="18"/>
      <c r="QR162" s="19"/>
      <c r="QS162" s="39"/>
      <c r="QT162" s="39"/>
      <c r="QU162" s="39"/>
      <c r="QV162" s="39"/>
      <c r="QW162" s="40"/>
    </row>
    <row r="163" spans="3:465" ht="5.0999999999999996" customHeight="1" x14ac:dyDescent="0.3">
      <c r="C163" s="15"/>
      <c r="D163" s="16"/>
      <c r="J163" s="247" t="s">
        <v>58</v>
      </c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  <c r="AA163" s="248"/>
      <c r="AB163" s="248"/>
      <c r="AC163" s="248"/>
      <c r="AD163" s="248"/>
      <c r="AE163" s="248"/>
      <c r="AF163" s="248"/>
      <c r="AG163" s="248"/>
      <c r="AH163" s="248"/>
      <c r="AI163" s="248"/>
      <c r="AJ163" s="248"/>
      <c r="AK163" s="248"/>
      <c r="AL163" s="248"/>
      <c r="AM163" s="248"/>
      <c r="AN163" s="248"/>
      <c r="AO163" s="248"/>
      <c r="AP163" s="248"/>
      <c r="AQ163" s="248"/>
      <c r="AR163" s="248"/>
      <c r="AS163" s="248"/>
      <c r="AT163" s="248"/>
      <c r="AU163" s="248"/>
      <c r="AV163" s="248"/>
      <c r="AW163" s="248"/>
      <c r="AX163" s="249"/>
      <c r="AY163" s="247">
        <v>3</v>
      </c>
      <c r="AZ163" s="248"/>
      <c r="BA163" s="248"/>
      <c r="BB163" s="248"/>
      <c r="BC163" s="249"/>
      <c r="EX163" s="247" t="s">
        <v>59</v>
      </c>
      <c r="EY163" s="248"/>
      <c r="EZ163" s="248"/>
      <c r="FA163" s="248"/>
      <c r="FB163" s="248"/>
      <c r="FC163" s="248"/>
      <c r="FD163" s="248"/>
      <c r="FE163" s="248"/>
      <c r="FF163" s="248"/>
      <c r="FG163" s="248"/>
      <c r="FH163" s="248"/>
      <c r="FI163" s="248"/>
      <c r="FJ163" s="248"/>
      <c r="FK163" s="248"/>
      <c r="FL163" s="248"/>
      <c r="FM163" s="248"/>
      <c r="FN163" s="248"/>
      <c r="FO163" s="248"/>
      <c r="FP163" s="248"/>
      <c r="FQ163" s="248"/>
      <c r="FR163" s="248"/>
      <c r="FS163" s="248"/>
      <c r="FT163" s="248"/>
      <c r="FU163" s="248"/>
      <c r="FV163" s="248"/>
      <c r="FW163" s="248"/>
      <c r="FX163" s="248"/>
      <c r="FY163" s="248"/>
      <c r="FZ163" s="248"/>
      <c r="GA163" s="248"/>
      <c r="GB163" s="248"/>
      <c r="GC163" s="248"/>
      <c r="GD163" s="248"/>
      <c r="GE163" s="248"/>
      <c r="GF163" s="248"/>
      <c r="GG163" s="248"/>
      <c r="GH163" s="248"/>
      <c r="GI163" s="248"/>
      <c r="GJ163" s="248"/>
      <c r="GK163" s="248"/>
      <c r="GL163" s="249"/>
      <c r="GM163" s="247">
        <v>2</v>
      </c>
      <c r="GN163" s="248"/>
      <c r="GO163" s="248"/>
      <c r="GP163" s="248"/>
      <c r="GQ163" s="249"/>
      <c r="OR163" s="250"/>
      <c r="OS163" s="251"/>
      <c r="OT163" s="251"/>
      <c r="OU163" s="251"/>
      <c r="OV163" s="251"/>
      <c r="OW163" s="251"/>
      <c r="OX163" s="251"/>
      <c r="OY163" s="251"/>
      <c r="OZ163" s="251"/>
      <c r="PA163" s="251"/>
      <c r="PB163" s="251"/>
      <c r="PC163" s="251"/>
      <c r="PD163" s="251"/>
      <c r="PE163" s="251"/>
      <c r="PF163" s="251"/>
      <c r="PG163" s="251"/>
      <c r="PH163" s="251"/>
      <c r="PI163" s="251"/>
      <c r="PJ163" s="251"/>
      <c r="PK163" s="251"/>
      <c r="PL163" s="251"/>
      <c r="PM163" s="251"/>
      <c r="PN163" s="251"/>
      <c r="PO163" s="251"/>
      <c r="PP163" s="251"/>
      <c r="PQ163" s="251"/>
      <c r="PR163" s="251"/>
      <c r="PS163" s="251"/>
      <c r="PT163" s="251"/>
      <c r="PU163" s="251"/>
      <c r="PV163" s="251"/>
      <c r="PW163" s="251"/>
      <c r="PX163" s="251"/>
      <c r="PY163" s="251"/>
      <c r="PZ163" s="251"/>
      <c r="QA163" s="251"/>
      <c r="QB163" s="251"/>
      <c r="QC163" s="251"/>
      <c r="QD163" s="251"/>
      <c r="QE163" s="251"/>
      <c r="QF163" s="250"/>
      <c r="QG163" s="251"/>
      <c r="QH163" s="251"/>
      <c r="QI163" s="251"/>
      <c r="QJ163" s="251"/>
      <c r="QK163" s="252"/>
      <c r="QL163" s="52"/>
      <c r="QQ163" s="18"/>
      <c r="QR163" s="19"/>
      <c r="QS163" s="39"/>
      <c r="QT163" s="39"/>
      <c r="QU163" s="39"/>
      <c r="QV163" s="39"/>
      <c r="QW163" s="40"/>
    </row>
    <row r="164" spans="3:465" ht="5.0999999999999996" customHeight="1" x14ac:dyDescent="0.3">
      <c r="C164" s="15"/>
      <c r="D164" s="16"/>
      <c r="J164" s="250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51"/>
      <c r="AC164" s="251"/>
      <c r="AD164" s="251"/>
      <c r="AE164" s="251"/>
      <c r="AF164" s="251"/>
      <c r="AG164" s="251"/>
      <c r="AH164" s="251"/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2"/>
      <c r="AY164" s="250"/>
      <c r="AZ164" s="251"/>
      <c r="BA164" s="251"/>
      <c r="BB164" s="251"/>
      <c r="BC164" s="252"/>
      <c r="EX164" s="250"/>
      <c r="EY164" s="251"/>
      <c r="EZ164" s="251"/>
      <c r="FA164" s="251"/>
      <c r="FB164" s="251"/>
      <c r="FC164" s="251"/>
      <c r="FD164" s="251"/>
      <c r="FE164" s="251"/>
      <c r="FF164" s="251"/>
      <c r="FG164" s="251"/>
      <c r="FH164" s="251"/>
      <c r="FI164" s="251"/>
      <c r="FJ164" s="251"/>
      <c r="FK164" s="251"/>
      <c r="FL164" s="251"/>
      <c r="FM164" s="251"/>
      <c r="FN164" s="251"/>
      <c r="FO164" s="251"/>
      <c r="FP164" s="251"/>
      <c r="FQ164" s="251"/>
      <c r="FR164" s="251"/>
      <c r="FS164" s="251"/>
      <c r="FT164" s="251"/>
      <c r="FU164" s="251"/>
      <c r="FV164" s="251"/>
      <c r="FW164" s="251"/>
      <c r="FX164" s="251"/>
      <c r="FY164" s="251"/>
      <c r="FZ164" s="251"/>
      <c r="GA164" s="251"/>
      <c r="GB164" s="251"/>
      <c r="GC164" s="251"/>
      <c r="GD164" s="251"/>
      <c r="GE164" s="251"/>
      <c r="GF164" s="251"/>
      <c r="GG164" s="251"/>
      <c r="GH164" s="251"/>
      <c r="GI164" s="251"/>
      <c r="GJ164" s="251"/>
      <c r="GK164" s="251"/>
      <c r="GL164" s="252"/>
      <c r="GM164" s="250"/>
      <c r="GN164" s="251"/>
      <c r="GO164" s="251"/>
      <c r="GP164" s="251"/>
      <c r="GQ164" s="252"/>
      <c r="OR164" s="250"/>
      <c r="OS164" s="251"/>
      <c r="OT164" s="251"/>
      <c r="OU164" s="251"/>
      <c r="OV164" s="251"/>
      <c r="OW164" s="251"/>
      <c r="OX164" s="251"/>
      <c r="OY164" s="251"/>
      <c r="OZ164" s="251"/>
      <c r="PA164" s="251"/>
      <c r="PB164" s="251"/>
      <c r="PC164" s="251"/>
      <c r="PD164" s="251"/>
      <c r="PE164" s="251"/>
      <c r="PF164" s="251"/>
      <c r="PG164" s="251"/>
      <c r="PH164" s="251"/>
      <c r="PI164" s="251"/>
      <c r="PJ164" s="251"/>
      <c r="PK164" s="251"/>
      <c r="PL164" s="251"/>
      <c r="PM164" s="251"/>
      <c r="PN164" s="251"/>
      <c r="PO164" s="251"/>
      <c r="PP164" s="251"/>
      <c r="PQ164" s="251"/>
      <c r="PR164" s="251"/>
      <c r="PS164" s="251"/>
      <c r="PT164" s="251"/>
      <c r="PU164" s="251"/>
      <c r="PV164" s="251"/>
      <c r="PW164" s="251"/>
      <c r="PX164" s="251"/>
      <c r="PY164" s="251"/>
      <c r="PZ164" s="251"/>
      <c r="QA164" s="251"/>
      <c r="QB164" s="251"/>
      <c r="QC164" s="251"/>
      <c r="QD164" s="251"/>
      <c r="QE164" s="251"/>
      <c r="QF164" s="250"/>
      <c r="QG164" s="251"/>
      <c r="QH164" s="251"/>
      <c r="QI164" s="251"/>
      <c r="QJ164" s="251"/>
      <c r="QK164" s="252"/>
      <c r="QL164" s="52"/>
      <c r="QQ164" s="18"/>
      <c r="QR164" s="19"/>
      <c r="QS164" s="39"/>
      <c r="QT164" s="39"/>
      <c r="QU164" s="39"/>
      <c r="QV164" s="39"/>
      <c r="QW164" s="40"/>
    </row>
    <row r="165" spans="3:465" ht="5.0999999999999996" customHeight="1" x14ac:dyDescent="0.3">
      <c r="C165" s="15"/>
      <c r="D165" s="16"/>
      <c r="J165" s="250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  <c r="AA165" s="251"/>
      <c r="AB165" s="251"/>
      <c r="AC165" s="251"/>
      <c r="AD165" s="251"/>
      <c r="AE165" s="251"/>
      <c r="AF165" s="251"/>
      <c r="AG165" s="251"/>
      <c r="AH165" s="251"/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2"/>
      <c r="AY165" s="250"/>
      <c r="AZ165" s="251"/>
      <c r="BA165" s="251"/>
      <c r="BB165" s="251"/>
      <c r="BC165" s="252"/>
      <c r="EX165" s="250"/>
      <c r="EY165" s="251"/>
      <c r="EZ165" s="251"/>
      <c r="FA165" s="251"/>
      <c r="FB165" s="251"/>
      <c r="FC165" s="251"/>
      <c r="FD165" s="251"/>
      <c r="FE165" s="251"/>
      <c r="FF165" s="251"/>
      <c r="FG165" s="251"/>
      <c r="FH165" s="251"/>
      <c r="FI165" s="251"/>
      <c r="FJ165" s="251"/>
      <c r="FK165" s="251"/>
      <c r="FL165" s="251"/>
      <c r="FM165" s="251"/>
      <c r="FN165" s="251"/>
      <c r="FO165" s="251"/>
      <c r="FP165" s="251"/>
      <c r="FQ165" s="251"/>
      <c r="FR165" s="251"/>
      <c r="FS165" s="251"/>
      <c r="FT165" s="251"/>
      <c r="FU165" s="251"/>
      <c r="FV165" s="251"/>
      <c r="FW165" s="251"/>
      <c r="FX165" s="251"/>
      <c r="FY165" s="251"/>
      <c r="FZ165" s="251"/>
      <c r="GA165" s="251"/>
      <c r="GB165" s="251"/>
      <c r="GC165" s="251"/>
      <c r="GD165" s="251"/>
      <c r="GE165" s="251"/>
      <c r="GF165" s="251"/>
      <c r="GG165" s="251"/>
      <c r="GH165" s="251"/>
      <c r="GI165" s="251"/>
      <c r="GJ165" s="251"/>
      <c r="GK165" s="251"/>
      <c r="GL165" s="252"/>
      <c r="GM165" s="250"/>
      <c r="GN165" s="251"/>
      <c r="GO165" s="251"/>
      <c r="GP165" s="251"/>
      <c r="GQ165" s="252"/>
      <c r="OR165" s="250"/>
      <c r="OS165" s="251"/>
      <c r="OT165" s="251"/>
      <c r="OU165" s="251"/>
      <c r="OV165" s="251"/>
      <c r="OW165" s="251"/>
      <c r="OX165" s="251"/>
      <c r="OY165" s="251"/>
      <c r="OZ165" s="251"/>
      <c r="PA165" s="251"/>
      <c r="PB165" s="251"/>
      <c r="PC165" s="251"/>
      <c r="PD165" s="251"/>
      <c r="PE165" s="251"/>
      <c r="PF165" s="251"/>
      <c r="PG165" s="251"/>
      <c r="PH165" s="251"/>
      <c r="PI165" s="251"/>
      <c r="PJ165" s="251"/>
      <c r="PK165" s="251"/>
      <c r="PL165" s="251"/>
      <c r="PM165" s="251"/>
      <c r="PN165" s="251"/>
      <c r="PO165" s="251"/>
      <c r="PP165" s="251"/>
      <c r="PQ165" s="251"/>
      <c r="PR165" s="251"/>
      <c r="PS165" s="251"/>
      <c r="PT165" s="251"/>
      <c r="PU165" s="251"/>
      <c r="PV165" s="251"/>
      <c r="PW165" s="251"/>
      <c r="PX165" s="251"/>
      <c r="PY165" s="251"/>
      <c r="PZ165" s="251"/>
      <c r="QA165" s="251"/>
      <c r="QB165" s="251"/>
      <c r="QC165" s="251"/>
      <c r="QD165" s="251"/>
      <c r="QE165" s="251"/>
      <c r="QF165" s="250"/>
      <c r="QG165" s="251"/>
      <c r="QH165" s="251"/>
      <c r="QI165" s="251"/>
      <c r="QJ165" s="251"/>
      <c r="QK165" s="252"/>
      <c r="QL165" s="24"/>
      <c r="QQ165" s="18"/>
      <c r="QR165" s="19"/>
      <c r="QS165" s="39"/>
      <c r="QT165" s="39"/>
      <c r="QU165" s="39"/>
      <c r="QV165" s="39"/>
      <c r="QW165" s="40"/>
    </row>
    <row r="166" spans="3:465" ht="5.0999999999999996" customHeight="1" x14ac:dyDescent="0.3">
      <c r="C166" s="15"/>
      <c r="D166" s="16"/>
      <c r="J166" s="250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  <c r="AA166" s="251"/>
      <c r="AB166" s="251"/>
      <c r="AC166" s="251"/>
      <c r="AD166" s="251"/>
      <c r="AE166" s="251"/>
      <c r="AF166" s="251"/>
      <c r="AG166" s="251"/>
      <c r="AH166" s="251"/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2"/>
      <c r="AY166" s="250"/>
      <c r="AZ166" s="251"/>
      <c r="BA166" s="251"/>
      <c r="BB166" s="251"/>
      <c r="BC166" s="252"/>
      <c r="EX166" s="250"/>
      <c r="EY166" s="251"/>
      <c r="EZ166" s="251"/>
      <c r="FA166" s="251"/>
      <c r="FB166" s="251"/>
      <c r="FC166" s="251"/>
      <c r="FD166" s="251"/>
      <c r="FE166" s="251"/>
      <c r="FF166" s="251"/>
      <c r="FG166" s="251"/>
      <c r="FH166" s="251"/>
      <c r="FI166" s="251"/>
      <c r="FJ166" s="251"/>
      <c r="FK166" s="251"/>
      <c r="FL166" s="251"/>
      <c r="FM166" s="251"/>
      <c r="FN166" s="251"/>
      <c r="FO166" s="251"/>
      <c r="FP166" s="251"/>
      <c r="FQ166" s="251"/>
      <c r="FR166" s="251"/>
      <c r="FS166" s="251"/>
      <c r="FT166" s="251"/>
      <c r="FU166" s="251"/>
      <c r="FV166" s="251"/>
      <c r="FW166" s="251"/>
      <c r="FX166" s="251"/>
      <c r="FY166" s="251"/>
      <c r="FZ166" s="251"/>
      <c r="GA166" s="251"/>
      <c r="GB166" s="251"/>
      <c r="GC166" s="251"/>
      <c r="GD166" s="251"/>
      <c r="GE166" s="251"/>
      <c r="GF166" s="251"/>
      <c r="GG166" s="251"/>
      <c r="GH166" s="251"/>
      <c r="GI166" s="251"/>
      <c r="GJ166" s="251"/>
      <c r="GK166" s="251"/>
      <c r="GL166" s="252"/>
      <c r="GM166" s="250"/>
      <c r="GN166" s="251"/>
      <c r="GO166" s="251"/>
      <c r="GP166" s="251"/>
      <c r="GQ166" s="252"/>
      <c r="OR166" s="250"/>
      <c r="OS166" s="251"/>
      <c r="OT166" s="251"/>
      <c r="OU166" s="251"/>
      <c r="OV166" s="251"/>
      <c r="OW166" s="251"/>
      <c r="OX166" s="251"/>
      <c r="OY166" s="251"/>
      <c r="OZ166" s="251"/>
      <c r="PA166" s="251"/>
      <c r="PB166" s="251"/>
      <c r="PC166" s="251"/>
      <c r="PD166" s="251"/>
      <c r="PE166" s="251"/>
      <c r="PF166" s="251"/>
      <c r="PG166" s="251"/>
      <c r="PH166" s="251"/>
      <c r="PI166" s="251"/>
      <c r="PJ166" s="251"/>
      <c r="PK166" s="251"/>
      <c r="PL166" s="251"/>
      <c r="PM166" s="251"/>
      <c r="PN166" s="251"/>
      <c r="PO166" s="251"/>
      <c r="PP166" s="251"/>
      <c r="PQ166" s="251"/>
      <c r="PR166" s="251"/>
      <c r="PS166" s="251"/>
      <c r="PT166" s="251"/>
      <c r="PU166" s="251"/>
      <c r="PV166" s="251"/>
      <c r="PW166" s="251"/>
      <c r="PX166" s="251"/>
      <c r="PY166" s="251"/>
      <c r="PZ166" s="251"/>
      <c r="QA166" s="251"/>
      <c r="QB166" s="251"/>
      <c r="QC166" s="251"/>
      <c r="QD166" s="251"/>
      <c r="QE166" s="251"/>
      <c r="QF166" s="250"/>
      <c r="QG166" s="251"/>
      <c r="QH166" s="251"/>
      <c r="QI166" s="251"/>
      <c r="QJ166" s="251"/>
      <c r="QK166" s="252"/>
      <c r="QL166" s="24"/>
      <c r="QQ166" s="18"/>
      <c r="QR166" s="19"/>
      <c r="QS166" s="39"/>
      <c r="QT166" s="39"/>
      <c r="QU166" s="39"/>
      <c r="QV166" s="39"/>
      <c r="QW166" s="40"/>
    </row>
    <row r="167" spans="3:465" ht="5.0999999999999996" customHeight="1" x14ac:dyDescent="0.3">
      <c r="C167" s="15"/>
      <c r="D167" s="16"/>
      <c r="J167" s="250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  <c r="AA167" s="251"/>
      <c r="AB167" s="251"/>
      <c r="AC167" s="251"/>
      <c r="AD167" s="251"/>
      <c r="AE167" s="251"/>
      <c r="AF167" s="251"/>
      <c r="AG167" s="251"/>
      <c r="AH167" s="251"/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2"/>
      <c r="AY167" s="250"/>
      <c r="AZ167" s="251"/>
      <c r="BA167" s="251"/>
      <c r="BB167" s="251"/>
      <c r="BC167" s="252"/>
      <c r="EX167" s="250"/>
      <c r="EY167" s="251"/>
      <c r="EZ167" s="251"/>
      <c r="FA167" s="251"/>
      <c r="FB167" s="251"/>
      <c r="FC167" s="251"/>
      <c r="FD167" s="251"/>
      <c r="FE167" s="251"/>
      <c r="FF167" s="251"/>
      <c r="FG167" s="251"/>
      <c r="FH167" s="251"/>
      <c r="FI167" s="251"/>
      <c r="FJ167" s="251"/>
      <c r="FK167" s="251"/>
      <c r="FL167" s="251"/>
      <c r="FM167" s="251"/>
      <c r="FN167" s="251"/>
      <c r="FO167" s="251"/>
      <c r="FP167" s="251"/>
      <c r="FQ167" s="251"/>
      <c r="FR167" s="251"/>
      <c r="FS167" s="251"/>
      <c r="FT167" s="251"/>
      <c r="FU167" s="251"/>
      <c r="FV167" s="251"/>
      <c r="FW167" s="251"/>
      <c r="FX167" s="251"/>
      <c r="FY167" s="251"/>
      <c r="FZ167" s="251"/>
      <c r="GA167" s="251"/>
      <c r="GB167" s="251"/>
      <c r="GC167" s="251"/>
      <c r="GD167" s="251"/>
      <c r="GE167" s="251"/>
      <c r="GF167" s="251"/>
      <c r="GG167" s="251"/>
      <c r="GH167" s="251"/>
      <c r="GI167" s="251"/>
      <c r="GJ167" s="251"/>
      <c r="GK167" s="251"/>
      <c r="GL167" s="252"/>
      <c r="GM167" s="250"/>
      <c r="GN167" s="251"/>
      <c r="GO167" s="251"/>
      <c r="GP167" s="251"/>
      <c r="GQ167" s="252"/>
      <c r="OR167" s="250"/>
      <c r="OS167" s="251"/>
      <c r="OT167" s="251"/>
      <c r="OU167" s="251"/>
      <c r="OV167" s="251"/>
      <c r="OW167" s="251"/>
      <c r="OX167" s="251"/>
      <c r="OY167" s="251"/>
      <c r="OZ167" s="251"/>
      <c r="PA167" s="251"/>
      <c r="PB167" s="251"/>
      <c r="PC167" s="251"/>
      <c r="PD167" s="251"/>
      <c r="PE167" s="251"/>
      <c r="PF167" s="251"/>
      <c r="PG167" s="251"/>
      <c r="PH167" s="251"/>
      <c r="PI167" s="251"/>
      <c r="PJ167" s="251"/>
      <c r="PK167" s="251"/>
      <c r="PL167" s="251"/>
      <c r="PM167" s="251"/>
      <c r="PN167" s="251"/>
      <c r="PO167" s="251"/>
      <c r="PP167" s="251"/>
      <c r="PQ167" s="251"/>
      <c r="PR167" s="251"/>
      <c r="PS167" s="251"/>
      <c r="PT167" s="251"/>
      <c r="PU167" s="251"/>
      <c r="PV167" s="251"/>
      <c r="PW167" s="251"/>
      <c r="PX167" s="251"/>
      <c r="PY167" s="251"/>
      <c r="PZ167" s="251"/>
      <c r="QA167" s="251"/>
      <c r="QB167" s="251"/>
      <c r="QC167" s="251"/>
      <c r="QD167" s="251"/>
      <c r="QE167" s="251"/>
      <c r="QF167" s="250"/>
      <c r="QG167" s="251"/>
      <c r="QH167" s="251"/>
      <c r="QI167" s="251"/>
      <c r="QJ167" s="251"/>
      <c r="QK167" s="252"/>
      <c r="QL167" s="24"/>
      <c r="QQ167" s="18"/>
      <c r="QR167" s="19"/>
      <c r="QS167" s="39"/>
      <c r="QT167" s="39"/>
      <c r="QU167" s="39"/>
      <c r="QV167" s="39"/>
      <c r="QW167" s="40"/>
    </row>
    <row r="168" spans="3:465" ht="5.0999999999999996" customHeight="1" x14ac:dyDescent="0.3">
      <c r="C168" s="15"/>
      <c r="D168" s="16"/>
      <c r="J168" s="250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51"/>
      <c r="AC168" s="251"/>
      <c r="AD168" s="251"/>
      <c r="AE168" s="251"/>
      <c r="AF168" s="251"/>
      <c r="AG168" s="251"/>
      <c r="AH168" s="251"/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2"/>
      <c r="AY168" s="250"/>
      <c r="AZ168" s="251"/>
      <c r="BA168" s="251"/>
      <c r="BB168" s="251"/>
      <c r="BC168" s="252"/>
      <c r="EX168" s="250"/>
      <c r="EY168" s="251"/>
      <c r="EZ168" s="251"/>
      <c r="FA168" s="251"/>
      <c r="FB168" s="251"/>
      <c r="FC168" s="251"/>
      <c r="FD168" s="251"/>
      <c r="FE168" s="251"/>
      <c r="FF168" s="251"/>
      <c r="FG168" s="251"/>
      <c r="FH168" s="251"/>
      <c r="FI168" s="251"/>
      <c r="FJ168" s="251"/>
      <c r="FK168" s="251"/>
      <c r="FL168" s="251"/>
      <c r="FM168" s="251"/>
      <c r="FN168" s="251"/>
      <c r="FO168" s="251"/>
      <c r="FP168" s="251"/>
      <c r="FQ168" s="251"/>
      <c r="FR168" s="251"/>
      <c r="FS168" s="251"/>
      <c r="FT168" s="251"/>
      <c r="FU168" s="251"/>
      <c r="FV168" s="251"/>
      <c r="FW168" s="251"/>
      <c r="FX168" s="251"/>
      <c r="FY168" s="251"/>
      <c r="FZ168" s="251"/>
      <c r="GA168" s="251"/>
      <c r="GB168" s="251"/>
      <c r="GC168" s="251"/>
      <c r="GD168" s="251"/>
      <c r="GE168" s="251"/>
      <c r="GF168" s="251"/>
      <c r="GG168" s="251"/>
      <c r="GH168" s="251"/>
      <c r="GI168" s="251"/>
      <c r="GJ168" s="251"/>
      <c r="GK168" s="251"/>
      <c r="GL168" s="252"/>
      <c r="GM168" s="250"/>
      <c r="GN168" s="251"/>
      <c r="GO168" s="251"/>
      <c r="GP168" s="251"/>
      <c r="GQ168" s="252"/>
      <c r="OR168" s="250"/>
      <c r="OS168" s="251"/>
      <c r="OT168" s="251"/>
      <c r="OU168" s="251"/>
      <c r="OV168" s="251"/>
      <c r="OW168" s="251"/>
      <c r="OX168" s="251"/>
      <c r="OY168" s="251"/>
      <c r="OZ168" s="251"/>
      <c r="PA168" s="251"/>
      <c r="PB168" s="251"/>
      <c r="PC168" s="251"/>
      <c r="PD168" s="251"/>
      <c r="PE168" s="251"/>
      <c r="PF168" s="251"/>
      <c r="PG168" s="251"/>
      <c r="PH168" s="251"/>
      <c r="PI168" s="251"/>
      <c r="PJ168" s="251"/>
      <c r="PK168" s="251"/>
      <c r="PL168" s="251"/>
      <c r="PM168" s="251"/>
      <c r="PN168" s="251"/>
      <c r="PO168" s="251"/>
      <c r="PP168" s="251"/>
      <c r="PQ168" s="251"/>
      <c r="PR168" s="251"/>
      <c r="PS168" s="251"/>
      <c r="PT168" s="251"/>
      <c r="PU168" s="251"/>
      <c r="PV168" s="251"/>
      <c r="PW168" s="251"/>
      <c r="PX168" s="251"/>
      <c r="PY168" s="251"/>
      <c r="PZ168" s="251"/>
      <c r="QA168" s="251"/>
      <c r="QB168" s="251"/>
      <c r="QC168" s="251"/>
      <c r="QD168" s="251"/>
      <c r="QE168" s="251"/>
      <c r="QF168" s="250"/>
      <c r="QG168" s="251"/>
      <c r="QH168" s="251"/>
      <c r="QI168" s="251"/>
      <c r="QJ168" s="251"/>
      <c r="QK168" s="252"/>
      <c r="QL168" s="24"/>
      <c r="QQ168" s="18"/>
      <c r="QR168" s="19"/>
      <c r="QS168" s="39"/>
      <c r="QT168" s="39"/>
      <c r="QU168" s="39"/>
      <c r="QV168" s="39"/>
      <c r="QW168" s="40"/>
    </row>
    <row r="169" spans="3:465" ht="5.0999999999999996" customHeight="1" x14ac:dyDescent="0.3">
      <c r="C169" s="15"/>
      <c r="D169" s="16"/>
      <c r="J169" s="250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  <c r="AA169" s="251"/>
      <c r="AB169" s="251"/>
      <c r="AC169" s="251"/>
      <c r="AD169" s="251"/>
      <c r="AE169" s="251"/>
      <c r="AF169" s="251"/>
      <c r="AG169" s="251"/>
      <c r="AH169" s="251"/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2"/>
      <c r="AY169" s="250"/>
      <c r="AZ169" s="251"/>
      <c r="BA169" s="251"/>
      <c r="BB169" s="251"/>
      <c r="BC169" s="252"/>
      <c r="EX169" s="250"/>
      <c r="EY169" s="251"/>
      <c r="EZ169" s="251"/>
      <c r="FA169" s="251"/>
      <c r="FB169" s="251"/>
      <c r="FC169" s="251"/>
      <c r="FD169" s="251"/>
      <c r="FE169" s="251"/>
      <c r="FF169" s="251"/>
      <c r="FG169" s="251"/>
      <c r="FH169" s="251"/>
      <c r="FI169" s="251"/>
      <c r="FJ169" s="251"/>
      <c r="FK169" s="251"/>
      <c r="FL169" s="251"/>
      <c r="FM169" s="251"/>
      <c r="FN169" s="251"/>
      <c r="FO169" s="251"/>
      <c r="FP169" s="251"/>
      <c r="FQ169" s="251"/>
      <c r="FR169" s="251"/>
      <c r="FS169" s="251"/>
      <c r="FT169" s="251"/>
      <c r="FU169" s="251"/>
      <c r="FV169" s="251"/>
      <c r="FW169" s="251"/>
      <c r="FX169" s="251"/>
      <c r="FY169" s="251"/>
      <c r="FZ169" s="251"/>
      <c r="GA169" s="251"/>
      <c r="GB169" s="251"/>
      <c r="GC169" s="251"/>
      <c r="GD169" s="251"/>
      <c r="GE169" s="251"/>
      <c r="GF169" s="251"/>
      <c r="GG169" s="251"/>
      <c r="GH169" s="251"/>
      <c r="GI169" s="251"/>
      <c r="GJ169" s="251"/>
      <c r="GK169" s="251"/>
      <c r="GL169" s="252"/>
      <c r="GM169" s="250"/>
      <c r="GN169" s="251"/>
      <c r="GO169" s="251"/>
      <c r="GP169" s="251"/>
      <c r="GQ169" s="252"/>
      <c r="OR169" s="250"/>
      <c r="OS169" s="251"/>
      <c r="OT169" s="251"/>
      <c r="OU169" s="251"/>
      <c r="OV169" s="251"/>
      <c r="OW169" s="251"/>
      <c r="OX169" s="251"/>
      <c r="OY169" s="251"/>
      <c r="OZ169" s="251"/>
      <c r="PA169" s="251"/>
      <c r="PB169" s="251"/>
      <c r="PC169" s="251"/>
      <c r="PD169" s="251"/>
      <c r="PE169" s="251"/>
      <c r="PF169" s="251"/>
      <c r="PG169" s="251"/>
      <c r="PH169" s="251"/>
      <c r="PI169" s="251"/>
      <c r="PJ169" s="251"/>
      <c r="PK169" s="251"/>
      <c r="PL169" s="251"/>
      <c r="PM169" s="251"/>
      <c r="PN169" s="251"/>
      <c r="PO169" s="251"/>
      <c r="PP169" s="251"/>
      <c r="PQ169" s="251"/>
      <c r="PR169" s="251"/>
      <c r="PS169" s="251"/>
      <c r="PT169" s="251"/>
      <c r="PU169" s="251"/>
      <c r="PV169" s="251"/>
      <c r="PW169" s="251"/>
      <c r="PX169" s="251"/>
      <c r="PY169" s="251"/>
      <c r="PZ169" s="251"/>
      <c r="QA169" s="251"/>
      <c r="QB169" s="251"/>
      <c r="QC169" s="251"/>
      <c r="QD169" s="251"/>
      <c r="QE169" s="251"/>
      <c r="QF169" s="250"/>
      <c r="QG169" s="251"/>
      <c r="QH169" s="251"/>
      <c r="QI169" s="251"/>
      <c r="QJ169" s="251"/>
      <c r="QK169" s="252"/>
      <c r="QL169" s="24"/>
      <c r="QQ169" s="18"/>
      <c r="QR169" s="19"/>
      <c r="QS169" s="39"/>
      <c r="QT169" s="39"/>
      <c r="QU169" s="39"/>
      <c r="QV169" s="39"/>
      <c r="QW169" s="40"/>
    </row>
    <row r="170" spans="3:465" ht="5.0999999999999996" customHeight="1" x14ac:dyDescent="0.3">
      <c r="C170" s="15"/>
      <c r="D170" s="16"/>
      <c r="J170" s="250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51"/>
      <c r="AC170" s="251"/>
      <c r="AD170" s="251"/>
      <c r="AE170" s="251"/>
      <c r="AF170" s="251"/>
      <c r="AG170" s="251"/>
      <c r="AH170" s="251"/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2"/>
      <c r="AY170" s="250"/>
      <c r="AZ170" s="251"/>
      <c r="BA170" s="251"/>
      <c r="BB170" s="251"/>
      <c r="BC170" s="252"/>
      <c r="EX170" s="250"/>
      <c r="EY170" s="251"/>
      <c r="EZ170" s="251"/>
      <c r="FA170" s="251"/>
      <c r="FB170" s="251"/>
      <c r="FC170" s="251"/>
      <c r="FD170" s="251"/>
      <c r="FE170" s="251"/>
      <c r="FF170" s="251"/>
      <c r="FG170" s="251"/>
      <c r="FH170" s="251"/>
      <c r="FI170" s="251"/>
      <c r="FJ170" s="251"/>
      <c r="FK170" s="251"/>
      <c r="FL170" s="251"/>
      <c r="FM170" s="251"/>
      <c r="FN170" s="251"/>
      <c r="FO170" s="251"/>
      <c r="FP170" s="251"/>
      <c r="FQ170" s="251"/>
      <c r="FR170" s="251"/>
      <c r="FS170" s="251"/>
      <c r="FT170" s="251"/>
      <c r="FU170" s="251"/>
      <c r="FV170" s="251"/>
      <c r="FW170" s="251"/>
      <c r="FX170" s="251"/>
      <c r="FY170" s="251"/>
      <c r="FZ170" s="251"/>
      <c r="GA170" s="251"/>
      <c r="GB170" s="251"/>
      <c r="GC170" s="251"/>
      <c r="GD170" s="251"/>
      <c r="GE170" s="251"/>
      <c r="GF170" s="251"/>
      <c r="GG170" s="251"/>
      <c r="GH170" s="251"/>
      <c r="GI170" s="251"/>
      <c r="GJ170" s="251"/>
      <c r="GK170" s="251"/>
      <c r="GL170" s="252"/>
      <c r="GM170" s="250"/>
      <c r="GN170" s="251"/>
      <c r="GO170" s="251"/>
      <c r="GP170" s="251"/>
      <c r="GQ170" s="252"/>
      <c r="OR170" s="250"/>
      <c r="OS170" s="251"/>
      <c r="OT170" s="251"/>
      <c r="OU170" s="251"/>
      <c r="OV170" s="251"/>
      <c r="OW170" s="251"/>
      <c r="OX170" s="251"/>
      <c r="OY170" s="251"/>
      <c r="OZ170" s="251"/>
      <c r="PA170" s="251"/>
      <c r="PB170" s="251"/>
      <c r="PC170" s="251"/>
      <c r="PD170" s="251"/>
      <c r="PE170" s="251"/>
      <c r="PF170" s="251"/>
      <c r="PG170" s="251"/>
      <c r="PH170" s="251"/>
      <c r="PI170" s="251"/>
      <c r="PJ170" s="251"/>
      <c r="PK170" s="251"/>
      <c r="PL170" s="251"/>
      <c r="PM170" s="251"/>
      <c r="PN170" s="251"/>
      <c r="PO170" s="251"/>
      <c r="PP170" s="251"/>
      <c r="PQ170" s="251"/>
      <c r="PR170" s="251"/>
      <c r="PS170" s="251"/>
      <c r="PT170" s="251"/>
      <c r="PU170" s="251"/>
      <c r="PV170" s="251"/>
      <c r="PW170" s="251"/>
      <c r="PX170" s="251"/>
      <c r="PY170" s="251"/>
      <c r="PZ170" s="251"/>
      <c r="QA170" s="251"/>
      <c r="QB170" s="251"/>
      <c r="QC170" s="251"/>
      <c r="QD170" s="251"/>
      <c r="QE170" s="251"/>
      <c r="QF170" s="250"/>
      <c r="QG170" s="251"/>
      <c r="QH170" s="251"/>
      <c r="QI170" s="251"/>
      <c r="QJ170" s="251"/>
      <c r="QK170" s="252"/>
      <c r="QL170" s="24"/>
      <c r="QQ170" s="18"/>
      <c r="QR170" s="19"/>
      <c r="QS170" s="39"/>
      <c r="QT170" s="39"/>
      <c r="QU170" s="39"/>
      <c r="QV170" s="39"/>
      <c r="QW170" s="40"/>
    </row>
    <row r="171" spans="3:465" ht="5.0999999999999996" customHeight="1" x14ac:dyDescent="0.3">
      <c r="C171" s="15"/>
      <c r="D171" s="16"/>
      <c r="J171" s="250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  <c r="AA171" s="251"/>
      <c r="AB171" s="251"/>
      <c r="AC171" s="251"/>
      <c r="AD171" s="251"/>
      <c r="AE171" s="251"/>
      <c r="AF171" s="251"/>
      <c r="AG171" s="251"/>
      <c r="AH171" s="251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2"/>
      <c r="AY171" s="250"/>
      <c r="AZ171" s="251"/>
      <c r="BA171" s="251"/>
      <c r="BB171" s="251"/>
      <c r="BC171" s="252"/>
      <c r="EX171" s="250"/>
      <c r="EY171" s="251"/>
      <c r="EZ171" s="251"/>
      <c r="FA171" s="251"/>
      <c r="FB171" s="251"/>
      <c r="FC171" s="251"/>
      <c r="FD171" s="251"/>
      <c r="FE171" s="251"/>
      <c r="FF171" s="251"/>
      <c r="FG171" s="251"/>
      <c r="FH171" s="251"/>
      <c r="FI171" s="251"/>
      <c r="FJ171" s="251"/>
      <c r="FK171" s="251"/>
      <c r="FL171" s="251"/>
      <c r="FM171" s="251"/>
      <c r="FN171" s="251"/>
      <c r="FO171" s="251"/>
      <c r="FP171" s="251"/>
      <c r="FQ171" s="251"/>
      <c r="FR171" s="251"/>
      <c r="FS171" s="251"/>
      <c r="FT171" s="251"/>
      <c r="FU171" s="251"/>
      <c r="FV171" s="251"/>
      <c r="FW171" s="251"/>
      <c r="FX171" s="251"/>
      <c r="FY171" s="251"/>
      <c r="FZ171" s="251"/>
      <c r="GA171" s="251"/>
      <c r="GB171" s="251"/>
      <c r="GC171" s="251"/>
      <c r="GD171" s="251"/>
      <c r="GE171" s="251"/>
      <c r="GF171" s="251"/>
      <c r="GG171" s="251"/>
      <c r="GH171" s="251"/>
      <c r="GI171" s="251"/>
      <c r="GJ171" s="251"/>
      <c r="GK171" s="251"/>
      <c r="GL171" s="252"/>
      <c r="GM171" s="250"/>
      <c r="GN171" s="251"/>
      <c r="GO171" s="251"/>
      <c r="GP171" s="251"/>
      <c r="GQ171" s="252"/>
      <c r="OR171" s="253"/>
      <c r="OS171" s="254"/>
      <c r="OT171" s="254"/>
      <c r="OU171" s="254"/>
      <c r="OV171" s="254"/>
      <c r="OW171" s="254"/>
      <c r="OX171" s="254"/>
      <c r="OY171" s="254"/>
      <c r="OZ171" s="254"/>
      <c r="PA171" s="254"/>
      <c r="PB171" s="254"/>
      <c r="PC171" s="254"/>
      <c r="PD171" s="254"/>
      <c r="PE171" s="254"/>
      <c r="PF171" s="254"/>
      <c r="PG171" s="254"/>
      <c r="PH171" s="254"/>
      <c r="PI171" s="254"/>
      <c r="PJ171" s="254"/>
      <c r="PK171" s="254"/>
      <c r="PL171" s="254"/>
      <c r="PM171" s="254"/>
      <c r="PN171" s="254"/>
      <c r="PO171" s="254"/>
      <c r="PP171" s="254"/>
      <c r="PQ171" s="254"/>
      <c r="PR171" s="254"/>
      <c r="PS171" s="254"/>
      <c r="PT171" s="254"/>
      <c r="PU171" s="254"/>
      <c r="PV171" s="254"/>
      <c r="PW171" s="254"/>
      <c r="PX171" s="254"/>
      <c r="PY171" s="254"/>
      <c r="PZ171" s="254"/>
      <c r="QA171" s="254"/>
      <c r="QB171" s="254"/>
      <c r="QC171" s="254"/>
      <c r="QD171" s="254"/>
      <c r="QE171" s="254"/>
      <c r="QF171" s="253"/>
      <c r="QG171" s="254"/>
      <c r="QH171" s="254"/>
      <c r="QI171" s="254"/>
      <c r="QJ171" s="254"/>
      <c r="QK171" s="255"/>
      <c r="QL171" s="24"/>
      <c r="QQ171" s="18"/>
      <c r="QR171" s="19"/>
      <c r="QS171" s="39"/>
      <c r="QT171" s="39"/>
      <c r="QU171" s="39"/>
      <c r="QV171" s="39"/>
      <c r="QW171" s="40"/>
    </row>
    <row r="172" spans="3:465" ht="5.0999999999999996" customHeight="1" x14ac:dyDescent="0.3">
      <c r="C172" s="15"/>
      <c r="D172" s="16"/>
      <c r="J172" s="253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254"/>
      <c r="AG172" s="254"/>
      <c r="AH172" s="254"/>
      <c r="AI172" s="254"/>
      <c r="AJ172" s="254"/>
      <c r="AK172" s="254"/>
      <c r="AL172" s="254"/>
      <c r="AM172" s="254"/>
      <c r="AN172" s="254"/>
      <c r="AO172" s="254"/>
      <c r="AP172" s="254"/>
      <c r="AQ172" s="254"/>
      <c r="AR172" s="254"/>
      <c r="AS172" s="254"/>
      <c r="AT172" s="254"/>
      <c r="AU172" s="254"/>
      <c r="AV172" s="254"/>
      <c r="AW172" s="254"/>
      <c r="AX172" s="255"/>
      <c r="AY172" s="253"/>
      <c r="AZ172" s="254"/>
      <c r="BA172" s="254"/>
      <c r="BB172" s="254"/>
      <c r="BC172" s="255"/>
      <c r="EX172" s="253"/>
      <c r="EY172" s="254"/>
      <c r="EZ172" s="254"/>
      <c r="FA172" s="254"/>
      <c r="FB172" s="254"/>
      <c r="FC172" s="254"/>
      <c r="FD172" s="254"/>
      <c r="FE172" s="254"/>
      <c r="FF172" s="254"/>
      <c r="FG172" s="254"/>
      <c r="FH172" s="254"/>
      <c r="FI172" s="254"/>
      <c r="FJ172" s="254"/>
      <c r="FK172" s="254"/>
      <c r="FL172" s="254"/>
      <c r="FM172" s="254"/>
      <c r="FN172" s="254"/>
      <c r="FO172" s="254"/>
      <c r="FP172" s="254"/>
      <c r="FQ172" s="254"/>
      <c r="FR172" s="254"/>
      <c r="FS172" s="254"/>
      <c r="FT172" s="254"/>
      <c r="FU172" s="254"/>
      <c r="FV172" s="254"/>
      <c r="FW172" s="254"/>
      <c r="FX172" s="254"/>
      <c r="FY172" s="254"/>
      <c r="FZ172" s="254"/>
      <c r="GA172" s="254"/>
      <c r="GB172" s="254"/>
      <c r="GC172" s="254"/>
      <c r="GD172" s="254"/>
      <c r="GE172" s="254"/>
      <c r="GF172" s="254"/>
      <c r="GG172" s="254"/>
      <c r="GH172" s="254"/>
      <c r="GI172" s="254"/>
      <c r="GJ172" s="254"/>
      <c r="GK172" s="254"/>
      <c r="GL172" s="255"/>
      <c r="GM172" s="253"/>
      <c r="GN172" s="254"/>
      <c r="GO172" s="254"/>
      <c r="GP172" s="254"/>
      <c r="GQ172" s="255"/>
      <c r="QL172" s="24"/>
      <c r="QQ172" s="18"/>
      <c r="QR172" s="19"/>
      <c r="QS172" s="39"/>
      <c r="QT172" s="39"/>
      <c r="QU172" s="39"/>
      <c r="QV172" s="39"/>
      <c r="QW172" s="40"/>
    </row>
    <row r="173" spans="3:465" ht="5.0999999999999996" customHeight="1" x14ac:dyDescent="0.3">
      <c r="C173" s="15"/>
      <c r="D173" s="16"/>
      <c r="J173" s="247" t="s">
        <v>60</v>
      </c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  <c r="AB173" s="248"/>
      <c r="AC173" s="248"/>
      <c r="AD173" s="248"/>
      <c r="AE173" s="248"/>
      <c r="AF173" s="248"/>
      <c r="AG173" s="248"/>
      <c r="AH173" s="248"/>
      <c r="AI173" s="248"/>
      <c r="AJ173" s="248"/>
      <c r="AK173" s="248"/>
      <c r="AL173" s="248"/>
      <c r="AM173" s="248"/>
      <c r="AN173" s="248"/>
      <c r="AO173" s="248"/>
      <c r="AP173" s="248"/>
      <c r="AQ173" s="248"/>
      <c r="AR173" s="248"/>
      <c r="AS173" s="248"/>
      <c r="AT173" s="248"/>
      <c r="AU173" s="248"/>
      <c r="AV173" s="248"/>
      <c r="AW173" s="248"/>
      <c r="AX173" s="249"/>
      <c r="AY173" s="247">
        <v>2</v>
      </c>
      <c r="AZ173" s="248"/>
      <c r="BA173" s="248"/>
      <c r="BB173" s="248"/>
      <c r="BC173" s="249"/>
      <c r="QL173" s="24"/>
      <c r="QQ173" s="18"/>
      <c r="QR173" s="19"/>
      <c r="QS173" s="39"/>
      <c r="QT173" s="39"/>
      <c r="QU173" s="39"/>
      <c r="QV173" s="39"/>
      <c r="QW173" s="40"/>
    </row>
    <row r="174" spans="3:465" ht="5.0999999999999996" customHeight="1" x14ac:dyDescent="0.3">
      <c r="C174" s="15"/>
      <c r="D174" s="16"/>
      <c r="J174" s="250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251"/>
      <c r="AB174" s="251"/>
      <c r="AC174" s="251"/>
      <c r="AD174" s="251"/>
      <c r="AE174" s="251"/>
      <c r="AF174" s="251"/>
      <c r="AG174" s="251"/>
      <c r="AH174" s="251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2"/>
      <c r="AY174" s="250"/>
      <c r="AZ174" s="251"/>
      <c r="BA174" s="251"/>
      <c r="BB174" s="251"/>
      <c r="BC174" s="252"/>
      <c r="OR174" s="256" t="s">
        <v>61</v>
      </c>
      <c r="OS174" s="257"/>
      <c r="OT174" s="257"/>
      <c r="OU174" s="257"/>
      <c r="OV174" s="257"/>
      <c r="OW174" s="257"/>
      <c r="OX174" s="257"/>
      <c r="OY174" s="257"/>
      <c r="OZ174" s="257"/>
      <c r="PA174" s="257"/>
      <c r="PB174" s="257"/>
      <c r="PC174" s="257"/>
      <c r="PD174" s="257"/>
      <c r="PE174" s="257"/>
      <c r="PF174" s="257"/>
      <c r="PG174" s="257"/>
      <c r="PH174" s="257"/>
      <c r="PI174" s="257"/>
      <c r="PJ174" s="257"/>
      <c r="PK174" s="257"/>
      <c r="PL174" s="257"/>
      <c r="PM174" s="257"/>
      <c r="PN174" s="257"/>
      <c r="PO174" s="257"/>
      <c r="PP174" s="257"/>
      <c r="PQ174" s="257"/>
      <c r="PR174" s="257"/>
      <c r="PS174" s="257"/>
      <c r="PT174" s="257"/>
      <c r="PU174" s="257"/>
      <c r="PV174" s="257"/>
      <c r="PW174" s="257"/>
      <c r="PX174" s="257"/>
      <c r="PY174" s="257"/>
      <c r="PZ174" s="257"/>
      <c r="QA174" s="257"/>
      <c r="QB174" s="257"/>
      <c r="QC174" s="257"/>
      <c r="QD174" s="257"/>
      <c r="QE174" s="258"/>
      <c r="QF174" s="265"/>
      <c r="QG174" s="265"/>
      <c r="QH174" s="265"/>
      <c r="QI174" s="265"/>
      <c r="QJ174" s="265"/>
      <c r="QK174" s="265"/>
      <c r="QL174" s="24"/>
      <c r="QQ174" s="18"/>
      <c r="QR174" s="19"/>
      <c r="QS174" s="39"/>
      <c r="QT174" s="39"/>
      <c r="QU174" s="39"/>
      <c r="QV174" s="39"/>
      <c r="QW174" s="40"/>
    </row>
    <row r="175" spans="3:465" ht="5.0999999999999996" customHeight="1" x14ac:dyDescent="0.3">
      <c r="C175" s="15"/>
      <c r="D175" s="16"/>
      <c r="J175" s="250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2"/>
      <c r="AY175" s="250"/>
      <c r="AZ175" s="251"/>
      <c r="BA175" s="251"/>
      <c r="BB175" s="251"/>
      <c r="BC175" s="252"/>
      <c r="OR175" s="259"/>
      <c r="OS175" s="260"/>
      <c r="OT175" s="260"/>
      <c r="OU175" s="260"/>
      <c r="OV175" s="260"/>
      <c r="OW175" s="260"/>
      <c r="OX175" s="260"/>
      <c r="OY175" s="260"/>
      <c r="OZ175" s="260"/>
      <c r="PA175" s="260"/>
      <c r="PB175" s="260"/>
      <c r="PC175" s="260"/>
      <c r="PD175" s="260"/>
      <c r="PE175" s="260"/>
      <c r="PF175" s="260"/>
      <c r="PG175" s="260"/>
      <c r="PH175" s="260"/>
      <c r="PI175" s="260"/>
      <c r="PJ175" s="260"/>
      <c r="PK175" s="260"/>
      <c r="PL175" s="260"/>
      <c r="PM175" s="260"/>
      <c r="PN175" s="260"/>
      <c r="PO175" s="260"/>
      <c r="PP175" s="260"/>
      <c r="PQ175" s="260"/>
      <c r="PR175" s="260"/>
      <c r="PS175" s="260"/>
      <c r="PT175" s="260"/>
      <c r="PU175" s="260"/>
      <c r="PV175" s="260"/>
      <c r="PW175" s="260"/>
      <c r="PX175" s="260"/>
      <c r="PY175" s="260"/>
      <c r="PZ175" s="260"/>
      <c r="QA175" s="260"/>
      <c r="QB175" s="260"/>
      <c r="QC175" s="260"/>
      <c r="QD175" s="260"/>
      <c r="QE175" s="261"/>
      <c r="QF175" s="265"/>
      <c r="QG175" s="265"/>
      <c r="QH175" s="265"/>
      <c r="QI175" s="265"/>
      <c r="QJ175" s="265"/>
      <c r="QK175" s="265"/>
      <c r="QL175" s="24"/>
      <c r="QQ175" s="18"/>
      <c r="QR175" s="19"/>
      <c r="QS175" s="39"/>
      <c r="QT175" s="39"/>
      <c r="QU175" s="39"/>
      <c r="QV175" s="39"/>
      <c r="QW175" s="40"/>
    </row>
    <row r="176" spans="3:465" ht="4.5" customHeight="1" x14ac:dyDescent="0.3">
      <c r="C176" s="15"/>
      <c r="D176" s="16"/>
      <c r="J176" s="250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2"/>
      <c r="AY176" s="250"/>
      <c r="AZ176" s="251"/>
      <c r="BA176" s="251"/>
      <c r="BB176" s="251"/>
      <c r="BC176" s="252"/>
      <c r="OR176" s="259"/>
      <c r="OS176" s="260"/>
      <c r="OT176" s="260"/>
      <c r="OU176" s="260"/>
      <c r="OV176" s="260"/>
      <c r="OW176" s="260"/>
      <c r="OX176" s="260"/>
      <c r="OY176" s="260"/>
      <c r="OZ176" s="260"/>
      <c r="PA176" s="260"/>
      <c r="PB176" s="260"/>
      <c r="PC176" s="260"/>
      <c r="PD176" s="260"/>
      <c r="PE176" s="260"/>
      <c r="PF176" s="260"/>
      <c r="PG176" s="260"/>
      <c r="PH176" s="260"/>
      <c r="PI176" s="260"/>
      <c r="PJ176" s="260"/>
      <c r="PK176" s="260"/>
      <c r="PL176" s="260"/>
      <c r="PM176" s="260"/>
      <c r="PN176" s="260"/>
      <c r="PO176" s="260"/>
      <c r="PP176" s="260"/>
      <c r="PQ176" s="260"/>
      <c r="PR176" s="260"/>
      <c r="PS176" s="260"/>
      <c r="PT176" s="260"/>
      <c r="PU176" s="260"/>
      <c r="PV176" s="260"/>
      <c r="PW176" s="260"/>
      <c r="PX176" s="260"/>
      <c r="PY176" s="260"/>
      <c r="PZ176" s="260"/>
      <c r="QA176" s="260"/>
      <c r="QB176" s="260"/>
      <c r="QC176" s="260"/>
      <c r="QD176" s="260"/>
      <c r="QE176" s="261"/>
      <c r="QF176" s="265"/>
      <c r="QG176" s="265"/>
      <c r="QH176" s="265"/>
      <c r="QI176" s="265"/>
      <c r="QJ176" s="265"/>
      <c r="QK176" s="265"/>
      <c r="QL176" s="24"/>
      <c r="QQ176" s="18"/>
      <c r="QR176" s="19"/>
      <c r="QS176" s="39"/>
      <c r="QT176" s="39"/>
      <c r="QU176" s="39"/>
      <c r="QV176" s="39"/>
      <c r="QW176" s="40"/>
    </row>
    <row r="177" spans="3:465" ht="5.0999999999999996" customHeight="1" x14ac:dyDescent="0.3">
      <c r="C177" s="15"/>
      <c r="D177" s="16"/>
      <c r="J177" s="250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2"/>
      <c r="AY177" s="250"/>
      <c r="AZ177" s="251"/>
      <c r="BA177" s="251"/>
      <c r="BB177" s="251"/>
      <c r="BC177" s="252"/>
      <c r="OR177" s="259"/>
      <c r="OS177" s="260"/>
      <c r="OT177" s="260"/>
      <c r="OU177" s="260"/>
      <c r="OV177" s="260"/>
      <c r="OW177" s="260"/>
      <c r="OX177" s="260"/>
      <c r="OY177" s="260"/>
      <c r="OZ177" s="260"/>
      <c r="PA177" s="260"/>
      <c r="PB177" s="260"/>
      <c r="PC177" s="260"/>
      <c r="PD177" s="260"/>
      <c r="PE177" s="260"/>
      <c r="PF177" s="260"/>
      <c r="PG177" s="260"/>
      <c r="PH177" s="260"/>
      <c r="PI177" s="260"/>
      <c r="PJ177" s="260"/>
      <c r="PK177" s="260"/>
      <c r="PL177" s="260"/>
      <c r="PM177" s="260"/>
      <c r="PN177" s="260"/>
      <c r="PO177" s="260"/>
      <c r="PP177" s="260"/>
      <c r="PQ177" s="260"/>
      <c r="PR177" s="260"/>
      <c r="PS177" s="260"/>
      <c r="PT177" s="260"/>
      <c r="PU177" s="260"/>
      <c r="PV177" s="260"/>
      <c r="PW177" s="260"/>
      <c r="PX177" s="260"/>
      <c r="PY177" s="260"/>
      <c r="PZ177" s="260"/>
      <c r="QA177" s="260"/>
      <c r="QB177" s="260"/>
      <c r="QC177" s="260"/>
      <c r="QD177" s="260"/>
      <c r="QE177" s="261"/>
      <c r="QF177" s="265"/>
      <c r="QG177" s="265"/>
      <c r="QH177" s="265"/>
      <c r="QI177" s="265"/>
      <c r="QJ177" s="265"/>
      <c r="QK177" s="265"/>
      <c r="QL177" s="24"/>
      <c r="QQ177" s="18"/>
      <c r="QR177" s="19"/>
      <c r="QS177" s="39"/>
      <c r="QT177" s="39"/>
      <c r="QU177" s="39"/>
      <c r="QV177" s="39"/>
      <c r="QW177" s="40"/>
    </row>
    <row r="178" spans="3:465" ht="5.0999999999999996" customHeight="1" x14ac:dyDescent="0.3">
      <c r="C178" s="15"/>
      <c r="D178" s="16"/>
      <c r="J178" s="250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2"/>
      <c r="AY178" s="250"/>
      <c r="AZ178" s="251"/>
      <c r="BA178" s="251"/>
      <c r="BB178" s="251"/>
      <c r="BC178" s="252"/>
      <c r="OR178" s="259"/>
      <c r="OS178" s="260"/>
      <c r="OT178" s="260"/>
      <c r="OU178" s="260"/>
      <c r="OV178" s="260"/>
      <c r="OW178" s="260"/>
      <c r="OX178" s="260"/>
      <c r="OY178" s="260"/>
      <c r="OZ178" s="260"/>
      <c r="PA178" s="260"/>
      <c r="PB178" s="260"/>
      <c r="PC178" s="260"/>
      <c r="PD178" s="260"/>
      <c r="PE178" s="260"/>
      <c r="PF178" s="260"/>
      <c r="PG178" s="260"/>
      <c r="PH178" s="260"/>
      <c r="PI178" s="260"/>
      <c r="PJ178" s="260"/>
      <c r="PK178" s="260"/>
      <c r="PL178" s="260"/>
      <c r="PM178" s="260"/>
      <c r="PN178" s="260"/>
      <c r="PO178" s="260"/>
      <c r="PP178" s="260"/>
      <c r="PQ178" s="260"/>
      <c r="PR178" s="260"/>
      <c r="PS178" s="260"/>
      <c r="PT178" s="260"/>
      <c r="PU178" s="260"/>
      <c r="PV178" s="260"/>
      <c r="PW178" s="260"/>
      <c r="PX178" s="260"/>
      <c r="PY178" s="260"/>
      <c r="PZ178" s="260"/>
      <c r="QA178" s="260"/>
      <c r="QB178" s="260"/>
      <c r="QC178" s="260"/>
      <c r="QD178" s="260"/>
      <c r="QE178" s="261"/>
      <c r="QF178" s="265"/>
      <c r="QG178" s="265"/>
      <c r="QH178" s="265"/>
      <c r="QI178" s="265"/>
      <c r="QJ178" s="265"/>
      <c r="QK178" s="265"/>
      <c r="QL178" s="24"/>
      <c r="QQ178" s="18"/>
      <c r="QR178" s="19"/>
      <c r="QS178" s="39"/>
      <c r="QT178" s="39"/>
      <c r="QU178" s="39"/>
      <c r="QV178" s="39"/>
      <c r="QW178" s="40"/>
    </row>
    <row r="179" spans="3:465" ht="5.0999999999999996" customHeight="1" x14ac:dyDescent="0.3">
      <c r="C179" s="15"/>
      <c r="D179" s="16"/>
      <c r="J179" s="250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2"/>
      <c r="AY179" s="250"/>
      <c r="AZ179" s="251"/>
      <c r="BA179" s="251"/>
      <c r="BB179" s="251"/>
      <c r="BC179" s="252"/>
      <c r="OR179" s="259"/>
      <c r="OS179" s="260"/>
      <c r="OT179" s="260"/>
      <c r="OU179" s="260"/>
      <c r="OV179" s="260"/>
      <c r="OW179" s="260"/>
      <c r="OX179" s="260"/>
      <c r="OY179" s="260"/>
      <c r="OZ179" s="260"/>
      <c r="PA179" s="260"/>
      <c r="PB179" s="260"/>
      <c r="PC179" s="260"/>
      <c r="PD179" s="260"/>
      <c r="PE179" s="260"/>
      <c r="PF179" s="260"/>
      <c r="PG179" s="260"/>
      <c r="PH179" s="260"/>
      <c r="PI179" s="260"/>
      <c r="PJ179" s="260"/>
      <c r="PK179" s="260"/>
      <c r="PL179" s="260"/>
      <c r="PM179" s="260"/>
      <c r="PN179" s="260"/>
      <c r="PO179" s="260"/>
      <c r="PP179" s="260"/>
      <c r="PQ179" s="260"/>
      <c r="PR179" s="260"/>
      <c r="PS179" s="260"/>
      <c r="PT179" s="260"/>
      <c r="PU179" s="260"/>
      <c r="PV179" s="260"/>
      <c r="PW179" s="260"/>
      <c r="PX179" s="260"/>
      <c r="PY179" s="260"/>
      <c r="PZ179" s="260"/>
      <c r="QA179" s="260"/>
      <c r="QB179" s="260"/>
      <c r="QC179" s="260"/>
      <c r="QD179" s="260"/>
      <c r="QE179" s="261"/>
      <c r="QF179" s="265"/>
      <c r="QG179" s="265"/>
      <c r="QH179" s="265"/>
      <c r="QI179" s="265"/>
      <c r="QJ179" s="265"/>
      <c r="QK179" s="265"/>
      <c r="QL179" s="24"/>
      <c r="QQ179" s="18"/>
      <c r="QR179" s="19"/>
      <c r="QS179" s="39"/>
      <c r="QT179" s="39"/>
      <c r="QU179" s="39"/>
      <c r="QV179" s="39"/>
      <c r="QW179" s="40"/>
    </row>
    <row r="180" spans="3:465" ht="5.0999999999999996" customHeight="1" x14ac:dyDescent="0.3">
      <c r="C180" s="15"/>
      <c r="D180" s="16"/>
      <c r="J180" s="250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2"/>
      <c r="AY180" s="250"/>
      <c r="AZ180" s="251"/>
      <c r="BA180" s="251"/>
      <c r="BB180" s="251"/>
      <c r="BC180" s="252"/>
      <c r="OR180" s="259"/>
      <c r="OS180" s="260"/>
      <c r="OT180" s="260"/>
      <c r="OU180" s="260"/>
      <c r="OV180" s="260"/>
      <c r="OW180" s="260"/>
      <c r="OX180" s="260"/>
      <c r="OY180" s="260"/>
      <c r="OZ180" s="260"/>
      <c r="PA180" s="260"/>
      <c r="PB180" s="260"/>
      <c r="PC180" s="260"/>
      <c r="PD180" s="260"/>
      <c r="PE180" s="260"/>
      <c r="PF180" s="260"/>
      <c r="PG180" s="260"/>
      <c r="PH180" s="260"/>
      <c r="PI180" s="260"/>
      <c r="PJ180" s="260"/>
      <c r="PK180" s="260"/>
      <c r="PL180" s="260"/>
      <c r="PM180" s="260"/>
      <c r="PN180" s="260"/>
      <c r="PO180" s="260"/>
      <c r="PP180" s="260"/>
      <c r="PQ180" s="260"/>
      <c r="PR180" s="260"/>
      <c r="PS180" s="260"/>
      <c r="PT180" s="260"/>
      <c r="PU180" s="260"/>
      <c r="PV180" s="260"/>
      <c r="PW180" s="260"/>
      <c r="PX180" s="260"/>
      <c r="PY180" s="260"/>
      <c r="PZ180" s="260"/>
      <c r="QA180" s="260"/>
      <c r="QB180" s="260"/>
      <c r="QC180" s="260"/>
      <c r="QD180" s="260"/>
      <c r="QE180" s="261"/>
      <c r="QF180" s="265"/>
      <c r="QG180" s="265"/>
      <c r="QH180" s="265"/>
      <c r="QI180" s="265"/>
      <c r="QJ180" s="265"/>
      <c r="QK180" s="265"/>
      <c r="QL180" s="24"/>
      <c r="QQ180" s="18"/>
      <c r="QR180" s="19"/>
      <c r="QS180" s="39"/>
      <c r="QT180" s="39"/>
      <c r="QU180" s="39"/>
      <c r="QV180" s="39"/>
      <c r="QW180" s="40"/>
    </row>
    <row r="181" spans="3:465" ht="5.0999999999999996" customHeight="1" x14ac:dyDescent="0.3">
      <c r="C181" s="15"/>
      <c r="D181" s="16"/>
      <c r="J181" s="250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2"/>
      <c r="AY181" s="250"/>
      <c r="AZ181" s="251"/>
      <c r="BA181" s="251"/>
      <c r="BB181" s="251"/>
      <c r="BC181" s="252"/>
      <c r="OR181" s="259"/>
      <c r="OS181" s="260"/>
      <c r="OT181" s="260"/>
      <c r="OU181" s="260"/>
      <c r="OV181" s="260"/>
      <c r="OW181" s="260"/>
      <c r="OX181" s="260"/>
      <c r="OY181" s="260"/>
      <c r="OZ181" s="260"/>
      <c r="PA181" s="260"/>
      <c r="PB181" s="260"/>
      <c r="PC181" s="260"/>
      <c r="PD181" s="260"/>
      <c r="PE181" s="260"/>
      <c r="PF181" s="260"/>
      <c r="PG181" s="260"/>
      <c r="PH181" s="260"/>
      <c r="PI181" s="260"/>
      <c r="PJ181" s="260"/>
      <c r="PK181" s="260"/>
      <c r="PL181" s="260"/>
      <c r="PM181" s="260"/>
      <c r="PN181" s="260"/>
      <c r="PO181" s="260"/>
      <c r="PP181" s="260"/>
      <c r="PQ181" s="260"/>
      <c r="PR181" s="260"/>
      <c r="PS181" s="260"/>
      <c r="PT181" s="260"/>
      <c r="PU181" s="260"/>
      <c r="PV181" s="260"/>
      <c r="PW181" s="260"/>
      <c r="PX181" s="260"/>
      <c r="PY181" s="260"/>
      <c r="PZ181" s="260"/>
      <c r="QA181" s="260"/>
      <c r="QB181" s="260"/>
      <c r="QC181" s="260"/>
      <c r="QD181" s="260"/>
      <c r="QE181" s="261"/>
      <c r="QF181" s="265"/>
      <c r="QG181" s="265"/>
      <c r="QH181" s="265"/>
      <c r="QI181" s="265"/>
      <c r="QJ181" s="265"/>
      <c r="QK181" s="265"/>
      <c r="QL181" s="24"/>
      <c r="QQ181" s="18"/>
      <c r="QR181" s="19"/>
      <c r="QS181" s="39"/>
      <c r="QT181" s="39"/>
      <c r="QU181" s="39"/>
      <c r="QV181" s="39"/>
      <c r="QW181" s="40"/>
    </row>
    <row r="182" spans="3:465" ht="5.0999999999999996" customHeight="1" x14ac:dyDescent="0.3">
      <c r="C182" s="15"/>
      <c r="D182" s="16"/>
      <c r="J182" s="253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  <c r="AA182" s="254"/>
      <c r="AB182" s="254"/>
      <c r="AC182" s="254"/>
      <c r="AD182" s="254"/>
      <c r="AE182" s="254"/>
      <c r="AF182" s="254"/>
      <c r="AG182" s="254"/>
      <c r="AH182" s="254"/>
      <c r="AI182" s="254"/>
      <c r="AJ182" s="254"/>
      <c r="AK182" s="254"/>
      <c r="AL182" s="254"/>
      <c r="AM182" s="254"/>
      <c r="AN182" s="254"/>
      <c r="AO182" s="254"/>
      <c r="AP182" s="254"/>
      <c r="AQ182" s="254"/>
      <c r="AR182" s="254"/>
      <c r="AS182" s="254"/>
      <c r="AT182" s="254"/>
      <c r="AU182" s="254"/>
      <c r="AV182" s="254"/>
      <c r="AW182" s="254"/>
      <c r="AX182" s="255"/>
      <c r="AY182" s="253"/>
      <c r="AZ182" s="254"/>
      <c r="BA182" s="254"/>
      <c r="BB182" s="254"/>
      <c r="BC182" s="255"/>
      <c r="OR182" s="259"/>
      <c r="OS182" s="260"/>
      <c r="OT182" s="260"/>
      <c r="OU182" s="260"/>
      <c r="OV182" s="260"/>
      <c r="OW182" s="260"/>
      <c r="OX182" s="260"/>
      <c r="OY182" s="260"/>
      <c r="OZ182" s="260"/>
      <c r="PA182" s="260"/>
      <c r="PB182" s="260"/>
      <c r="PC182" s="260"/>
      <c r="PD182" s="260"/>
      <c r="PE182" s="260"/>
      <c r="PF182" s="260"/>
      <c r="PG182" s="260"/>
      <c r="PH182" s="260"/>
      <c r="PI182" s="260"/>
      <c r="PJ182" s="260"/>
      <c r="PK182" s="260"/>
      <c r="PL182" s="260"/>
      <c r="PM182" s="260"/>
      <c r="PN182" s="260"/>
      <c r="PO182" s="260"/>
      <c r="PP182" s="260"/>
      <c r="PQ182" s="260"/>
      <c r="PR182" s="260"/>
      <c r="PS182" s="260"/>
      <c r="PT182" s="260"/>
      <c r="PU182" s="260"/>
      <c r="PV182" s="260"/>
      <c r="PW182" s="260"/>
      <c r="PX182" s="260"/>
      <c r="PY182" s="260"/>
      <c r="PZ182" s="260"/>
      <c r="QA182" s="260"/>
      <c r="QB182" s="260"/>
      <c r="QC182" s="260"/>
      <c r="QD182" s="260"/>
      <c r="QE182" s="261"/>
      <c r="QF182" s="265"/>
      <c r="QG182" s="265"/>
      <c r="QH182" s="265"/>
      <c r="QI182" s="265"/>
      <c r="QJ182" s="265"/>
      <c r="QK182" s="265"/>
      <c r="QL182" s="24"/>
      <c r="QQ182" s="18"/>
      <c r="QR182" s="19"/>
      <c r="QS182" s="39"/>
      <c r="QT182" s="39"/>
      <c r="QU182" s="39"/>
      <c r="QV182" s="39"/>
      <c r="QW182" s="40"/>
    </row>
    <row r="183" spans="3:465" ht="5.0999999999999996" customHeight="1" thickBot="1" x14ac:dyDescent="0.35">
      <c r="C183" s="15"/>
      <c r="D183" s="16"/>
      <c r="J183" s="247" t="s">
        <v>62</v>
      </c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  <c r="AA183" s="248"/>
      <c r="AB183" s="248"/>
      <c r="AC183" s="248"/>
      <c r="AD183" s="248"/>
      <c r="AE183" s="248"/>
      <c r="AF183" s="248"/>
      <c r="AG183" s="248"/>
      <c r="AH183" s="248"/>
      <c r="AI183" s="248"/>
      <c r="AJ183" s="248"/>
      <c r="AK183" s="248"/>
      <c r="AL183" s="248"/>
      <c r="AM183" s="248"/>
      <c r="AN183" s="248"/>
      <c r="AO183" s="248"/>
      <c r="AP183" s="248"/>
      <c r="AQ183" s="248"/>
      <c r="AR183" s="248"/>
      <c r="AS183" s="248"/>
      <c r="AT183" s="248"/>
      <c r="AU183" s="248"/>
      <c r="AV183" s="248"/>
      <c r="AW183" s="248"/>
      <c r="AX183" s="249"/>
      <c r="AY183" s="247">
        <v>3</v>
      </c>
      <c r="AZ183" s="248"/>
      <c r="BA183" s="248"/>
      <c r="BB183" s="248"/>
      <c r="BC183" s="249"/>
      <c r="OR183" s="262"/>
      <c r="OS183" s="263"/>
      <c r="OT183" s="263"/>
      <c r="OU183" s="263"/>
      <c r="OV183" s="263"/>
      <c r="OW183" s="263"/>
      <c r="OX183" s="263"/>
      <c r="OY183" s="263"/>
      <c r="OZ183" s="263"/>
      <c r="PA183" s="263"/>
      <c r="PB183" s="263"/>
      <c r="PC183" s="263"/>
      <c r="PD183" s="263"/>
      <c r="PE183" s="263"/>
      <c r="PF183" s="263"/>
      <c r="PG183" s="263"/>
      <c r="PH183" s="263"/>
      <c r="PI183" s="263"/>
      <c r="PJ183" s="263"/>
      <c r="PK183" s="263"/>
      <c r="PL183" s="263"/>
      <c r="PM183" s="263"/>
      <c r="PN183" s="263"/>
      <c r="PO183" s="263"/>
      <c r="PP183" s="263"/>
      <c r="PQ183" s="263"/>
      <c r="PR183" s="263"/>
      <c r="PS183" s="263"/>
      <c r="PT183" s="263"/>
      <c r="PU183" s="263"/>
      <c r="PV183" s="263"/>
      <c r="PW183" s="263"/>
      <c r="PX183" s="263"/>
      <c r="PY183" s="263"/>
      <c r="PZ183" s="263"/>
      <c r="QA183" s="263"/>
      <c r="QB183" s="263"/>
      <c r="QC183" s="263"/>
      <c r="QD183" s="263"/>
      <c r="QE183" s="264"/>
      <c r="QF183" s="265"/>
      <c r="QG183" s="265"/>
      <c r="QH183" s="265"/>
      <c r="QI183" s="265"/>
      <c r="QJ183" s="265"/>
      <c r="QK183" s="265"/>
      <c r="QL183" s="53"/>
      <c r="QQ183" s="18"/>
      <c r="QR183" s="19"/>
      <c r="QS183" s="39"/>
      <c r="QT183" s="39"/>
      <c r="QU183" s="39"/>
      <c r="QV183" s="39"/>
      <c r="QW183" s="40"/>
    </row>
    <row r="184" spans="3:465" ht="5.0999999999999996" customHeight="1" x14ac:dyDescent="0.3">
      <c r="C184" s="15"/>
      <c r="D184" s="16"/>
      <c r="J184" s="250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2"/>
      <c r="AY184" s="250"/>
      <c r="AZ184" s="251"/>
      <c r="BA184" s="251"/>
      <c r="BB184" s="251"/>
      <c r="BC184" s="252"/>
      <c r="OR184" s="247" t="s">
        <v>63</v>
      </c>
      <c r="OS184" s="248"/>
      <c r="OT184" s="248"/>
      <c r="OU184" s="248"/>
      <c r="OV184" s="248"/>
      <c r="OW184" s="248"/>
      <c r="OX184" s="248"/>
      <c r="OY184" s="248"/>
      <c r="OZ184" s="248"/>
      <c r="PA184" s="248"/>
      <c r="PB184" s="248"/>
      <c r="PC184" s="248"/>
      <c r="PD184" s="248"/>
      <c r="PE184" s="248"/>
      <c r="PF184" s="248"/>
      <c r="PG184" s="248"/>
      <c r="PH184" s="248"/>
      <c r="PI184" s="248"/>
      <c r="PJ184" s="248"/>
      <c r="PK184" s="248"/>
      <c r="PL184" s="248"/>
      <c r="PM184" s="248"/>
      <c r="PN184" s="248"/>
      <c r="PO184" s="248"/>
      <c r="PP184" s="248"/>
      <c r="PQ184" s="248"/>
      <c r="PR184" s="248"/>
      <c r="PS184" s="248"/>
      <c r="PT184" s="248"/>
      <c r="PU184" s="248"/>
      <c r="PV184" s="248"/>
      <c r="PW184" s="248"/>
      <c r="PX184" s="248"/>
      <c r="PY184" s="248"/>
      <c r="PZ184" s="248"/>
      <c r="QA184" s="248"/>
      <c r="QB184" s="248"/>
      <c r="QC184" s="248"/>
      <c r="QD184" s="248"/>
      <c r="QE184" s="249"/>
      <c r="QF184" s="247">
        <v>98</v>
      </c>
      <c r="QG184" s="248"/>
      <c r="QH184" s="248"/>
      <c r="QI184" s="248"/>
      <c r="QJ184" s="248"/>
      <c r="QK184" s="249"/>
      <c r="QQ184" s="18"/>
      <c r="QR184" s="19"/>
      <c r="QS184" s="39"/>
      <c r="QT184" s="39"/>
      <c r="QU184" s="39"/>
      <c r="QV184" s="39"/>
      <c r="QW184" s="40"/>
    </row>
    <row r="185" spans="3:465" ht="5.0999999999999996" customHeight="1" x14ac:dyDescent="0.3">
      <c r="C185" s="15"/>
      <c r="D185" s="16"/>
      <c r="J185" s="250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2"/>
      <c r="AY185" s="250"/>
      <c r="AZ185" s="251"/>
      <c r="BA185" s="251"/>
      <c r="BB185" s="251"/>
      <c r="BC185" s="252"/>
      <c r="OR185" s="250"/>
      <c r="OS185" s="251"/>
      <c r="OT185" s="251"/>
      <c r="OU185" s="251"/>
      <c r="OV185" s="251"/>
      <c r="OW185" s="251"/>
      <c r="OX185" s="251"/>
      <c r="OY185" s="251"/>
      <c r="OZ185" s="251"/>
      <c r="PA185" s="251"/>
      <c r="PB185" s="251"/>
      <c r="PC185" s="251"/>
      <c r="PD185" s="251"/>
      <c r="PE185" s="251"/>
      <c r="PF185" s="251"/>
      <c r="PG185" s="251"/>
      <c r="PH185" s="251"/>
      <c r="PI185" s="251"/>
      <c r="PJ185" s="251"/>
      <c r="PK185" s="251"/>
      <c r="PL185" s="251"/>
      <c r="PM185" s="251"/>
      <c r="PN185" s="251"/>
      <c r="PO185" s="251"/>
      <c r="PP185" s="251"/>
      <c r="PQ185" s="251"/>
      <c r="PR185" s="251"/>
      <c r="PS185" s="251"/>
      <c r="PT185" s="251"/>
      <c r="PU185" s="251"/>
      <c r="PV185" s="251"/>
      <c r="PW185" s="251"/>
      <c r="PX185" s="251"/>
      <c r="PY185" s="251"/>
      <c r="PZ185" s="251"/>
      <c r="QA185" s="251"/>
      <c r="QB185" s="251"/>
      <c r="QC185" s="251"/>
      <c r="QD185" s="251"/>
      <c r="QE185" s="252"/>
      <c r="QF185" s="250"/>
      <c r="QG185" s="251"/>
      <c r="QH185" s="251"/>
      <c r="QI185" s="251"/>
      <c r="QJ185" s="251"/>
      <c r="QK185" s="252"/>
      <c r="QQ185" s="18"/>
      <c r="QR185" s="19"/>
      <c r="QS185" s="39"/>
      <c r="QT185" s="39"/>
      <c r="QU185" s="39"/>
      <c r="QV185" s="39"/>
      <c r="QW185" s="40"/>
    </row>
    <row r="186" spans="3:465" ht="5.0999999999999996" customHeight="1" x14ac:dyDescent="0.3">
      <c r="C186" s="15"/>
      <c r="D186" s="16"/>
      <c r="J186" s="250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2"/>
      <c r="AY186" s="250"/>
      <c r="AZ186" s="251"/>
      <c r="BA186" s="251"/>
      <c r="BB186" s="251"/>
      <c r="BC186" s="252"/>
      <c r="OR186" s="250"/>
      <c r="OS186" s="251"/>
      <c r="OT186" s="251"/>
      <c r="OU186" s="251"/>
      <c r="OV186" s="251"/>
      <c r="OW186" s="251"/>
      <c r="OX186" s="251"/>
      <c r="OY186" s="251"/>
      <c r="OZ186" s="251"/>
      <c r="PA186" s="251"/>
      <c r="PB186" s="251"/>
      <c r="PC186" s="251"/>
      <c r="PD186" s="251"/>
      <c r="PE186" s="251"/>
      <c r="PF186" s="251"/>
      <c r="PG186" s="251"/>
      <c r="PH186" s="251"/>
      <c r="PI186" s="251"/>
      <c r="PJ186" s="251"/>
      <c r="PK186" s="251"/>
      <c r="PL186" s="251"/>
      <c r="PM186" s="251"/>
      <c r="PN186" s="251"/>
      <c r="PO186" s="251"/>
      <c r="PP186" s="251"/>
      <c r="PQ186" s="251"/>
      <c r="PR186" s="251"/>
      <c r="PS186" s="251"/>
      <c r="PT186" s="251"/>
      <c r="PU186" s="251"/>
      <c r="PV186" s="251"/>
      <c r="PW186" s="251"/>
      <c r="PX186" s="251"/>
      <c r="PY186" s="251"/>
      <c r="PZ186" s="251"/>
      <c r="QA186" s="251"/>
      <c r="QB186" s="251"/>
      <c r="QC186" s="251"/>
      <c r="QD186" s="251"/>
      <c r="QE186" s="252"/>
      <c r="QF186" s="250"/>
      <c r="QG186" s="251"/>
      <c r="QH186" s="251"/>
      <c r="QI186" s="251"/>
      <c r="QJ186" s="251"/>
      <c r="QK186" s="252"/>
      <c r="QQ186" s="18"/>
      <c r="QR186" s="19"/>
      <c r="QS186" s="39"/>
      <c r="QT186" s="39"/>
      <c r="QU186" s="39"/>
      <c r="QV186" s="39"/>
      <c r="QW186" s="40"/>
    </row>
    <row r="187" spans="3:465" ht="5.0999999999999996" customHeight="1" x14ac:dyDescent="0.3">
      <c r="C187" s="15"/>
      <c r="D187" s="16"/>
      <c r="J187" s="250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2"/>
      <c r="AY187" s="250"/>
      <c r="AZ187" s="251"/>
      <c r="BA187" s="251"/>
      <c r="BB187" s="251"/>
      <c r="BC187" s="252"/>
      <c r="OR187" s="250"/>
      <c r="OS187" s="251"/>
      <c r="OT187" s="251"/>
      <c r="OU187" s="251"/>
      <c r="OV187" s="251"/>
      <c r="OW187" s="251"/>
      <c r="OX187" s="251"/>
      <c r="OY187" s="251"/>
      <c r="OZ187" s="251"/>
      <c r="PA187" s="251"/>
      <c r="PB187" s="251"/>
      <c r="PC187" s="251"/>
      <c r="PD187" s="251"/>
      <c r="PE187" s="251"/>
      <c r="PF187" s="251"/>
      <c r="PG187" s="251"/>
      <c r="PH187" s="251"/>
      <c r="PI187" s="251"/>
      <c r="PJ187" s="251"/>
      <c r="PK187" s="251"/>
      <c r="PL187" s="251"/>
      <c r="PM187" s="251"/>
      <c r="PN187" s="251"/>
      <c r="PO187" s="251"/>
      <c r="PP187" s="251"/>
      <c r="PQ187" s="251"/>
      <c r="PR187" s="251"/>
      <c r="PS187" s="251"/>
      <c r="PT187" s="251"/>
      <c r="PU187" s="251"/>
      <c r="PV187" s="251"/>
      <c r="PW187" s="251"/>
      <c r="PX187" s="251"/>
      <c r="PY187" s="251"/>
      <c r="PZ187" s="251"/>
      <c r="QA187" s="251"/>
      <c r="QB187" s="251"/>
      <c r="QC187" s="251"/>
      <c r="QD187" s="251"/>
      <c r="QE187" s="252"/>
      <c r="QF187" s="250"/>
      <c r="QG187" s="251"/>
      <c r="QH187" s="251"/>
      <c r="QI187" s="251"/>
      <c r="QJ187" s="251"/>
      <c r="QK187" s="252"/>
      <c r="QQ187" s="18"/>
      <c r="QR187" s="19"/>
      <c r="QS187" s="39"/>
      <c r="QT187" s="39"/>
      <c r="QU187" s="39"/>
      <c r="QV187" s="39"/>
      <c r="QW187" s="40"/>
    </row>
    <row r="188" spans="3:465" ht="5.0999999999999996" customHeight="1" x14ac:dyDescent="0.3">
      <c r="C188" s="15"/>
      <c r="D188" s="16"/>
      <c r="J188" s="250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2"/>
      <c r="AY188" s="250"/>
      <c r="AZ188" s="251"/>
      <c r="BA188" s="251"/>
      <c r="BB188" s="251"/>
      <c r="BC188" s="252"/>
      <c r="OR188" s="250"/>
      <c r="OS188" s="251"/>
      <c r="OT188" s="251"/>
      <c r="OU188" s="251"/>
      <c r="OV188" s="251"/>
      <c r="OW188" s="251"/>
      <c r="OX188" s="251"/>
      <c r="OY188" s="251"/>
      <c r="OZ188" s="251"/>
      <c r="PA188" s="251"/>
      <c r="PB188" s="251"/>
      <c r="PC188" s="251"/>
      <c r="PD188" s="251"/>
      <c r="PE188" s="251"/>
      <c r="PF188" s="251"/>
      <c r="PG188" s="251"/>
      <c r="PH188" s="251"/>
      <c r="PI188" s="251"/>
      <c r="PJ188" s="251"/>
      <c r="PK188" s="251"/>
      <c r="PL188" s="251"/>
      <c r="PM188" s="251"/>
      <c r="PN188" s="251"/>
      <c r="PO188" s="251"/>
      <c r="PP188" s="251"/>
      <c r="PQ188" s="251"/>
      <c r="PR188" s="251"/>
      <c r="PS188" s="251"/>
      <c r="PT188" s="251"/>
      <c r="PU188" s="251"/>
      <c r="PV188" s="251"/>
      <c r="PW188" s="251"/>
      <c r="PX188" s="251"/>
      <c r="PY188" s="251"/>
      <c r="PZ188" s="251"/>
      <c r="QA188" s="251"/>
      <c r="QB188" s="251"/>
      <c r="QC188" s="251"/>
      <c r="QD188" s="251"/>
      <c r="QE188" s="252"/>
      <c r="QF188" s="250"/>
      <c r="QG188" s="251"/>
      <c r="QH188" s="251"/>
      <c r="QI188" s="251"/>
      <c r="QJ188" s="251"/>
      <c r="QK188" s="252"/>
      <c r="QQ188" s="18"/>
      <c r="QR188" s="19"/>
      <c r="QS188" s="39"/>
      <c r="QT188" s="39"/>
      <c r="QU188" s="39"/>
      <c r="QV188" s="39"/>
      <c r="QW188" s="40"/>
    </row>
    <row r="189" spans="3:465" ht="5.0999999999999996" customHeight="1" x14ac:dyDescent="0.3">
      <c r="C189" s="15"/>
      <c r="D189" s="16"/>
      <c r="J189" s="250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2"/>
      <c r="AY189" s="250"/>
      <c r="AZ189" s="251"/>
      <c r="BA189" s="251"/>
      <c r="BB189" s="251"/>
      <c r="BC189" s="252"/>
      <c r="OR189" s="250"/>
      <c r="OS189" s="251"/>
      <c r="OT189" s="251"/>
      <c r="OU189" s="251"/>
      <c r="OV189" s="251"/>
      <c r="OW189" s="251"/>
      <c r="OX189" s="251"/>
      <c r="OY189" s="251"/>
      <c r="OZ189" s="251"/>
      <c r="PA189" s="251"/>
      <c r="PB189" s="251"/>
      <c r="PC189" s="251"/>
      <c r="PD189" s="251"/>
      <c r="PE189" s="251"/>
      <c r="PF189" s="251"/>
      <c r="PG189" s="251"/>
      <c r="PH189" s="251"/>
      <c r="PI189" s="251"/>
      <c r="PJ189" s="251"/>
      <c r="PK189" s="251"/>
      <c r="PL189" s="251"/>
      <c r="PM189" s="251"/>
      <c r="PN189" s="251"/>
      <c r="PO189" s="251"/>
      <c r="PP189" s="251"/>
      <c r="PQ189" s="251"/>
      <c r="PR189" s="251"/>
      <c r="PS189" s="251"/>
      <c r="PT189" s="251"/>
      <c r="PU189" s="251"/>
      <c r="PV189" s="251"/>
      <c r="PW189" s="251"/>
      <c r="PX189" s="251"/>
      <c r="PY189" s="251"/>
      <c r="PZ189" s="251"/>
      <c r="QA189" s="251"/>
      <c r="QB189" s="251"/>
      <c r="QC189" s="251"/>
      <c r="QD189" s="251"/>
      <c r="QE189" s="252"/>
      <c r="QF189" s="250"/>
      <c r="QG189" s="251"/>
      <c r="QH189" s="251"/>
      <c r="QI189" s="251"/>
      <c r="QJ189" s="251"/>
      <c r="QK189" s="252"/>
      <c r="QQ189" s="18"/>
      <c r="QR189" s="19"/>
    </row>
    <row r="190" spans="3:465" ht="5.0999999999999996" customHeight="1" x14ac:dyDescent="0.3">
      <c r="C190" s="15"/>
      <c r="D190" s="16"/>
      <c r="J190" s="250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2"/>
      <c r="AY190" s="250"/>
      <c r="AZ190" s="251"/>
      <c r="BA190" s="251"/>
      <c r="BB190" s="251"/>
      <c r="BC190" s="252"/>
      <c r="OR190" s="250"/>
      <c r="OS190" s="251"/>
      <c r="OT190" s="251"/>
      <c r="OU190" s="251"/>
      <c r="OV190" s="251"/>
      <c r="OW190" s="251"/>
      <c r="OX190" s="251"/>
      <c r="OY190" s="251"/>
      <c r="OZ190" s="251"/>
      <c r="PA190" s="251"/>
      <c r="PB190" s="251"/>
      <c r="PC190" s="251"/>
      <c r="PD190" s="251"/>
      <c r="PE190" s="251"/>
      <c r="PF190" s="251"/>
      <c r="PG190" s="251"/>
      <c r="PH190" s="251"/>
      <c r="PI190" s="251"/>
      <c r="PJ190" s="251"/>
      <c r="PK190" s="251"/>
      <c r="PL190" s="251"/>
      <c r="PM190" s="251"/>
      <c r="PN190" s="251"/>
      <c r="PO190" s="251"/>
      <c r="PP190" s="251"/>
      <c r="PQ190" s="251"/>
      <c r="PR190" s="251"/>
      <c r="PS190" s="251"/>
      <c r="PT190" s="251"/>
      <c r="PU190" s="251"/>
      <c r="PV190" s="251"/>
      <c r="PW190" s="251"/>
      <c r="PX190" s="251"/>
      <c r="PY190" s="251"/>
      <c r="PZ190" s="251"/>
      <c r="QA190" s="251"/>
      <c r="QB190" s="251"/>
      <c r="QC190" s="251"/>
      <c r="QD190" s="251"/>
      <c r="QE190" s="252"/>
      <c r="QF190" s="250"/>
      <c r="QG190" s="251"/>
      <c r="QH190" s="251"/>
      <c r="QI190" s="251"/>
      <c r="QJ190" s="251"/>
      <c r="QK190" s="252"/>
      <c r="QQ190" s="18"/>
      <c r="QR190" s="19"/>
    </row>
    <row r="191" spans="3:465" ht="5.0999999999999996" customHeight="1" x14ac:dyDescent="0.3">
      <c r="C191" s="15"/>
      <c r="D191" s="16"/>
      <c r="J191" s="250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2"/>
      <c r="AY191" s="250"/>
      <c r="AZ191" s="251"/>
      <c r="BA191" s="251"/>
      <c r="BB191" s="251"/>
      <c r="BC191" s="252"/>
      <c r="OR191" s="250"/>
      <c r="OS191" s="251"/>
      <c r="OT191" s="251"/>
      <c r="OU191" s="251"/>
      <c r="OV191" s="251"/>
      <c r="OW191" s="251"/>
      <c r="OX191" s="251"/>
      <c r="OY191" s="251"/>
      <c r="OZ191" s="251"/>
      <c r="PA191" s="251"/>
      <c r="PB191" s="251"/>
      <c r="PC191" s="251"/>
      <c r="PD191" s="251"/>
      <c r="PE191" s="251"/>
      <c r="PF191" s="251"/>
      <c r="PG191" s="251"/>
      <c r="PH191" s="251"/>
      <c r="PI191" s="251"/>
      <c r="PJ191" s="251"/>
      <c r="PK191" s="251"/>
      <c r="PL191" s="251"/>
      <c r="PM191" s="251"/>
      <c r="PN191" s="251"/>
      <c r="PO191" s="251"/>
      <c r="PP191" s="251"/>
      <c r="PQ191" s="251"/>
      <c r="PR191" s="251"/>
      <c r="PS191" s="251"/>
      <c r="PT191" s="251"/>
      <c r="PU191" s="251"/>
      <c r="PV191" s="251"/>
      <c r="PW191" s="251"/>
      <c r="PX191" s="251"/>
      <c r="PY191" s="251"/>
      <c r="PZ191" s="251"/>
      <c r="QA191" s="251"/>
      <c r="QB191" s="251"/>
      <c r="QC191" s="251"/>
      <c r="QD191" s="251"/>
      <c r="QE191" s="252"/>
      <c r="QF191" s="250"/>
      <c r="QG191" s="251"/>
      <c r="QH191" s="251"/>
      <c r="QI191" s="251"/>
      <c r="QJ191" s="251"/>
      <c r="QK191" s="252"/>
      <c r="QQ191" s="18"/>
      <c r="QR191" s="19"/>
    </row>
    <row r="192" spans="3:465" ht="5.0999999999999996" customHeight="1" x14ac:dyDescent="0.3">
      <c r="C192" s="15"/>
      <c r="D192" s="16"/>
      <c r="J192" s="253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254"/>
      <c r="AG192" s="254"/>
      <c r="AH192" s="254"/>
      <c r="AI192" s="254"/>
      <c r="AJ192" s="254"/>
      <c r="AK192" s="254"/>
      <c r="AL192" s="254"/>
      <c r="AM192" s="254"/>
      <c r="AN192" s="254"/>
      <c r="AO192" s="254"/>
      <c r="AP192" s="254"/>
      <c r="AQ192" s="254"/>
      <c r="AR192" s="254"/>
      <c r="AS192" s="254"/>
      <c r="AT192" s="254"/>
      <c r="AU192" s="254"/>
      <c r="AV192" s="254"/>
      <c r="AW192" s="254"/>
      <c r="AX192" s="255"/>
      <c r="AY192" s="253"/>
      <c r="AZ192" s="254"/>
      <c r="BA192" s="254"/>
      <c r="BB192" s="254"/>
      <c r="BC192" s="255"/>
      <c r="OR192" s="250"/>
      <c r="OS192" s="251"/>
      <c r="OT192" s="251"/>
      <c r="OU192" s="251"/>
      <c r="OV192" s="251"/>
      <c r="OW192" s="251"/>
      <c r="OX192" s="251"/>
      <c r="OY192" s="251"/>
      <c r="OZ192" s="251"/>
      <c r="PA192" s="251"/>
      <c r="PB192" s="251"/>
      <c r="PC192" s="251"/>
      <c r="PD192" s="251"/>
      <c r="PE192" s="251"/>
      <c r="PF192" s="251"/>
      <c r="PG192" s="251"/>
      <c r="PH192" s="251"/>
      <c r="PI192" s="251"/>
      <c r="PJ192" s="251"/>
      <c r="PK192" s="251"/>
      <c r="PL192" s="251"/>
      <c r="PM192" s="251"/>
      <c r="PN192" s="251"/>
      <c r="PO192" s="251"/>
      <c r="PP192" s="251"/>
      <c r="PQ192" s="251"/>
      <c r="PR192" s="251"/>
      <c r="PS192" s="251"/>
      <c r="PT192" s="251"/>
      <c r="PU192" s="251"/>
      <c r="PV192" s="251"/>
      <c r="PW192" s="251"/>
      <c r="PX192" s="251"/>
      <c r="PY192" s="251"/>
      <c r="PZ192" s="251"/>
      <c r="QA192" s="251"/>
      <c r="QB192" s="251"/>
      <c r="QC192" s="251"/>
      <c r="QD192" s="251"/>
      <c r="QE192" s="252"/>
      <c r="QF192" s="250"/>
      <c r="QG192" s="251"/>
      <c r="QH192" s="251"/>
      <c r="QI192" s="251"/>
      <c r="QJ192" s="251"/>
      <c r="QK192" s="252"/>
      <c r="QQ192" s="18"/>
      <c r="QR192" s="19"/>
    </row>
    <row r="193" spans="3:465" ht="4.5" customHeight="1" x14ac:dyDescent="0.3">
      <c r="C193" s="15"/>
      <c r="D193" s="16"/>
      <c r="OR193" s="253"/>
      <c r="OS193" s="254"/>
      <c r="OT193" s="254"/>
      <c r="OU193" s="254"/>
      <c r="OV193" s="254"/>
      <c r="OW193" s="254"/>
      <c r="OX193" s="254"/>
      <c r="OY193" s="254"/>
      <c r="OZ193" s="254"/>
      <c r="PA193" s="254"/>
      <c r="PB193" s="254"/>
      <c r="PC193" s="254"/>
      <c r="PD193" s="254"/>
      <c r="PE193" s="254"/>
      <c r="PF193" s="254"/>
      <c r="PG193" s="254"/>
      <c r="PH193" s="254"/>
      <c r="PI193" s="254"/>
      <c r="PJ193" s="254"/>
      <c r="PK193" s="254"/>
      <c r="PL193" s="254"/>
      <c r="PM193" s="254"/>
      <c r="PN193" s="254"/>
      <c r="PO193" s="254"/>
      <c r="PP193" s="254"/>
      <c r="PQ193" s="254"/>
      <c r="PR193" s="254"/>
      <c r="PS193" s="254"/>
      <c r="PT193" s="254"/>
      <c r="PU193" s="254"/>
      <c r="PV193" s="254"/>
      <c r="PW193" s="254"/>
      <c r="PX193" s="254"/>
      <c r="PY193" s="254"/>
      <c r="PZ193" s="254"/>
      <c r="QA193" s="254"/>
      <c r="QB193" s="254"/>
      <c r="QC193" s="254"/>
      <c r="QD193" s="254"/>
      <c r="QE193" s="255"/>
      <c r="QF193" s="253"/>
      <c r="QG193" s="254"/>
      <c r="QH193" s="254"/>
      <c r="QI193" s="254"/>
      <c r="QJ193" s="254"/>
      <c r="QK193" s="255"/>
      <c r="QQ193" s="18"/>
      <c r="QR193" s="19"/>
    </row>
    <row r="194" spans="3:465" ht="5.0999999999999996" customHeight="1" x14ac:dyDescent="0.3">
      <c r="C194" s="15"/>
      <c r="D194" s="16"/>
      <c r="QQ194" s="18"/>
      <c r="QR194" s="19"/>
    </row>
    <row r="195" spans="3:465" ht="5.0999999999999996" customHeight="1" x14ac:dyDescent="0.3">
      <c r="C195" s="15"/>
      <c r="D195" s="16"/>
      <c r="QQ195" s="18"/>
      <c r="QR195" s="19"/>
    </row>
    <row r="196" spans="3:465" ht="5.0999999999999996" customHeight="1" x14ac:dyDescent="0.3">
      <c r="C196" s="15"/>
      <c r="D196" s="16"/>
      <c r="QQ196" s="18"/>
      <c r="QR196" s="19"/>
    </row>
    <row r="197" spans="3:465" ht="5.0999999999999996" customHeight="1" x14ac:dyDescent="0.3">
      <c r="C197" s="15"/>
      <c r="D197" s="16"/>
      <c r="QQ197" s="18"/>
      <c r="QR197" s="19"/>
      <c r="QS197" s="39"/>
      <c r="QT197" s="39"/>
      <c r="QU197" s="39"/>
      <c r="QV197" s="39"/>
      <c r="QW197" s="40"/>
    </row>
    <row r="198" spans="3:465" ht="5.0999999999999996" customHeight="1" x14ac:dyDescent="0.3">
      <c r="C198" s="15"/>
      <c r="D198" s="16"/>
      <c r="QQ198" s="18"/>
      <c r="QR198" s="19"/>
      <c r="QS198" s="39"/>
      <c r="QT198" s="39"/>
      <c r="QU198" s="39"/>
      <c r="QV198" s="39"/>
      <c r="QW198" s="40"/>
    </row>
    <row r="199" spans="3:465" ht="5.0999999999999996" customHeight="1" x14ac:dyDescent="0.3">
      <c r="C199" s="15"/>
      <c r="D199" s="16"/>
      <c r="QQ199" s="18"/>
      <c r="QR199" s="19"/>
      <c r="QS199" s="39"/>
      <c r="QT199" s="39"/>
      <c r="QU199" s="39"/>
      <c r="QV199" s="39"/>
      <c r="QW199" s="40"/>
    </row>
    <row r="200" spans="3:465" ht="5.0999999999999996" customHeight="1" x14ac:dyDescent="0.3">
      <c r="C200" s="15"/>
      <c r="D200" s="16"/>
      <c r="QQ200" s="18"/>
      <c r="QR200" s="19"/>
      <c r="QS200" s="39"/>
      <c r="QT200" s="39"/>
      <c r="QU200" s="39"/>
      <c r="QV200" s="39"/>
      <c r="QW200" s="40"/>
    </row>
    <row r="201" spans="3:465" ht="5.0999999999999996" customHeight="1" x14ac:dyDescent="0.3">
      <c r="C201" s="15"/>
      <c r="D201" s="16"/>
      <c r="QQ201" s="18"/>
      <c r="QR201" s="19"/>
      <c r="QS201" s="39"/>
      <c r="QT201" s="39"/>
      <c r="QU201" s="39"/>
      <c r="QV201" s="39"/>
      <c r="QW201" s="40"/>
    </row>
    <row r="202" spans="3:465" ht="5.0999999999999996" customHeight="1" x14ac:dyDescent="0.3">
      <c r="C202" s="15"/>
      <c r="D202" s="16"/>
      <c r="QQ202" s="18"/>
      <c r="QR202" s="19"/>
    </row>
    <row r="203" spans="3:465" ht="5.0999999999999996" customHeight="1" x14ac:dyDescent="0.3">
      <c r="C203" s="15"/>
      <c r="D203" s="16"/>
      <c r="QQ203" s="18"/>
      <c r="QR203" s="19"/>
    </row>
    <row r="204" spans="3:465" ht="5.0999999999999996" customHeight="1" x14ac:dyDescent="0.3">
      <c r="C204" s="15"/>
      <c r="D204" s="16"/>
      <c r="QQ204" s="18"/>
      <c r="QR204" s="19"/>
      <c r="QS204" s="39"/>
      <c r="QT204" s="39"/>
      <c r="QU204" s="39"/>
      <c r="QV204" s="39"/>
      <c r="QW204" s="40"/>
    </row>
    <row r="205" spans="3:465" ht="5.0999999999999996" customHeight="1" x14ac:dyDescent="0.3">
      <c r="C205" s="15"/>
      <c r="D205" s="16"/>
      <c r="QQ205" s="18"/>
      <c r="QR205" s="19"/>
      <c r="QS205" s="39"/>
      <c r="QT205" s="39"/>
      <c r="QU205" s="39"/>
      <c r="QV205" s="39"/>
      <c r="QW205" s="40"/>
    </row>
    <row r="206" spans="3:465" ht="5.0999999999999996" customHeight="1" x14ac:dyDescent="0.3">
      <c r="C206" s="15"/>
      <c r="D206" s="16"/>
      <c r="QQ206" s="18"/>
      <c r="QR206" s="19"/>
      <c r="QS206" s="39"/>
      <c r="QT206" s="39"/>
      <c r="QU206" s="39"/>
      <c r="QV206" s="39"/>
      <c r="QW206" s="40"/>
    </row>
    <row r="207" spans="3:465" ht="5.0999999999999996" customHeight="1" x14ac:dyDescent="0.3">
      <c r="C207" s="15"/>
      <c r="D207" s="16"/>
      <c r="QQ207" s="18"/>
      <c r="QR207" s="19"/>
      <c r="QS207" s="39"/>
      <c r="QT207" s="39"/>
      <c r="QU207" s="39"/>
      <c r="QV207" s="39"/>
      <c r="QW207" s="40"/>
    </row>
    <row r="208" spans="3:465" ht="5.0999999999999996" customHeight="1" x14ac:dyDescent="0.3">
      <c r="C208" s="15"/>
      <c r="D208" s="16"/>
      <c r="QQ208" s="18"/>
      <c r="QR208" s="19"/>
      <c r="QS208" s="39"/>
      <c r="QT208" s="39"/>
      <c r="QU208" s="39"/>
      <c r="QV208" s="39"/>
      <c r="QW208" s="40"/>
    </row>
    <row r="209" spans="3:484" ht="5.0999999999999996" customHeight="1" x14ac:dyDescent="0.3">
      <c r="C209" s="15"/>
      <c r="D209" s="16"/>
      <c r="QQ209" s="18"/>
      <c r="QR209" s="19"/>
      <c r="QS209" s="39"/>
      <c r="QT209" s="39"/>
      <c r="QU209" s="39"/>
      <c r="QV209" s="39"/>
      <c r="QW209" s="40"/>
    </row>
    <row r="210" spans="3:484" ht="5.0999999999999996" customHeight="1" x14ac:dyDescent="0.3">
      <c r="C210" s="15"/>
      <c r="D210" s="16"/>
      <c r="QQ210" s="18"/>
      <c r="QR210" s="19"/>
      <c r="QS210" s="39"/>
      <c r="QT210" s="39"/>
      <c r="QU210" s="39"/>
      <c r="QV210" s="39"/>
      <c r="QW210" s="40"/>
    </row>
    <row r="211" spans="3:484" ht="5.0999999999999996" customHeight="1" x14ac:dyDescent="0.3">
      <c r="C211" s="15"/>
      <c r="D211" s="16"/>
      <c r="QQ211" s="18"/>
      <c r="QR211" s="19"/>
      <c r="QS211" s="39"/>
      <c r="QT211" s="39"/>
      <c r="QU211" s="39"/>
      <c r="QV211" s="39"/>
      <c r="QW211" s="40"/>
    </row>
    <row r="212" spans="3:484" ht="5.0999999999999996" customHeight="1" x14ac:dyDescent="0.3">
      <c r="C212" s="15"/>
      <c r="D212" s="16"/>
      <c r="QQ212" s="18"/>
      <c r="QR212" s="19"/>
      <c r="QS212" s="39"/>
      <c r="QT212" s="39"/>
      <c r="QU212" s="39"/>
      <c r="QV212" s="39"/>
      <c r="QW212" s="40"/>
    </row>
    <row r="213" spans="3:484" ht="5.0999999999999996" customHeight="1" x14ac:dyDescent="0.3">
      <c r="C213" s="15"/>
      <c r="D213" s="16"/>
      <c r="QQ213" s="18"/>
      <c r="QR213" s="19"/>
      <c r="QS213" s="39"/>
      <c r="QT213" s="39"/>
      <c r="QU213" s="39"/>
      <c r="QV213" s="39"/>
      <c r="QW213" s="40"/>
    </row>
    <row r="214" spans="3:484" ht="5.0999999999999996" customHeight="1" x14ac:dyDescent="0.3">
      <c r="C214" s="15"/>
      <c r="D214" s="16"/>
      <c r="QQ214" s="18"/>
      <c r="QR214" s="19"/>
      <c r="QS214" s="39"/>
      <c r="QT214" s="39"/>
      <c r="QU214" s="39"/>
      <c r="QV214" s="39"/>
      <c r="QW214" s="40"/>
    </row>
    <row r="215" spans="3:484" ht="5.0999999999999996" customHeight="1" x14ac:dyDescent="0.3">
      <c r="C215" s="15"/>
      <c r="D215" s="16"/>
      <c r="QQ215" s="18"/>
      <c r="QR215" s="19"/>
      <c r="QS215" s="39"/>
      <c r="QT215" s="39"/>
      <c r="QU215" s="39"/>
      <c r="QV215" s="39"/>
      <c r="QW215" s="40"/>
    </row>
    <row r="216" spans="3:484" ht="5.0999999999999996" customHeight="1" x14ac:dyDescent="0.3">
      <c r="C216" s="15"/>
      <c r="D216" s="16"/>
      <c r="QQ216" s="18"/>
      <c r="QR216" s="19"/>
      <c r="QS216" s="39"/>
      <c r="QT216" s="39"/>
      <c r="QU216" s="39"/>
      <c r="QV216" s="39"/>
      <c r="QW216" s="40"/>
    </row>
    <row r="217" spans="3:484" ht="5.0999999999999996" customHeight="1" x14ac:dyDescent="0.3">
      <c r="C217" s="15"/>
      <c r="D217" s="16"/>
      <c r="QQ217" s="18"/>
      <c r="QR217" s="19"/>
      <c r="QS217" s="39"/>
      <c r="QT217" s="39"/>
      <c r="QU217" s="39"/>
      <c r="QV217" s="39"/>
      <c r="QW217" s="40"/>
      <c r="RK217" s="39"/>
      <c r="RL217" s="39"/>
      <c r="RM217" s="39"/>
      <c r="RN217" s="39"/>
      <c r="RO217" s="39"/>
      <c r="RP217" s="40"/>
    </row>
    <row r="218" spans="3:484" ht="5.0999999999999996" customHeight="1" x14ac:dyDescent="0.3">
      <c r="C218" s="15"/>
      <c r="D218" s="16"/>
      <c r="QQ218" s="18"/>
      <c r="QR218" s="19"/>
      <c r="QS218" s="39"/>
      <c r="QT218" s="39"/>
      <c r="QU218" s="39"/>
      <c r="QV218" s="39"/>
      <c r="QW218" s="40"/>
      <c r="RK218" s="39"/>
      <c r="RL218" s="39"/>
      <c r="RM218" s="39"/>
      <c r="RN218" s="39"/>
      <c r="RO218" s="39"/>
      <c r="RP218" s="40"/>
    </row>
    <row r="219" spans="3:484" ht="5.0999999999999996" customHeight="1" x14ac:dyDescent="0.3">
      <c r="C219" s="15"/>
      <c r="D219" s="16"/>
      <c r="QQ219" s="18"/>
      <c r="QR219" s="19"/>
      <c r="QS219" s="39"/>
      <c r="QT219" s="39"/>
      <c r="QU219" s="39"/>
      <c r="QV219" s="39"/>
      <c r="QW219" s="40"/>
      <c r="RK219" s="39"/>
      <c r="RL219" s="39"/>
      <c r="RM219" s="39"/>
      <c r="RN219" s="39"/>
      <c r="RO219" s="39"/>
      <c r="RP219" s="40"/>
    </row>
    <row r="220" spans="3:484" ht="5.0999999999999996" customHeight="1" x14ac:dyDescent="0.3">
      <c r="C220" s="15"/>
      <c r="D220" s="16"/>
      <c r="QQ220" s="18"/>
      <c r="QR220" s="19"/>
    </row>
    <row r="221" spans="3:484" ht="5.0999999999999996" customHeight="1" x14ac:dyDescent="0.3">
      <c r="C221" s="15"/>
      <c r="D221" s="16"/>
      <c r="QQ221" s="18"/>
      <c r="QR221" s="19"/>
    </row>
    <row r="222" spans="3:484" ht="5.0999999999999996" customHeight="1" x14ac:dyDescent="0.3">
      <c r="C222" s="15"/>
      <c r="D222" s="16"/>
      <c r="DO222" s="236" t="s">
        <v>64</v>
      </c>
      <c r="DP222" s="236"/>
      <c r="DQ222" s="236"/>
      <c r="DR222" s="236"/>
      <c r="DS222" s="236"/>
      <c r="DT222" s="236"/>
      <c r="DU222" s="236"/>
      <c r="DV222" s="236"/>
      <c r="DW222" s="236"/>
      <c r="DX222" s="236"/>
      <c r="DY222" s="236"/>
      <c r="DZ222" s="236"/>
      <c r="EA222" s="236"/>
      <c r="EB222" s="236"/>
      <c r="EC222" s="236"/>
      <c r="ED222" s="236"/>
      <c r="EE222" s="236"/>
      <c r="EF222" s="236"/>
      <c r="EG222" s="236"/>
      <c r="EH222" s="236"/>
      <c r="EI222" s="236"/>
      <c r="EJ222" s="236"/>
      <c r="EK222" s="236"/>
      <c r="EL222" s="236"/>
      <c r="EM222" s="236"/>
      <c r="EN222" s="236"/>
      <c r="EO222" s="236"/>
      <c r="EP222" s="236"/>
      <c r="EQ222" s="236"/>
      <c r="ER222" s="236"/>
      <c r="ES222" s="236"/>
      <c r="ET222" s="236"/>
      <c r="EU222" s="236"/>
      <c r="EV222" s="236"/>
      <c r="EW222" s="236"/>
      <c r="EX222" s="236"/>
      <c r="EY222" s="236"/>
      <c r="EZ222" s="236"/>
      <c r="FA222" s="236"/>
      <c r="FB222" s="236"/>
      <c r="FC222" s="236"/>
      <c r="FD222" s="236"/>
      <c r="FE222" s="236"/>
      <c r="FF222" s="237">
        <f>SUM(FF228:FJ247)</f>
        <v>5</v>
      </c>
      <c r="FG222" s="237"/>
      <c r="FH222" s="237"/>
      <c r="FI222" s="237"/>
      <c r="FJ222" s="237"/>
      <c r="FO222" s="236" t="s">
        <v>65</v>
      </c>
      <c r="FP222" s="236"/>
      <c r="FQ222" s="236"/>
      <c r="FR222" s="236"/>
      <c r="FS222" s="236"/>
      <c r="FT222" s="236"/>
      <c r="FU222" s="236"/>
      <c r="FV222" s="236"/>
      <c r="FW222" s="236"/>
      <c r="FX222" s="236"/>
      <c r="FY222" s="236"/>
      <c r="FZ222" s="236"/>
      <c r="GA222" s="236"/>
      <c r="GB222" s="236"/>
      <c r="GC222" s="236"/>
      <c r="GD222" s="236"/>
      <c r="GE222" s="236"/>
      <c r="GF222" s="236"/>
      <c r="GG222" s="236"/>
      <c r="GH222" s="236"/>
      <c r="GI222" s="236"/>
      <c r="GJ222" s="236"/>
      <c r="GK222" s="236"/>
      <c r="GL222" s="236"/>
      <c r="GM222" s="236"/>
      <c r="GN222" s="236"/>
      <c r="GO222" s="236"/>
      <c r="GP222" s="236"/>
      <c r="GQ222" s="236"/>
      <c r="GR222" s="236"/>
      <c r="GS222" s="236"/>
      <c r="GT222" s="236"/>
      <c r="GU222" s="236"/>
      <c r="GV222" s="236"/>
      <c r="GW222" s="236"/>
      <c r="GX222" s="236"/>
      <c r="GY222" s="236"/>
      <c r="GZ222" s="236"/>
      <c r="HA222" s="236"/>
      <c r="HB222" s="236"/>
      <c r="HC222" s="236"/>
      <c r="HD222" s="236"/>
      <c r="HE222" s="236"/>
      <c r="HF222" s="237">
        <f>SUM(HF228:HJ247)</f>
        <v>0</v>
      </c>
      <c r="HG222" s="237"/>
      <c r="HH222" s="237"/>
      <c r="HI222" s="237"/>
      <c r="HJ222" s="237"/>
      <c r="QQ222" s="18"/>
      <c r="QR222" s="19"/>
    </row>
    <row r="223" spans="3:484" ht="5.0999999999999996" customHeight="1" x14ac:dyDescent="0.3">
      <c r="C223" s="15"/>
      <c r="D223" s="16"/>
      <c r="DO223" s="236"/>
      <c r="DP223" s="236"/>
      <c r="DQ223" s="236"/>
      <c r="DR223" s="236"/>
      <c r="DS223" s="236"/>
      <c r="DT223" s="236"/>
      <c r="DU223" s="236"/>
      <c r="DV223" s="236"/>
      <c r="DW223" s="236"/>
      <c r="DX223" s="236"/>
      <c r="DY223" s="236"/>
      <c r="DZ223" s="236"/>
      <c r="EA223" s="236"/>
      <c r="EB223" s="236"/>
      <c r="EC223" s="236"/>
      <c r="ED223" s="236"/>
      <c r="EE223" s="236"/>
      <c r="EF223" s="236"/>
      <c r="EG223" s="236"/>
      <c r="EH223" s="236"/>
      <c r="EI223" s="236"/>
      <c r="EJ223" s="236"/>
      <c r="EK223" s="236"/>
      <c r="EL223" s="236"/>
      <c r="EM223" s="236"/>
      <c r="EN223" s="236"/>
      <c r="EO223" s="236"/>
      <c r="EP223" s="236"/>
      <c r="EQ223" s="236"/>
      <c r="ER223" s="236"/>
      <c r="ES223" s="236"/>
      <c r="ET223" s="236"/>
      <c r="EU223" s="236"/>
      <c r="EV223" s="236"/>
      <c r="EW223" s="236"/>
      <c r="EX223" s="236"/>
      <c r="EY223" s="236"/>
      <c r="EZ223" s="236"/>
      <c r="FA223" s="236"/>
      <c r="FB223" s="236"/>
      <c r="FC223" s="236"/>
      <c r="FD223" s="236"/>
      <c r="FE223" s="236"/>
      <c r="FF223" s="237"/>
      <c r="FG223" s="237"/>
      <c r="FH223" s="237"/>
      <c r="FI223" s="237"/>
      <c r="FJ223" s="237"/>
      <c r="FO223" s="236"/>
      <c r="FP223" s="236"/>
      <c r="FQ223" s="236"/>
      <c r="FR223" s="236"/>
      <c r="FS223" s="236"/>
      <c r="FT223" s="236"/>
      <c r="FU223" s="236"/>
      <c r="FV223" s="236"/>
      <c r="FW223" s="236"/>
      <c r="FX223" s="236"/>
      <c r="FY223" s="236"/>
      <c r="FZ223" s="236"/>
      <c r="GA223" s="236"/>
      <c r="GB223" s="236"/>
      <c r="GC223" s="236"/>
      <c r="GD223" s="236"/>
      <c r="GE223" s="236"/>
      <c r="GF223" s="236"/>
      <c r="GG223" s="236"/>
      <c r="GH223" s="236"/>
      <c r="GI223" s="236"/>
      <c r="GJ223" s="236"/>
      <c r="GK223" s="236"/>
      <c r="GL223" s="236"/>
      <c r="GM223" s="236"/>
      <c r="GN223" s="236"/>
      <c r="GO223" s="236"/>
      <c r="GP223" s="236"/>
      <c r="GQ223" s="236"/>
      <c r="GR223" s="236"/>
      <c r="GS223" s="236"/>
      <c r="GT223" s="236"/>
      <c r="GU223" s="236"/>
      <c r="GV223" s="236"/>
      <c r="GW223" s="236"/>
      <c r="GX223" s="236"/>
      <c r="GY223" s="236"/>
      <c r="GZ223" s="236"/>
      <c r="HA223" s="236"/>
      <c r="HB223" s="236"/>
      <c r="HC223" s="236"/>
      <c r="HD223" s="236"/>
      <c r="HE223" s="236"/>
      <c r="HF223" s="237"/>
      <c r="HG223" s="237"/>
      <c r="HH223" s="237"/>
      <c r="HI223" s="237"/>
      <c r="HJ223" s="237"/>
      <c r="QQ223" s="18"/>
      <c r="QR223" s="19"/>
    </row>
    <row r="224" spans="3:484" ht="5.0999999999999996" customHeight="1" x14ac:dyDescent="0.3">
      <c r="C224" s="15"/>
      <c r="D224" s="16"/>
      <c r="DO224" s="236"/>
      <c r="DP224" s="236"/>
      <c r="DQ224" s="236"/>
      <c r="DR224" s="236"/>
      <c r="DS224" s="236"/>
      <c r="DT224" s="236"/>
      <c r="DU224" s="236"/>
      <c r="DV224" s="236"/>
      <c r="DW224" s="236"/>
      <c r="DX224" s="236"/>
      <c r="DY224" s="236"/>
      <c r="DZ224" s="236"/>
      <c r="EA224" s="236"/>
      <c r="EB224" s="236"/>
      <c r="EC224" s="236"/>
      <c r="ED224" s="236"/>
      <c r="EE224" s="236"/>
      <c r="EF224" s="236"/>
      <c r="EG224" s="236"/>
      <c r="EH224" s="236"/>
      <c r="EI224" s="236"/>
      <c r="EJ224" s="236"/>
      <c r="EK224" s="236"/>
      <c r="EL224" s="236"/>
      <c r="EM224" s="236"/>
      <c r="EN224" s="236"/>
      <c r="EO224" s="236"/>
      <c r="EP224" s="236"/>
      <c r="EQ224" s="236"/>
      <c r="ER224" s="236"/>
      <c r="ES224" s="236"/>
      <c r="ET224" s="236"/>
      <c r="EU224" s="236"/>
      <c r="EV224" s="236"/>
      <c r="EW224" s="236"/>
      <c r="EX224" s="236"/>
      <c r="EY224" s="236"/>
      <c r="EZ224" s="236"/>
      <c r="FA224" s="236"/>
      <c r="FB224" s="236"/>
      <c r="FC224" s="236"/>
      <c r="FD224" s="236"/>
      <c r="FE224" s="236"/>
      <c r="FF224" s="237"/>
      <c r="FG224" s="237"/>
      <c r="FH224" s="237"/>
      <c r="FI224" s="237"/>
      <c r="FJ224" s="237"/>
      <c r="FO224" s="236"/>
      <c r="FP224" s="236"/>
      <c r="FQ224" s="236"/>
      <c r="FR224" s="236"/>
      <c r="FS224" s="236"/>
      <c r="FT224" s="236"/>
      <c r="FU224" s="236"/>
      <c r="FV224" s="236"/>
      <c r="FW224" s="236"/>
      <c r="FX224" s="236"/>
      <c r="FY224" s="236"/>
      <c r="FZ224" s="236"/>
      <c r="GA224" s="236"/>
      <c r="GB224" s="236"/>
      <c r="GC224" s="236"/>
      <c r="GD224" s="236"/>
      <c r="GE224" s="236"/>
      <c r="GF224" s="236"/>
      <c r="GG224" s="236"/>
      <c r="GH224" s="236"/>
      <c r="GI224" s="236"/>
      <c r="GJ224" s="236"/>
      <c r="GK224" s="236"/>
      <c r="GL224" s="236"/>
      <c r="GM224" s="236"/>
      <c r="GN224" s="236"/>
      <c r="GO224" s="236"/>
      <c r="GP224" s="236"/>
      <c r="GQ224" s="236"/>
      <c r="GR224" s="236"/>
      <c r="GS224" s="236"/>
      <c r="GT224" s="236"/>
      <c r="GU224" s="236"/>
      <c r="GV224" s="236"/>
      <c r="GW224" s="236"/>
      <c r="GX224" s="236"/>
      <c r="GY224" s="236"/>
      <c r="GZ224" s="236"/>
      <c r="HA224" s="236"/>
      <c r="HB224" s="236"/>
      <c r="HC224" s="236"/>
      <c r="HD224" s="236"/>
      <c r="HE224" s="236"/>
      <c r="HF224" s="237"/>
      <c r="HG224" s="237"/>
      <c r="HH224" s="237"/>
      <c r="HI224" s="237"/>
      <c r="HJ224" s="237"/>
      <c r="QQ224" s="18"/>
      <c r="QR224" s="19"/>
    </row>
    <row r="225" spans="3:460" ht="5.0999999999999996" customHeight="1" x14ac:dyDescent="0.3">
      <c r="C225" s="15"/>
      <c r="D225" s="16"/>
      <c r="DO225" s="236"/>
      <c r="DP225" s="236"/>
      <c r="DQ225" s="236"/>
      <c r="DR225" s="236"/>
      <c r="DS225" s="236"/>
      <c r="DT225" s="236"/>
      <c r="DU225" s="236"/>
      <c r="DV225" s="236"/>
      <c r="DW225" s="236"/>
      <c r="DX225" s="236"/>
      <c r="DY225" s="236"/>
      <c r="DZ225" s="236"/>
      <c r="EA225" s="236"/>
      <c r="EB225" s="236"/>
      <c r="EC225" s="236"/>
      <c r="ED225" s="236"/>
      <c r="EE225" s="236"/>
      <c r="EF225" s="236"/>
      <c r="EG225" s="236"/>
      <c r="EH225" s="236"/>
      <c r="EI225" s="236"/>
      <c r="EJ225" s="236"/>
      <c r="EK225" s="236"/>
      <c r="EL225" s="236"/>
      <c r="EM225" s="236"/>
      <c r="EN225" s="236"/>
      <c r="EO225" s="236"/>
      <c r="EP225" s="236"/>
      <c r="EQ225" s="236"/>
      <c r="ER225" s="236"/>
      <c r="ES225" s="236"/>
      <c r="ET225" s="236"/>
      <c r="EU225" s="236"/>
      <c r="EV225" s="236"/>
      <c r="EW225" s="236"/>
      <c r="EX225" s="236"/>
      <c r="EY225" s="236"/>
      <c r="EZ225" s="236"/>
      <c r="FA225" s="236"/>
      <c r="FB225" s="236"/>
      <c r="FC225" s="236"/>
      <c r="FD225" s="236"/>
      <c r="FE225" s="236"/>
      <c r="FF225" s="237"/>
      <c r="FG225" s="237"/>
      <c r="FH225" s="237"/>
      <c r="FI225" s="237"/>
      <c r="FJ225" s="237"/>
      <c r="FO225" s="236"/>
      <c r="FP225" s="236"/>
      <c r="FQ225" s="236"/>
      <c r="FR225" s="236"/>
      <c r="FS225" s="236"/>
      <c r="FT225" s="236"/>
      <c r="FU225" s="236"/>
      <c r="FV225" s="236"/>
      <c r="FW225" s="236"/>
      <c r="FX225" s="236"/>
      <c r="FY225" s="236"/>
      <c r="FZ225" s="236"/>
      <c r="GA225" s="236"/>
      <c r="GB225" s="236"/>
      <c r="GC225" s="236"/>
      <c r="GD225" s="236"/>
      <c r="GE225" s="236"/>
      <c r="GF225" s="236"/>
      <c r="GG225" s="236"/>
      <c r="GH225" s="236"/>
      <c r="GI225" s="236"/>
      <c r="GJ225" s="236"/>
      <c r="GK225" s="236"/>
      <c r="GL225" s="236"/>
      <c r="GM225" s="236"/>
      <c r="GN225" s="236"/>
      <c r="GO225" s="236"/>
      <c r="GP225" s="236"/>
      <c r="GQ225" s="236"/>
      <c r="GR225" s="236"/>
      <c r="GS225" s="236"/>
      <c r="GT225" s="236"/>
      <c r="GU225" s="236"/>
      <c r="GV225" s="236"/>
      <c r="GW225" s="236"/>
      <c r="GX225" s="236"/>
      <c r="GY225" s="236"/>
      <c r="GZ225" s="236"/>
      <c r="HA225" s="236"/>
      <c r="HB225" s="236"/>
      <c r="HC225" s="236"/>
      <c r="HD225" s="236"/>
      <c r="HE225" s="236"/>
      <c r="HF225" s="237"/>
      <c r="HG225" s="237"/>
      <c r="HH225" s="237"/>
      <c r="HI225" s="237"/>
      <c r="HJ225" s="237"/>
      <c r="QQ225" s="18"/>
      <c r="QR225" s="19"/>
    </row>
    <row r="226" spans="3:460" ht="5.0999999999999996" customHeight="1" x14ac:dyDescent="0.3">
      <c r="C226" s="15"/>
      <c r="D226" s="16"/>
      <c r="DO226" s="236"/>
      <c r="DP226" s="236"/>
      <c r="DQ226" s="236"/>
      <c r="DR226" s="236"/>
      <c r="DS226" s="236"/>
      <c r="DT226" s="236"/>
      <c r="DU226" s="236"/>
      <c r="DV226" s="236"/>
      <c r="DW226" s="236"/>
      <c r="DX226" s="236"/>
      <c r="DY226" s="236"/>
      <c r="DZ226" s="236"/>
      <c r="EA226" s="236"/>
      <c r="EB226" s="236"/>
      <c r="EC226" s="236"/>
      <c r="ED226" s="236"/>
      <c r="EE226" s="236"/>
      <c r="EF226" s="236"/>
      <c r="EG226" s="236"/>
      <c r="EH226" s="236"/>
      <c r="EI226" s="236"/>
      <c r="EJ226" s="236"/>
      <c r="EK226" s="236"/>
      <c r="EL226" s="236"/>
      <c r="EM226" s="236"/>
      <c r="EN226" s="236"/>
      <c r="EO226" s="236"/>
      <c r="EP226" s="236"/>
      <c r="EQ226" s="236"/>
      <c r="ER226" s="236"/>
      <c r="ES226" s="236"/>
      <c r="ET226" s="236"/>
      <c r="EU226" s="236"/>
      <c r="EV226" s="236"/>
      <c r="EW226" s="236"/>
      <c r="EX226" s="236"/>
      <c r="EY226" s="236"/>
      <c r="EZ226" s="236"/>
      <c r="FA226" s="236"/>
      <c r="FB226" s="236"/>
      <c r="FC226" s="236"/>
      <c r="FD226" s="236"/>
      <c r="FE226" s="236"/>
      <c r="FF226" s="237"/>
      <c r="FG226" s="237"/>
      <c r="FH226" s="237"/>
      <c r="FI226" s="237"/>
      <c r="FJ226" s="237"/>
      <c r="FO226" s="236"/>
      <c r="FP226" s="236"/>
      <c r="FQ226" s="236"/>
      <c r="FR226" s="236"/>
      <c r="FS226" s="236"/>
      <c r="FT226" s="236"/>
      <c r="FU226" s="236"/>
      <c r="FV226" s="236"/>
      <c r="FW226" s="236"/>
      <c r="FX226" s="236"/>
      <c r="FY226" s="236"/>
      <c r="FZ226" s="236"/>
      <c r="GA226" s="236"/>
      <c r="GB226" s="236"/>
      <c r="GC226" s="236"/>
      <c r="GD226" s="236"/>
      <c r="GE226" s="236"/>
      <c r="GF226" s="236"/>
      <c r="GG226" s="236"/>
      <c r="GH226" s="236"/>
      <c r="GI226" s="236"/>
      <c r="GJ226" s="236"/>
      <c r="GK226" s="236"/>
      <c r="GL226" s="236"/>
      <c r="GM226" s="236"/>
      <c r="GN226" s="236"/>
      <c r="GO226" s="236"/>
      <c r="GP226" s="236"/>
      <c r="GQ226" s="236"/>
      <c r="GR226" s="236"/>
      <c r="GS226" s="236"/>
      <c r="GT226" s="236"/>
      <c r="GU226" s="236"/>
      <c r="GV226" s="236"/>
      <c r="GW226" s="236"/>
      <c r="GX226" s="236"/>
      <c r="GY226" s="236"/>
      <c r="GZ226" s="236"/>
      <c r="HA226" s="236"/>
      <c r="HB226" s="236"/>
      <c r="HC226" s="236"/>
      <c r="HD226" s="236"/>
      <c r="HE226" s="236"/>
      <c r="HF226" s="237"/>
      <c r="HG226" s="237"/>
      <c r="HH226" s="237"/>
      <c r="HI226" s="237"/>
      <c r="HJ226" s="237"/>
      <c r="QQ226" s="18"/>
      <c r="QR226" s="19"/>
    </row>
    <row r="227" spans="3:460" ht="5.0999999999999996" customHeight="1" x14ac:dyDescent="0.3">
      <c r="C227" s="15"/>
      <c r="D227" s="16"/>
      <c r="DO227" s="236"/>
      <c r="DP227" s="236"/>
      <c r="DQ227" s="236"/>
      <c r="DR227" s="236"/>
      <c r="DS227" s="236"/>
      <c r="DT227" s="236"/>
      <c r="DU227" s="236"/>
      <c r="DV227" s="236"/>
      <c r="DW227" s="236"/>
      <c r="DX227" s="236"/>
      <c r="DY227" s="236"/>
      <c r="DZ227" s="236"/>
      <c r="EA227" s="236"/>
      <c r="EB227" s="236"/>
      <c r="EC227" s="236"/>
      <c r="ED227" s="236"/>
      <c r="EE227" s="236"/>
      <c r="EF227" s="236"/>
      <c r="EG227" s="236"/>
      <c r="EH227" s="236"/>
      <c r="EI227" s="236"/>
      <c r="EJ227" s="236"/>
      <c r="EK227" s="236"/>
      <c r="EL227" s="236"/>
      <c r="EM227" s="236"/>
      <c r="EN227" s="236"/>
      <c r="EO227" s="236"/>
      <c r="EP227" s="236"/>
      <c r="EQ227" s="236"/>
      <c r="ER227" s="236"/>
      <c r="ES227" s="236"/>
      <c r="ET227" s="236"/>
      <c r="EU227" s="236"/>
      <c r="EV227" s="236"/>
      <c r="EW227" s="236"/>
      <c r="EX227" s="236"/>
      <c r="EY227" s="236"/>
      <c r="EZ227" s="236"/>
      <c r="FA227" s="236"/>
      <c r="FB227" s="236"/>
      <c r="FC227" s="236"/>
      <c r="FD227" s="236"/>
      <c r="FE227" s="236"/>
      <c r="FF227" s="237"/>
      <c r="FG227" s="237"/>
      <c r="FH227" s="237"/>
      <c r="FI227" s="237"/>
      <c r="FJ227" s="237"/>
      <c r="FO227" s="236"/>
      <c r="FP227" s="236"/>
      <c r="FQ227" s="236"/>
      <c r="FR227" s="236"/>
      <c r="FS227" s="236"/>
      <c r="FT227" s="236"/>
      <c r="FU227" s="236"/>
      <c r="FV227" s="236"/>
      <c r="FW227" s="236"/>
      <c r="FX227" s="236"/>
      <c r="FY227" s="236"/>
      <c r="FZ227" s="236"/>
      <c r="GA227" s="236"/>
      <c r="GB227" s="236"/>
      <c r="GC227" s="236"/>
      <c r="GD227" s="236"/>
      <c r="GE227" s="236"/>
      <c r="GF227" s="236"/>
      <c r="GG227" s="236"/>
      <c r="GH227" s="236"/>
      <c r="GI227" s="236"/>
      <c r="GJ227" s="236"/>
      <c r="GK227" s="236"/>
      <c r="GL227" s="236"/>
      <c r="GM227" s="236"/>
      <c r="GN227" s="236"/>
      <c r="GO227" s="236"/>
      <c r="GP227" s="236"/>
      <c r="GQ227" s="236"/>
      <c r="GR227" s="236"/>
      <c r="GS227" s="236"/>
      <c r="GT227" s="236"/>
      <c r="GU227" s="236"/>
      <c r="GV227" s="236"/>
      <c r="GW227" s="236"/>
      <c r="GX227" s="236"/>
      <c r="GY227" s="236"/>
      <c r="GZ227" s="236"/>
      <c r="HA227" s="236"/>
      <c r="HB227" s="236"/>
      <c r="HC227" s="236"/>
      <c r="HD227" s="236"/>
      <c r="HE227" s="236"/>
      <c r="HF227" s="237"/>
      <c r="HG227" s="237"/>
      <c r="HH227" s="237"/>
      <c r="HI227" s="237"/>
      <c r="HJ227" s="237"/>
      <c r="QQ227" s="18"/>
      <c r="QR227" s="19"/>
    </row>
    <row r="228" spans="3:460" ht="5.0999999999999996" customHeight="1" x14ac:dyDescent="0.3">
      <c r="C228" s="15"/>
      <c r="D228" s="16"/>
      <c r="DO228" s="210" t="s">
        <v>66</v>
      </c>
      <c r="DP228" s="211"/>
      <c r="DQ228" s="211"/>
      <c r="DR228" s="211"/>
      <c r="DS228" s="211"/>
      <c r="DT228" s="211"/>
      <c r="DU228" s="211"/>
      <c r="DV228" s="211"/>
      <c r="DW228" s="211"/>
      <c r="DX228" s="211"/>
      <c r="DY228" s="211"/>
      <c r="DZ228" s="211"/>
      <c r="EA228" s="211"/>
      <c r="EB228" s="211"/>
      <c r="EC228" s="211"/>
      <c r="ED228" s="211"/>
      <c r="EE228" s="211"/>
      <c r="EF228" s="211"/>
      <c r="EG228" s="211"/>
      <c r="EH228" s="211"/>
      <c r="EI228" s="211"/>
      <c r="EJ228" s="211"/>
      <c r="EK228" s="211"/>
      <c r="EL228" s="211"/>
      <c r="EM228" s="211"/>
      <c r="EN228" s="211"/>
      <c r="EO228" s="211"/>
      <c r="EP228" s="211"/>
      <c r="EQ228" s="211"/>
      <c r="ER228" s="211"/>
      <c r="ES228" s="211"/>
      <c r="ET228" s="211"/>
      <c r="EU228" s="211"/>
      <c r="EV228" s="211"/>
      <c r="EW228" s="211"/>
      <c r="EX228" s="211"/>
      <c r="EY228" s="211"/>
      <c r="EZ228" s="211"/>
      <c r="FA228" s="211"/>
      <c r="FB228" s="211"/>
      <c r="FC228" s="211"/>
      <c r="FD228" s="211"/>
      <c r="FE228" s="212"/>
      <c r="FF228" s="210">
        <v>1</v>
      </c>
      <c r="FG228" s="211"/>
      <c r="FH228" s="211"/>
      <c r="FI228" s="211"/>
      <c r="FJ228" s="212"/>
      <c r="FO228" s="238"/>
      <c r="FP228" s="239"/>
      <c r="FQ228" s="239"/>
      <c r="FR228" s="239"/>
      <c r="FS228" s="239"/>
      <c r="FT228" s="239"/>
      <c r="FU228" s="239"/>
      <c r="FV228" s="239"/>
      <c r="FW228" s="239"/>
      <c r="FX228" s="239"/>
      <c r="FY228" s="239"/>
      <c r="FZ228" s="239"/>
      <c r="GA228" s="239"/>
      <c r="GB228" s="239"/>
      <c r="GC228" s="239"/>
      <c r="GD228" s="239"/>
      <c r="GE228" s="239"/>
      <c r="GF228" s="239"/>
      <c r="GG228" s="239"/>
      <c r="GH228" s="239"/>
      <c r="GI228" s="239"/>
      <c r="GJ228" s="239"/>
      <c r="GK228" s="239"/>
      <c r="GL228" s="239"/>
      <c r="GM228" s="239"/>
      <c r="GN228" s="239"/>
      <c r="GO228" s="239"/>
      <c r="GP228" s="239"/>
      <c r="GQ228" s="239"/>
      <c r="GR228" s="239"/>
      <c r="GS228" s="239"/>
      <c r="GT228" s="239"/>
      <c r="GU228" s="239"/>
      <c r="GV228" s="239"/>
      <c r="GW228" s="239"/>
      <c r="GX228" s="239"/>
      <c r="GY228" s="239"/>
      <c r="GZ228" s="239"/>
      <c r="HA228" s="239"/>
      <c r="HB228" s="239"/>
      <c r="HC228" s="239"/>
      <c r="HD228" s="239"/>
      <c r="HE228" s="240"/>
      <c r="HF228" s="238"/>
      <c r="HG228" s="239"/>
      <c r="HH228" s="239"/>
      <c r="HI228" s="239"/>
      <c r="HJ228" s="240"/>
      <c r="QQ228" s="18"/>
      <c r="QR228" s="19"/>
    </row>
    <row r="229" spans="3:460" ht="5.0999999999999996" customHeight="1" x14ac:dyDescent="0.3">
      <c r="C229" s="15"/>
      <c r="D229" s="16"/>
      <c r="DO229" s="213"/>
      <c r="DP229" s="205"/>
      <c r="DQ229" s="205"/>
      <c r="DR229" s="205"/>
      <c r="DS229" s="205"/>
      <c r="DT229" s="205"/>
      <c r="DU229" s="205"/>
      <c r="DV229" s="205"/>
      <c r="DW229" s="205"/>
      <c r="DX229" s="205"/>
      <c r="DY229" s="205"/>
      <c r="DZ229" s="205"/>
      <c r="EA229" s="205"/>
      <c r="EB229" s="205"/>
      <c r="EC229" s="205"/>
      <c r="ED229" s="205"/>
      <c r="EE229" s="205"/>
      <c r="EF229" s="205"/>
      <c r="EG229" s="205"/>
      <c r="EH229" s="205"/>
      <c r="EI229" s="205"/>
      <c r="EJ229" s="205"/>
      <c r="EK229" s="205"/>
      <c r="EL229" s="205"/>
      <c r="EM229" s="205"/>
      <c r="EN229" s="205"/>
      <c r="EO229" s="205"/>
      <c r="EP229" s="205"/>
      <c r="EQ229" s="205"/>
      <c r="ER229" s="205"/>
      <c r="ES229" s="205"/>
      <c r="ET229" s="205"/>
      <c r="EU229" s="205"/>
      <c r="EV229" s="205"/>
      <c r="EW229" s="205"/>
      <c r="EX229" s="205"/>
      <c r="EY229" s="205"/>
      <c r="EZ229" s="205"/>
      <c r="FA229" s="205"/>
      <c r="FB229" s="205"/>
      <c r="FC229" s="205"/>
      <c r="FD229" s="205"/>
      <c r="FE229" s="214"/>
      <c r="FF229" s="213"/>
      <c r="FG229" s="205"/>
      <c r="FH229" s="205"/>
      <c r="FI229" s="205"/>
      <c r="FJ229" s="214"/>
      <c r="FO229" s="241"/>
      <c r="FP229" s="242"/>
      <c r="FQ229" s="242"/>
      <c r="FR229" s="242"/>
      <c r="FS229" s="242"/>
      <c r="FT229" s="242"/>
      <c r="FU229" s="242"/>
      <c r="FV229" s="242"/>
      <c r="FW229" s="242"/>
      <c r="FX229" s="242"/>
      <c r="FY229" s="242"/>
      <c r="FZ229" s="242"/>
      <c r="GA229" s="242"/>
      <c r="GB229" s="242"/>
      <c r="GC229" s="242"/>
      <c r="GD229" s="242"/>
      <c r="GE229" s="242"/>
      <c r="GF229" s="242"/>
      <c r="GG229" s="242"/>
      <c r="GH229" s="242"/>
      <c r="GI229" s="242"/>
      <c r="GJ229" s="242"/>
      <c r="GK229" s="242"/>
      <c r="GL229" s="242"/>
      <c r="GM229" s="242"/>
      <c r="GN229" s="242"/>
      <c r="GO229" s="242"/>
      <c r="GP229" s="242"/>
      <c r="GQ229" s="242"/>
      <c r="GR229" s="242"/>
      <c r="GS229" s="242"/>
      <c r="GT229" s="242"/>
      <c r="GU229" s="242"/>
      <c r="GV229" s="242"/>
      <c r="GW229" s="242"/>
      <c r="GX229" s="242"/>
      <c r="GY229" s="242"/>
      <c r="GZ229" s="242"/>
      <c r="HA229" s="242"/>
      <c r="HB229" s="242"/>
      <c r="HC229" s="242"/>
      <c r="HD229" s="242"/>
      <c r="HE229" s="243"/>
      <c r="HF229" s="241"/>
      <c r="HG229" s="242"/>
      <c r="HH229" s="242"/>
      <c r="HI229" s="242"/>
      <c r="HJ229" s="243"/>
      <c r="QQ229" s="18"/>
      <c r="QR229" s="19"/>
    </row>
    <row r="230" spans="3:460" ht="5.0999999999999996" customHeight="1" x14ac:dyDescent="0.3">
      <c r="C230" s="15"/>
      <c r="D230" s="16"/>
      <c r="DO230" s="213"/>
      <c r="DP230" s="205"/>
      <c r="DQ230" s="205"/>
      <c r="DR230" s="205"/>
      <c r="DS230" s="205"/>
      <c r="DT230" s="205"/>
      <c r="DU230" s="205"/>
      <c r="DV230" s="205"/>
      <c r="DW230" s="205"/>
      <c r="DX230" s="205"/>
      <c r="DY230" s="205"/>
      <c r="DZ230" s="205"/>
      <c r="EA230" s="205"/>
      <c r="EB230" s="205"/>
      <c r="EC230" s="205"/>
      <c r="ED230" s="205"/>
      <c r="EE230" s="205"/>
      <c r="EF230" s="205"/>
      <c r="EG230" s="205"/>
      <c r="EH230" s="205"/>
      <c r="EI230" s="205"/>
      <c r="EJ230" s="205"/>
      <c r="EK230" s="205"/>
      <c r="EL230" s="205"/>
      <c r="EM230" s="205"/>
      <c r="EN230" s="205"/>
      <c r="EO230" s="205"/>
      <c r="EP230" s="205"/>
      <c r="EQ230" s="205"/>
      <c r="ER230" s="205"/>
      <c r="ES230" s="205"/>
      <c r="ET230" s="205"/>
      <c r="EU230" s="205"/>
      <c r="EV230" s="205"/>
      <c r="EW230" s="205"/>
      <c r="EX230" s="205"/>
      <c r="EY230" s="205"/>
      <c r="EZ230" s="205"/>
      <c r="FA230" s="205"/>
      <c r="FB230" s="205"/>
      <c r="FC230" s="205"/>
      <c r="FD230" s="205"/>
      <c r="FE230" s="214"/>
      <c r="FF230" s="213"/>
      <c r="FG230" s="205"/>
      <c r="FH230" s="205"/>
      <c r="FI230" s="205"/>
      <c r="FJ230" s="214"/>
      <c r="FO230" s="241"/>
      <c r="FP230" s="242"/>
      <c r="FQ230" s="242"/>
      <c r="FR230" s="242"/>
      <c r="FS230" s="242"/>
      <c r="FT230" s="242"/>
      <c r="FU230" s="242"/>
      <c r="FV230" s="242"/>
      <c r="FW230" s="242"/>
      <c r="FX230" s="242"/>
      <c r="FY230" s="242"/>
      <c r="FZ230" s="242"/>
      <c r="GA230" s="242"/>
      <c r="GB230" s="242"/>
      <c r="GC230" s="242"/>
      <c r="GD230" s="242"/>
      <c r="GE230" s="242"/>
      <c r="GF230" s="242"/>
      <c r="GG230" s="242"/>
      <c r="GH230" s="242"/>
      <c r="GI230" s="242"/>
      <c r="GJ230" s="242"/>
      <c r="GK230" s="242"/>
      <c r="GL230" s="242"/>
      <c r="GM230" s="242"/>
      <c r="GN230" s="242"/>
      <c r="GO230" s="242"/>
      <c r="GP230" s="242"/>
      <c r="GQ230" s="242"/>
      <c r="GR230" s="242"/>
      <c r="GS230" s="242"/>
      <c r="GT230" s="242"/>
      <c r="GU230" s="242"/>
      <c r="GV230" s="242"/>
      <c r="GW230" s="242"/>
      <c r="GX230" s="242"/>
      <c r="GY230" s="242"/>
      <c r="GZ230" s="242"/>
      <c r="HA230" s="242"/>
      <c r="HB230" s="242"/>
      <c r="HC230" s="242"/>
      <c r="HD230" s="242"/>
      <c r="HE230" s="243"/>
      <c r="HF230" s="241"/>
      <c r="HG230" s="242"/>
      <c r="HH230" s="242"/>
      <c r="HI230" s="242"/>
      <c r="HJ230" s="243"/>
      <c r="QQ230" s="18"/>
      <c r="QR230" s="19"/>
    </row>
    <row r="231" spans="3:460" ht="5.0999999999999996" customHeight="1" x14ac:dyDescent="0.3">
      <c r="C231" s="15"/>
      <c r="D231" s="16"/>
      <c r="DO231" s="215"/>
      <c r="DP231" s="216"/>
      <c r="DQ231" s="216"/>
      <c r="DR231" s="216"/>
      <c r="DS231" s="216"/>
      <c r="DT231" s="216"/>
      <c r="DU231" s="216"/>
      <c r="DV231" s="216"/>
      <c r="DW231" s="216"/>
      <c r="DX231" s="216"/>
      <c r="DY231" s="216"/>
      <c r="DZ231" s="216"/>
      <c r="EA231" s="216"/>
      <c r="EB231" s="216"/>
      <c r="EC231" s="216"/>
      <c r="ED231" s="216"/>
      <c r="EE231" s="216"/>
      <c r="EF231" s="216"/>
      <c r="EG231" s="216"/>
      <c r="EH231" s="216"/>
      <c r="EI231" s="216"/>
      <c r="EJ231" s="216"/>
      <c r="EK231" s="216"/>
      <c r="EL231" s="216"/>
      <c r="EM231" s="216"/>
      <c r="EN231" s="216"/>
      <c r="EO231" s="216"/>
      <c r="EP231" s="216"/>
      <c r="EQ231" s="216"/>
      <c r="ER231" s="216"/>
      <c r="ES231" s="216"/>
      <c r="ET231" s="216"/>
      <c r="EU231" s="216"/>
      <c r="EV231" s="216"/>
      <c r="EW231" s="216"/>
      <c r="EX231" s="216"/>
      <c r="EY231" s="216"/>
      <c r="EZ231" s="216"/>
      <c r="FA231" s="216"/>
      <c r="FB231" s="216"/>
      <c r="FC231" s="216"/>
      <c r="FD231" s="216"/>
      <c r="FE231" s="217"/>
      <c r="FF231" s="215"/>
      <c r="FG231" s="216"/>
      <c r="FH231" s="216"/>
      <c r="FI231" s="216"/>
      <c r="FJ231" s="217"/>
      <c r="FO231" s="244"/>
      <c r="FP231" s="245"/>
      <c r="FQ231" s="245"/>
      <c r="FR231" s="245"/>
      <c r="FS231" s="245"/>
      <c r="FT231" s="245"/>
      <c r="FU231" s="245"/>
      <c r="FV231" s="245"/>
      <c r="FW231" s="245"/>
      <c r="FX231" s="245"/>
      <c r="FY231" s="245"/>
      <c r="FZ231" s="245"/>
      <c r="GA231" s="245"/>
      <c r="GB231" s="245"/>
      <c r="GC231" s="245"/>
      <c r="GD231" s="245"/>
      <c r="GE231" s="245"/>
      <c r="GF231" s="245"/>
      <c r="GG231" s="245"/>
      <c r="GH231" s="245"/>
      <c r="GI231" s="245"/>
      <c r="GJ231" s="245"/>
      <c r="GK231" s="245"/>
      <c r="GL231" s="245"/>
      <c r="GM231" s="245"/>
      <c r="GN231" s="245"/>
      <c r="GO231" s="245"/>
      <c r="GP231" s="245"/>
      <c r="GQ231" s="245"/>
      <c r="GR231" s="245"/>
      <c r="GS231" s="245"/>
      <c r="GT231" s="245"/>
      <c r="GU231" s="245"/>
      <c r="GV231" s="245"/>
      <c r="GW231" s="245"/>
      <c r="GX231" s="245"/>
      <c r="GY231" s="245"/>
      <c r="GZ231" s="245"/>
      <c r="HA231" s="245"/>
      <c r="HB231" s="245"/>
      <c r="HC231" s="245"/>
      <c r="HD231" s="245"/>
      <c r="HE231" s="246"/>
      <c r="HF231" s="244"/>
      <c r="HG231" s="245"/>
      <c r="HH231" s="245"/>
      <c r="HI231" s="245"/>
      <c r="HJ231" s="246"/>
      <c r="QQ231" s="18"/>
      <c r="QR231" s="19"/>
    </row>
    <row r="232" spans="3:460" ht="5.0999999999999996" customHeight="1" x14ac:dyDescent="0.3">
      <c r="C232" s="15"/>
      <c r="D232" s="16"/>
      <c r="DO232" s="210" t="s">
        <v>67</v>
      </c>
      <c r="DP232" s="211"/>
      <c r="DQ232" s="211"/>
      <c r="DR232" s="211"/>
      <c r="DS232" s="211"/>
      <c r="DT232" s="211"/>
      <c r="DU232" s="211"/>
      <c r="DV232" s="211"/>
      <c r="DW232" s="211"/>
      <c r="DX232" s="211"/>
      <c r="DY232" s="211"/>
      <c r="DZ232" s="211"/>
      <c r="EA232" s="211"/>
      <c r="EB232" s="211"/>
      <c r="EC232" s="211"/>
      <c r="ED232" s="211"/>
      <c r="EE232" s="211"/>
      <c r="EF232" s="211"/>
      <c r="EG232" s="211"/>
      <c r="EH232" s="211"/>
      <c r="EI232" s="211"/>
      <c r="EJ232" s="211"/>
      <c r="EK232" s="211"/>
      <c r="EL232" s="211"/>
      <c r="EM232" s="211"/>
      <c r="EN232" s="211"/>
      <c r="EO232" s="211"/>
      <c r="EP232" s="211"/>
      <c r="EQ232" s="211"/>
      <c r="ER232" s="211"/>
      <c r="ES232" s="211"/>
      <c r="ET232" s="211"/>
      <c r="EU232" s="211"/>
      <c r="EV232" s="211"/>
      <c r="EW232" s="211"/>
      <c r="EX232" s="211"/>
      <c r="EY232" s="211"/>
      <c r="EZ232" s="211"/>
      <c r="FA232" s="211"/>
      <c r="FB232" s="211"/>
      <c r="FC232" s="211"/>
      <c r="FD232" s="211"/>
      <c r="FE232" s="212"/>
      <c r="FF232" s="210">
        <v>1</v>
      </c>
      <c r="FG232" s="211"/>
      <c r="FH232" s="211"/>
      <c r="FI232" s="211"/>
      <c r="FJ232" s="212"/>
      <c r="QQ232" s="18"/>
      <c r="QR232" s="19"/>
    </row>
    <row r="233" spans="3:460" ht="5.0999999999999996" customHeight="1" x14ac:dyDescent="0.3">
      <c r="C233" s="15"/>
      <c r="D233" s="16"/>
      <c r="AW233" s="1">
        <v>10</v>
      </c>
      <c r="DO233" s="213"/>
      <c r="DP233" s="205"/>
      <c r="DQ233" s="205"/>
      <c r="DR233" s="205"/>
      <c r="DS233" s="205"/>
      <c r="DT233" s="205"/>
      <c r="DU233" s="205"/>
      <c r="DV233" s="205"/>
      <c r="DW233" s="205"/>
      <c r="DX233" s="205"/>
      <c r="DY233" s="205"/>
      <c r="DZ233" s="205"/>
      <c r="EA233" s="205"/>
      <c r="EB233" s="205"/>
      <c r="EC233" s="205"/>
      <c r="ED233" s="205"/>
      <c r="EE233" s="205"/>
      <c r="EF233" s="205"/>
      <c r="EG233" s="205"/>
      <c r="EH233" s="205"/>
      <c r="EI233" s="205"/>
      <c r="EJ233" s="205"/>
      <c r="EK233" s="205"/>
      <c r="EL233" s="205"/>
      <c r="EM233" s="205"/>
      <c r="EN233" s="205"/>
      <c r="EO233" s="205"/>
      <c r="EP233" s="205"/>
      <c r="EQ233" s="205"/>
      <c r="ER233" s="205"/>
      <c r="ES233" s="205"/>
      <c r="ET233" s="205"/>
      <c r="EU233" s="205"/>
      <c r="EV233" s="205"/>
      <c r="EW233" s="205"/>
      <c r="EX233" s="205"/>
      <c r="EY233" s="205"/>
      <c r="EZ233" s="205"/>
      <c r="FA233" s="205"/>
      <c r="FB233" s="205"/>
      <c r="FC233" s="205"/>
      <c r="FD233" s="205"/>
      <c r="FE233" s="214"/>
      <c r="FF233" s="213"/>
      <c r="FG233" s="205"/>
      <c r="FH233" s="205"/>
      <c r="FI233" s="205"/>
      <c r="FJ233" s="214"/>
      <c r="QQ233" s="18"/>
      <c r="QR233" s="19"/>
    </row>
    <row r="234" spans="3:460" ht="5.0999999999999996" customHeight="1" x14ac:dyDescent="0.3">
      <c r="C234" s="15"/>
      <c r="D234" s="16"/>
      <c r="DO234" s="213"/>
      <c r="DP234" s="205"/>
      <c r="DQ234" s="205"/>
      <c r="DR234" s="205"/>
      <c r="DS234" s="205"/>
      <c r="DT234" s="205"/>
      <c r="DU234" s="205"/>
      <c r="DV234" s="205"/>
      <c r="DW234" s="205"/>
      <c r="DX234" s="205"/>
      <c r="DY234" s="205"/>
      <c r="DZ234" s="205"/>
      <c r="EA234" s="205"/>
      <c r="EB234" s="205"/>
      <c r="EC234" s="205"/>
      <c r="ED234" s="205"/>
      <c r="EE234" s="205"/>
      <c r="EF234" s="205"/>
      <c r="EG234" s="205"/>
      <c r="EH234" s="205"/>
      <c r="EI234" s="205"/>
      <c r="EJ234" s="205"/>
      <c r="EK234" s="205"/>
      <c r="EL234" s="205"/>
      <c r="EM234" s="205"/>
      <c r="EN234" s="205"/>
      <c r="EO234" s="205"/>
      <c r="EP234" s="205"/>
      <c r="EQ234" s="205"/>
      <c r="ER234" s="205"/>
      <c r="ES234" s="205"/>
      <c r="ET234" s="205"/>
      <c r="EU234" s="205"/>
      <c r="EV234" s="205"/>
      <c r="EW234" s="205"/>
      <c r="EX234" s="205"/>
      <c r="EY234" s="205"/>
      <c r="EZ234" s="205"/>
      <c r="FA234" s="205"/>
      <c r="FB234" s="205"/>
      <c r="FC234" s="205"/>
      <c r="FD234" s="205"/>
      <c r="FE234" s="214"/>
      <c r="FF234" s="213"/>
      <c r="FG234" s="205"/>
      <c r="FH234" s="205"/>
      <c r="FI234" s="205"/>
      <c r="FJ234" s="214"/>
      <c r="QQ234" s="18"/>
      <c r="QR234" s="19"/>
    </row>
    <row r="235" spans="3:460" ht="5.0999999999999996" customHeight="1" x14ac:dyDescent="0.3">
      <c r="C235" s="15"/>
      <c r="D235" s="16"/>
      <c r="DO235" s="215"/>
      <c r="DP235" s="216"/>
      <c r="DQ235" s="216"/>
      <c r="DR235" s="216"/>
      <c r="DS235" s="216"/>
      <c r="DT235" s="216"/>
      <c r="DU235" s="216"/>
      <c r="DV235" s="216"/>
      <c r="DW235" s="216"/>
      <c r="DX235" s="216"/>
      <c r="DY235" s="216"/>
      <c r="DZ235" s="216"/>
      <c r="EA235" s="216"/>
      <c r="EB235" s="216"/>
      <c r="EC235" s="216"/>
      <c r="ED235" s="216"/>
      <c r="EE235" s="216"/>
      <c r="EF235" s="216"/>
      <c r="EG235" s="216"/>
      <c r="EH235" s="216"/>
      <c r="EI235" s="216"/>
      <c r="EJ235" s="216"/>
      <c r="EK235" s="216"/>
      <c r="EL235" s="216"/>
      <c r="EM235" s="216"/>
      <c r="EN235" s="216"/>
      <c r="EO235" s="216"/>
      <c r="EP235" s="216"/>
      <c r="EQ235" s="216"/>
      <c r="ER235" s="216"/>
      <c r="ES235" s="216"/>
      <c r="ET235" s="216"/>
      <c r="EU235" s="216"/>
      <c r="EV235" s="216"/>
      <c r="EW235" s="216"/>
      <c r="EX235" s="216"/>
      <c r="EY235" s="216"/>
      <c r="EZ235" s="216"/>
      <c r="FA235" s="216"/>
      <c r="FB235" s="216"/>
      <c r="FC235" s="216"/>
      <c r="FD235" s="216"/>
      <c r="FE235" s="217"/>
      <c r="FF235" s="215"/>
      <c r="FG235" s="216"/>
      <c r="FH235" s="216"/>
      <c r="FI235" s="216"/>
      <c r="FJ235" s="217"/>
      <c r="QQ235" s="18"/>
      <c r="QR235" s="19"/>
    </row>
    <row r="236" spans="3:460" ht="5.0999999999999996" customHeight="1" x14ac:dyDescent="0.3">
      <c r="C236" s="15"/>
      <c r="D236" s="16"/>
      <c r="DO236" s="210" t="s">
        <v>68</v>
      </c>
      <c r="DP236" s="211"/>
      <c r="DQ236" s="211"/>
      <c r="DR236" s="211"/>
      <c r="DS236" s="211"/>
      <c r="DT236" s="211"/>
      <c r="DU236" s="211"/>
      <c r="DV236" s="211"/>
      <c r="DW236" s="211"/>
      <c r="DX236" s="211"/>
      <c r="DY236" s="211"/>
      <c r="DZ236" s="211"/>
      <c r="EA236" s="211"/>
      <c r="EB236" s="211"/>
      <c r="EC236" s="211"/>
      <c r="ED236" s="211"/>
      <c r="EE236" s="211"/>
      <c r="EF236" s="211"/>
      <c r="EG236" s="211"/>
      <c r="EH236" s="211"/>
      <c r="EI236" s="211"/>
      <c r="EJ236" s="211"/>
      <c r="EK236" s="211"/>
      <c r="EL236" s="211"/>
      <c r="EM236" s="211"/>
      <c r="EN236" s="211"/>
      <c r="EO236" s="211"/>
      <c r="EP236" s="211"/>
      <c r="EQ236" s="211"/>
      <c r="ER236" s="211"/>
      <c r="ES236" s="211"/>
      <c r="ET236" s="211"/>
      <c r="EU236" s="211"/>
      <c r="EV236" s="211"/>
      <c r="EW236" s="211"/>
      <c r="EX236" s="211"/>
      <c r="EY236" s="211"/>
      <c r="EZ236" s="211"/>
      <c r="FA236" s="211"/>
      <c r="FB236" s="211"/>
      <c r="FC236" s="211"/>
      <c r="FD236" s="211"/>
      <c r="FE236" s="212"/>
      <c r="FF236" s="210">
        <v>1</v>
      </c>
      <c r="FG236" s="211"/>
      <c r="FH236" s="211"/>
      <c r="FI236" s="211"/>
      <c r="FJ236" s="212"/>
      <c r="QQ236" s="18"/>
      <c r="QR236" s="19"/>
    </row>
    <row r="237" spans="3:460" ht="5.0999999999999996" customHeight="1" x14ac:dyDescent="0.3">
      <c r="C237" s="15"/>
      <c r="D237" s="16"/>
      <c r="DO237" s="213"/>
      <c r="DP237" s="205"/>
      <c r="DQ237" s="205"/>
      <c r="DR237" s="205"/>
      <c r="DS237" s="205"/>
      <c r="DT237" s="205"/>
      <c r="DU237" s="205"/>
      <c r="DV237" s="205"/>
      <c r="DW237" s="205"/>
      <c r="DX237" s="205"/>
      <c r="DY237" s="205"/>
      <c r="DZ237" s="205"/>
      <c r="EA237" s="205"/>
      <c r="EB237" s="205"/>
      <c r="EC237" s="205"/>
      <c r="ED237" s="205"/>
      <c r="EE237" s="205"/>
      <c r="EF237" s="205"/>
      <c r="EG237" s="205"/>
      <c r="EH237" s="205"/>
      <c r="EI237" s="205"/>
      <c r="EJ237" s="205"/>
      <c r="EK237" s="205"/>
      <c r="EL237" s="205"/>
      <c r="EM237" s="205"/>
      <c r="EN237" s="205"/>
      <c r="EO237" s="205"/>
      <c r="EP237" s="205"/>
      <c r="EQ237" s="205"/>
      <c r="ER237" s="205"/>
      <c r="ES237" s="205"/>
      <c r="ET237" s="205"/>
      <c r="EU237" s="205"/>
      <c r="EV237" s="205"/>
      <c r="EW237" s="205"/>
      <c r="EX237" s="205"/>
      <c r="EY237" s="205"/>
      <c r="EZ237" s="205"/>
      <c r="FA237" s="205"/>
      <c r="FB237" s="205"/>
      <c r="FC237" s="205"/>
      <c r="FD237" s="205"/>
      <c r="FE237" s="214"/>
      <c r="FF237" s="213"/>
      <c r="FG237" s="205"/>
      <c r="FH237" s="205"/>
      <c r="FI237" s="205"/>
      <c r="FJ237" s="214"/>
      <c r="QQ237" s="18"/>
      <c r="QR237" s="19"/>
    </row>
    <row r="238" spans="3:460" ht="5.0999999999999996" customHeight="1" x14ac:dyDescent="0.3">
      <c r="C238" s="15"/>
      <c r="D238" s="16"/>
      <c r="DO238" s="213"/>
      <c r="DP238" s="205"/>
      <c r="DQ238" s="205"/>
      <c r="DR238" s="205"/>
      <c r="DS238" s="205"/>
      <c r="DT238" s="205"/>
      <c r="DU238" s="205"/>
      <c r="DV238" s="205"/>
      <c r="DW238" s="205"/>
      <c r="DX238" s="205"/>
      <c r="DY238" s="205"/>
      <c r="DZ238" s="205"/>
      <c r="EA238" s="205"/>
      <c r="EB238" s="205"/>
      <c r="EC238" s="205"/>
      <c r="ED238" s="205"/>
      <c r="EE238" s="205"/>
      <c r="EF238" s="205"/>
      <c r="EG238" s="205"/>
      <c r="EH238" s="205"/>
      <c r="EI238" s="205"/>
      <c r="EJ238" s="205"/>
      <c r="EK238" s="205"/>
      <c r="EL238" s="205"/>
      <c r="EM238" s="205"/>
      <c r="EN238" s="205"/>
      <c r="EO238" s="205"/>
      <c r="EP238" s="205"/>
      <c r="EQ238" s="205"/>
      <c r="ER238" s="205"/>
      <c r="ES238" s="205"/>
      <c r="ET238" s="205"/>
      <c r="EU238" s="205"/>
      <c r="EV238" s="205"/>
      <c r="EW238" s="205"/>
      <c r="EX238" s="205"/>
      <c r="EY238" s="205"/>
      <c r="EZ238" s="205"/>
      <c r="FA238" s="205"/>
      <c r="FB238" s="205"/>
      <c r="FC238" s="205"/>
      <c r="FD238" s="205"/>
      <c r="FE238" s="214"/>
      <c r="FF238" s="213"/>
      <c r="FG238" s="205"/>
      <c r="FH238" s="205"/>
      <c r="FI238" s="205"/>
      <c r="FJ238" s="214"/>
      <c r="QQ238" s="18"/>
      <c r="QR238" s="19"/>
    </row>
    <row r="239" spans="3:460" ht="5.0999999999999996" customHeight="1" x14ac:dyDescent="0.3">
      <c r="C239" s="15"/>
      <c r="D239" s="16"/>
      <c r="DO239" s="215"/>
      <c r="DP239" s="216"/>
      <c r="DQ239" s="216"/>
      <c r="DR239" s="216"/>
      <c r="DS239" s="216"/>
      <c r="DT239" s="216"/>
      <c r="DU239" s="216"/>
      <c r="DV239" s="216"/>
      <c r="DW239" s="216"/>
      <c r="DX239" s="216"/>
      <c r="DY239" s="216"/>
      <c r="DZ239" s="216"/>
      <c r="EA239" s="216"/>
      <c r="EB239" s="216"/>
      <c r="EC239" s="216"/>
      <c r="ED239" s="216"/>
      <c r="EE239" s="216"/>
      <c r="EF239" s="216"/>
      <c r="EG239" s="216"/>
      <c r="EH239" s="216"/>
      <c r="EI239" s="216"/>
      <c r="EJ239" s="216"/>
      <c r="EK239" s="216"/>
      <c r="EL239" s="216"/>
      <c r="EM239" s="216"/>
      <c r="EN239" s="216"/>
      <c r="EO239" s="216"/>
      <c r="EP239" s="216"/>
      <c r="EQ239" s="216"/>
      <c r="ER239" s="216"/>
      <c r="ES239" s="216"/>
      <c r="ET239" s="216"/>
      <c r="EU239" s="216"/>
      <c r="EV239" s="216"/>
      <c r="EW239" s="216"/>
      <c r="EX239" s="216"/>
      <c r="EY239" s="216"/>
      <c r="EZ239" s="216"/>
      <c r="FA239" s="216"/>
      <c r="FB239" s="216"/>
      <c r="FC239" s="216"/>
      <c r="FD239" s="216"/>
      <c r="FE239" s="217"/>
      <c r="FF239" s="215"/>
      <c r="FG239" s="216"/>
      <c r="FH239" s="216"/>
      <c r="FI239" s="216"/>
      <c r="FJ239" s="217"/>
      <c r="QQ239" s="18"/>
      <c r="QR239" s="19"/>
    </row>
    <row r="240" spans="3:460" ht="5.0999999999999996" customHeight="1" x14ac:dyDescent="0.3">
      <c r="C240" s="15"/>
      <c r="D240" s="16"/>
      <c r="DO240" s="210" t="s">
        <v>24</v>
      </c>
      <c r="DP240" s="211"/>
      <c r="DQ240" s="211"/>
      <c r="DR240" s="211"/>
      <c r="DS240" s="211"/>
      <c r="DT240" s="211"/>
      <c r="DU240" s="211"/>
      <c r="DV240" s="211"/>
      <c r="DW240" s="211"/>
      <c r="DX240" s="211"/>
      <c r="DY240" s="211"/>
      <c r="DZ240" s="211"/>
      <c r="EA240" s="211"/>
      <c r="EB240" s="211"/>
      <c r="EC240" s="211"/>
      <c r="ED240" s="211"/>
      <c r="EE240" s="211"/>
      <c r="EF240" s="211"/>
      <c r="EG240" s="211"/>
      <c r="EH240" s="211"/>
      <c r="EI240" s="211"/>
      <c r="EJ240" s="211"/>
      <c r="EK240" s="211"/>
      <c r="EL240" s="211"/>
      <c r="EM240" s="211"/>
      <c r="EN240" s="211"/>
      <c r="EO240" s="211"/>
      <c r="EP240" s="211"/>
      <c r="EQ240" s="211"/>
      <c r="ER240" s="211"/>
      <c r="ES240" s="211"/>
      <c r="ET240" s="211"/>
      <c r="EU240" s="211"/>
      <c r="EV240" s="211"/>
      <c r="EW240" s="211"/>
      <c r="EX240" s="211"/>
      <c r="EY240" s="211"/>
      <c r="EZ240" s="211"/>
      <c r="FA240" s="211"/>
      <c r="FB240" s="211"/>
      <c r="FC240" s="211"/>
      <c r="FD240" s="211"/>
      <c r="FE240" s="212"/>
      <c r="FF240" s="210">
        <v>1</v>
      </c>
      <c r="FG240" s="211"/>
      <c r="FH240" s="211"/>
      <c r="FI240" s="211"/>
      <c r="FJ240" s="212"/>
      <c r="QQ240" s="18"/>
      <c r="QR240" s="19"/>
    </row>
    <row r="241" spans="3:460" ht="5.0999999999999996" customHeight="1" x14ac:dyDescent="0.3">
      <c r="C241" s="15"/>
      <c r="D241" s="16"/>
      <c r="DO241" s="213"/>
      <c r="DP241" s="205"/>
      <c r="DQ241" s="205"/>
      <c r="DR241" s="205"/>
      <c r="DS241" s="205"/>
      <c r="DT241" s="205"/>
      <c r="DU241" s="205"/>
      <c r="DV241" s="205"/>
      <c r="DW241" s="205"/>
      <c r="DX241" s="205"/>
      <c r="DY241" s="205"/>
      <c r="DZ241" s="205"/>
      <c r="EA241" s="205"/>
      <c r="EB241" s="205"/>
      <c r="EC241" s="205"/>
      <c r="ED241" s="205"/>
      <c r="EE241" s="205"/>
      <c r="EF241" s="205"/>
      <c r="EG241" s="205"/>
      <c r="EH241" s="205"/>
      <c r="EI241" s="205"/>
      <c r="EJ241" s="205"/>
      <c r="EK241" s="205"/>
      <c r="EL241" s="205"/>
      <c r="EM241" s="205"/>
      <c r="EN241" s="205"/>
      <c r="EO241" s="205"/>
      <c r="EP241" s="205"/>
      <c r="EQ241" s="205"/>
      <c r="ER241" s="205"/>
      <c r="ES241" s="205"/>
      <c r="ET241" s="205"/>
      <c r="EU241" s="205"/>
      <c r="EV241" s="205"/>
      <c r="EW241" s="205"/>
      <c r="EX241" s="205"/>
      <c r="EY241" s="205"/>
      <c r="EZ241" s="205"/>
      <c r="FA241" s="205"/>
      <c r="FB241" s="205"/>
      <c r="FC241" s="205"/>
      <c r="FD241" s="205"/>
      <c r="FE241" s="214"/>
      <c r="FF241" s="213"/>
      <c r="FG241" s="205"/>
      <c r="FH241" s="205"/>
      <c r="FI241" s="205"/>
      <c r="FJ241" s="214"/>
      <c r="QQ241" s="18"/>
      <c r="QR241" s="19"/>
    </row>
    <row r="242" spans="3:460" ht="5.0999999999999996" customHeight="1" x14ac:dyDescent="0.3">
      <c r="C242" s="15"/>
      <c r="D242" s="16"/>
      <c r="DO242" s="213"/>
      <c r="DP242" s="205"/>
      <c r="DQ242" s="205"/>
      <c r="DR242" s="205"/>
      <c r="DS242" s="205"/>
      <c r="DT242" s="205"/>
      <c r="DU242" s="205"/>
      <c r="DV242" s="205"/>
      <c r="DW242" s="205"/>
      <c r="DX242" s="205"/>
      <c r="DY242" s="205"/>
      <c r="DZ242" s="205"/>
      <c r="EA242" s="205"/>
      <c r="EB242" s="205"/>
      <c r="EC242" s="205"/>
      <c r="ED242" s="205"/>
      <c r="EE242" s="205"/>
      <c r="EF242" s="205"/>
      <c r="EG242" s="205"/>
      <c r="EH242" s="205"/>
      <c r="EI242" s="205"/>
      <c r="EJ242" s="205"/>
      <c r="EK242" s="205"/>
      <c r="EL242" s="205"/>
      <c r="EM242" s="205"/>
      <c r="EN242" s="205"/>
      <c r="EO242" s="205"/>
      <c r="EP242" s="205"/>
      <c r="EQ242" s="205"/>
      <c r="ER242" s="205"/>
      <c r="ES242" s="205"/>
      <c r="ET242" s="205"/>
      <c r="EU242" s="205"/>
      <c r="EV242" s="205"/>
      <c r="EW242" s="205"/>
      <c r="EX242" s="205"/>
      <c r="EY242" s="205"/>
      <c r="EZ242" s="205"/>
      <c r="FA242" s="205"/>
      <c r="FB242" s="205"/>
      <c r="FC242" s="205"/>
      <c r="FD242" s="205"/>
      <c r="FE242" s="214"/>
      <c r="FF242" s="213"/>
      <c r="FG242" s="205"/>
      <c r="FH242" s="205"/>
      <c r="FI242" s="205"/>
      <c r="FJ242" s="214"/>
      <c r="QQ242" s="18"/>
      <c r="QR242" s="19"/>
    </row>
    <row r="243" spans="3:460" ht="5.0999999999999996" customHeight="1" x14ac:dyDescent="0.3">
      <c r="C243" s="15"/>
      <c r="D243" s="16"/>
      <c r="AW243" s="1">
        <v>10</v>
      </c>
      <c r="DO243" s="215"/>
      <c r="DP243" s="216"/>
      <c r="DQ243" s="216"/>
      <c r="DR243" s="216"/>
      <c r="DS243" s="216"/>
      <c r="DT243" s="216"/>
      <c r="DU243" s="216"/>
      <c r="DV243" s="216"/>
      <c r="DW243" s="216"/>
      <c r="DX243" s="216"/>
      <c r="DY243" s="216"/>
      <c r="DZ243" s="216"/>
      <c r="EA243" s="216"/>
      <c r="EB243" s="216"/>
      <c r="EC243" s="216"/>
      <c r="ED243" s="216"/>
      <c r="EE243" s="216"/>
      <c r="EF243" s="216"/>
      <c r="EG243" s="216"/>
      <c r="EH243" s="216"/>
      <c r="EI243" s="216"/>
      <c r="EJ243" s="216"/>
      <c r="EK243" s="216"/>
      <c r="EL243" s="216"/>
      <c r="EM243" s="216"/>
      <c r="EN243" s="216"/>
      <c r="EO243" s="216"/>
      <c r="EP243" s="216"/>
      <c r="EQ243" s="216"/>
      <c r="ER243" s="216"/>
      <c r="ES243" s="216"/>
      <c r="ET243" s="216"/>
      <c r="EU243" s="216"/>
      <c r="EV243" s="216"/>
      <c r="EW243" s="216"/>
      <c r="EX243" s="216"/>
      <c r="EY243" s="216"/>
      <c r="EZ243" s="216"/>
      <c r="FA243" s="216"/>
      <c r="FB243" s="216"/>
      <c r="FC243" s="216"/>
      <c r="FD243" s="216"/>
      <c r="FE243" s="217"/>
      <c r="FF243" s="215"/>
      <c r="FG243" s="216"/>
      <c r="FH243" s="216"/>
      <c r="FI243" s="216"/>
      <c r="FJ243" s="217"/>
      <c r="QQ243" s="18"/>
      <c r="QR243" s="19"/>
    </row>
    <row r="244" spans="3:460" ht="5.0999999999999996" customHeight="1" x14ac:dyDescent="0.3">
      <c r="C244" s="15"/>
      <c r="D244" s="16"/>
      <c r="DO244" s="210" t="s">
        <v>36</v>
      </c>
      <c r="DP244" s="211"/>
      <c r="DQ244" s="211"/>
      <c r="DR244" s="211"/>
      <c r="DS244" s="211"/>
      <c r="DT244" s="211"/>
      <c r="DU244" s="211"/>
      <c r="DV244" s="211"/>
      <c r="DW244" s="211"/>
      <c r="DX244" s="211"/>
      <c r="DY244" s="211"/>
      <c r="DZ244" s="211"/>
      <c r="EA244" s="211"/>
      <c r="EB244" s="211"/>
      <c r="EC244" s="211"/>
      <c r="ED244" s="211"/>
      <c r="EE244" s="211"/>
      <c r="EF244" s="211"/>
      <c r="EG244" s="211"/>
      <c r="EH244" s="211"/>
      <c r="EI244" s="211"/>
      <c r="EJ244" s="211"/>
      <c r="EK244" s="211"/>
      <c r="EL244" s="211"/>
      <c r="EM244" s="211"/>
      <c r="EN244" s="211"/>
      <c r="EO244" s="211"/>
      <c r="EP244" s="211"/>
      <c r="EQ244" s="211"/>
      <c r="ER244" s="211"/>
      <c r="ES244" s="211"/>
      <c r="ET244" s="211"/>
      <c r="EU244" s="211"/>
      <c r="EV244" s="211"/>
      <c r="EW244" s="211"/>
      <c r="EX244" s="211"/>
      <c r="EY244" s="211"/>
      <c r="EZ244" s="211"/>
      <c r="FA244" s="211"/>
      <c r="FB244" s="211"/>
      <c r="FC244" s="211"/>
      <c r="FD244" s="211"/>
      <c r="FE244" s="212"/>
      <c r="FF244" s="210">
        <v>1</v>
      </c>
      <c r="FG244" s="211"/>
      <c r="FH244" s="211"/>
      <c r="FI244" s="211"/>
      <c r="FJ244" s="212"/>
      <c r="QQ244" s="18"/>
      <c r="QR244" s="19"/>
    </row>
    <row r="245" spans="3:460" ht="5.0999999999999996" customHeight="1" x14ac:dyDescent="0.3">
      <c r="C245" s="15"/>
      <c r="D245" s="16"/>
      <c r="DO245" s="213"/>
      <c r="DP245" s="205"/>
      <c r="DQ245" s="205"/>
      <c r="DR245" s="205"/>
      <c r="DS245" s="205"/>
      <c r="DT245" s="205"/>
      <c r="DU245" s="205"/>
      <c r="DV245" s="205"/>
      <c r="DW245" s="205"/>
      <c r="DX245" s="205"/>
      <c r="DY245" s="205"/>
      <c r="DZ245" s="205"/>
      <c r="EA245" s="205"/>
      <c r="EB245" s="205"/>
      <c r="EC245" s="205"/>
      <c r="ED245" s="205"/>
      <c r="EE245" s="205"/>
      <c r="EF245" s="205"/>
      <c r="EG245" s="205"/>
      <c r="EH245" s="205"/>
      <c r="EI245" s="205"/>
      <c r="EJ245" s="205"/>
      <c r="EK245" s="205"/>
      <c r="EL245" s="205"/>
      <c r="EM245" s="205"/>
      <c r="EN245" s="205"/>
      <c r="EO245" s="205"/>
      <c r="EP245" s="205"/>
      <c r="EQ245" s="205"/>
      <c r="ER245" s="205"/>
      <c r="ES245" s="205"/>
      <c r="ET245" s="205"/>
      <c r="EU245" s="205"/>
      <c r="EV245" s="205"/>
      <c r="EW245" s="205"/>
      <c r="EX245" s="205"/>
      <c r="EY245" s="205"/>
      <c r="EZ245" s="205"/>
      <c r="FA245" s="205"/>
      <c r="FB245" s="205"/>
      <c r="FC245" s="205"/>
      <c r="FD245" s="205"/>
      <c r="FE245" s="214"/>
      <c r="FF245" s="213"/>
      <c r="FG245" s="205"/>
      <c r="FH245" s="205"/>
      <c r="FI245" s="205"/>
      <c r="FJ245" s="214"/>
      <c r="QQ245" s="18"/>
      <c r="QR245" s="19"/>
    </row>
    <row r="246" spans="3:460" ht="5.0999999999999996" customHeight="1" x14ac:dyDescent="0.3">
      <c r="C246" s="15"/>
      <c r="D246" s="16"/>
      <c r="DO246" s="213"/>
      <c r="DP246" s="205"/>
      <c r="DQ246" s="205"/>
      <c r="DR246" s="205"/>
      <c r="DS246" s="205"/>
      <c r="DT246" s="205"/>
      <c r="DU246" s="205"/>
      <c r="DV246" s="205"/>
      <c r="DW246" s="205"/>
      <c r="DX246" s="205"/>
      <c r="DY246" s="205"/>
      <c r="DZ246" s="205"/>
      <c r="EA246" s="205"/>
      <c r="EB246" s="205"/>
      <c r="EC246" s="205"/>
      <c r="ED246" s="205"/>
      <c r="EE246" s="205"/>
      <c r="EF246" s="205"/>
      <c r="EG246" s="205"/>
      <c r="EH246" s="205"/>
      <c r="EI246" s="205"/>
      <c r="EJ246" s="205"/>
      <c r="EK246" s="205"/>
      <c r="EL246" s="205"/>
      <c r="EM246" s="205"/>
      <c r="EN246" s="205"/>
      <c r="EO246" s="205"/>
      <c r="EP246" s="205"/>
      <c r="EQ246" s="205"/>
      <c r="ER246" s="205"/>
      <c r="ES246" s="205"/>
      <c r="ET246" s="205"/>
      <c r="EU246" s="205"/>
      <c r="EV246" s="205"/>
      <c r="EW246" s="205"/>
      <c r="EX246" s="205"/>
      <c r="EY246" s="205"/>
      <c r="EZ246" s="205"/>
      <c r="FA246" s="205"/>
      <c r="FB246" s="205"/>
      <c r="FC246" s="205"/>
      <c r="FD246" s="205"/>
      <c r="FE246" s="214"/>
      <c r="FF246" s="213"/>
      <c r="FG246" s="205"/>
      <c r="FH246" s="205"/>
      <c r="FI246" s="205"/>
      <c r="FJ246" s="214"/>
      <c r="QQ246" s="18"/>
      <c r="QR246" s="19"/>
    </row>
    <row r="247" spans="3:460" ht="5.0999999999999996" customHeight="1" x14ac:dyDescent="0.3">
      <c r="C247" s="15"/>
      <c r="D247" s="16"/>
      <c r="DO247" s="215"/>
      <c r="DP247" s="216"/>
      <c r="DQ247" s="216"/>
      <c r="DR247" s="216"/>
      <c r="DS247" s="216"/>
      <c r="DT247" s="216"/>
      <c r="DU247" s="216"/>
      <c r="DV247" s="216"/>
      <c r="DW247" s="216"/>
      <c r="DX247" s="216"/>
      <c r="DY247" s="216"/>
      <c r="DZ247" s="216"/>
      <c r="EA247" s="216"/>
      <c r="EB247" s="216"/>
      <c r="EC247" s="216"/>
      <c r="ED247" s="216"/>
      <c r="EE247" s="216"/>
      <c r="EF247" s="216"/>
      <c r="EG247" s="216"/>
      <c r="EH247" s="216"/>
      <c r="EI247" s="216"/>
      <c r="EJ247" s="216"/>
      <c r="EK247" s="216"/>
      <c r="EL247" s="216"/>
      <c r="EM247" s="216"/>
      <c r="EN247" s="216"/>
      <c r="EO247" s="216"/>
      <c r="EP247" s="216"/>
      <c r="EQ247" s="216"/>
      <c r="ER247" s="216"/>
      <c r="ES247" s="216"/>
      <c r="ET247" s="216"/>
      <c r="EU247" s="216"/>
      <c r="EV247" s="216"/>
      <c r="EW247" s="216"/>
      <c r="EX247" s="216"/>
      <c r="EY247" s="216"/>
      <c r="EZ247" s="216"/>
      <c r="FA247" s="216"/>
      <c r="FB247" s="216"/>
      <c r="FC247" s="216"/>
      <c r="FD247" s="216"/>
      <c r="FE247" s="217"/>
      <c r="FF247" s="215"/>
      <c r="FG247" s="216"/>
      <c r="FH247" s="216"/>
      <c r="FI247" s="216"/>
      <c r="FJ247" s="217"/>
      <c r="QQ247" s="18"/>
      <c r="QR247" s="19"/>
    </row>
    <row r="248" spans="3:460" ht="5.0999999999999996" customHeight="1" x14ac:dyDescent="0.3">
      <c r="C248" s="15"/>
      <c r="D248" s="16"/>
      <c r="DO248" s="236" t="s">
        <v>69</v>
      </c>
      <c r="DP248" s="236"/>
      <c r="DQ248" s="236"/>
      <c r="DR248" s="236"/>
      <c r="DS248" s="236"/>
      <c r="DT248" s="236"/>
      <c r="DU248" s="236"/>
      <c r="DV248" s="236"/>
      <c r="DW248" s="236"/>
      <c r="DX248" s="236"/>
      <c r="DY248" s="236"/>
      <c r="DZ248" s="236"/>
      <c r="EA248" s="236"/>
      <c r="EB248" s="236"/>
      <c r="EC248" s="236"/>
      <c r="ED248" s="236"/>
      <c r="EE248" s="236"/>
      <c r="EF248" s="236"/>
      <c r="EG248" s="236"/>
      <c r="EH248" s="236"/>
      <c r="EI248" s="236"/>
      <c r="EJ248" s="236"/>
      <c r="EK248" s="236"/>
      <c r="EL248" s="236"/>
      <c r="EM248" s="236"/>
      <c r="EN248" s="236"/>
      <c r="EO248" s="236"/>
      <c r="EP248" s="236"/>
      <c r="EQ248" s="236"/>
      <c r="ER248" s="236"/>
      <c r="ES248" s="236"/>
      <c r="ET248" s="236"/>
      <c r="EU248" s="236"/>
      <c r="EV248" s="236"/>
      <c r="EW248" s="236"/>
      <c r="EX248" s="236"/>
      <c r="EY248" s="236"/>
      <c r="EZ248" s="236"/>
      <c r="FA248" s="236"/>
      <c r="FB248" s="236"/>
      <c r="FC248" s="236"/>
      <c r="FD248" s="236"/>
      <c r="FE248" s="236"/>
      <c r="FF248" s="237">
        <f>SUM(FF254:FJ269)</f>
        <v>5</v>
      </c>
      <c r="FG248" s="237"/>
      <c r="FH248" s="237"/>
      <c r="FI248" s="237"/>
      <c r="FJ248" s="237"/>
      <c r="QQ248" s="18"/>
      <c r="QR248" s="19"/>
    </row>
    <row r="249" spans="3:460" ht="5.0999999999999996" customHeight="1" x14ac:dyDescent="0.3">
      <c r="C249" s="15"/>
      <c r="D249" s="16"/>
      <c r="DO249" s="236"/>
      <c r="DP249" s="236"/>
      <c r="DQ249" s="236"/>
      <c r="DR249" s="236"/>
      <c r="DS249" s="236"/>
      <c r="DT249" s="236"/>
      <c r="DU249" s="236"/>
      <c r="DV249" s="236"/>
      <c r="DW249" s="236"/>
      <c r="DX249" s="236"/>
      <c r="DY249" s="236"/>
      <c r="DZ249" s="236"/>
      <c r="EA249" s="236"/>
      <c r="EB249" s="236"/>
      <c r="EC249" s="236"/>
      <c r="ED249" s="236"/>
      <c r="EE249" s="236"/>
      <c r="EF249" s="236"/>
      <c r="EG249" s="236"/>
      <c r="EH249" s="236"/>
      <c r="EI249" s="236"/>
      <c r="EJ249" s="236"/>
      <c r="EK249" s="236"/>
      <c r="EL249" s="236"/>
      <c r="EM249" s="236"/>
      <c r="EN249" s="236"/>
      <c r="EO249" s="236"/>
      <c r="EP249" s="236"/>
      <c r="EQ249" s="236"/>
      <c r="ER249" s="236"/>
      <c r="ES249" s="236"/>
      <c r="ET249" s="236"/>
      <c r="EU249" s="236"/>
      <c r="EV249" s="236"/>
      <c r="EW249" s="236"/>
      <c r="EX249" s="236"/>
      <c r="EY249" s="236"/>
      <c r="EZ249" s="236"/>
      <c r="FA249" s="236"/>
      <c r="FB249" s="236"/>
      <c r="FC249" s="236"/>
      <c r="FD249" s="236"/>
      <c r="FE249" s="236"/>
      <c r="FF249" s="237"/>
      <c r="FG249" s="237"/>
      <c r="FH249" s="237"/>
      <c r="FI249" s="237"/>
      <c r="FJ249" s="237"/>
      <c r="QQ249" s="18"/>
      <c r="QR249" s="19"/>
    </row>
    <row r="250" spans="3:460" ht="5.0999999999999996" customHeight="1" x14ac:dyDescent="0.3">
      <c r="C250" s="15"/>
      <c r="D250" s="16"/>
      <c r="DO250" s="236"/>
      <c r="DP250" s="236"/>
      <c r="DQ250" s="236"/>
      <c r="DR250" s="236"/>
      <c r="DS250" s="236"/>
      <c r="DT250" s="236"/>
      <c r="DU250" s="236"/>
      <c r="DV250" s="236"/>
      <c r="DW250" s="236"/>
      <c r="DX250" s="236"/>
      <c r="DY250" s="236"/>
      <c r="DZ250" s="236"/>
      <c r="EA250" s="236"/>
      <c r="EB250" s="236"/>
      <c r="EC250" s="236"/>
      <c r="ED250" s="236"/>
      <c r="EE250" s="236"/>
      <c r="EF250" s="236"/>
      <c r="EG250" s="236"/>
      <c r="EH250" s="236"/>
      <c r="EI250" s="236"/>
      <c r="EJ250" s="236"/>
      <c r="EK250" s="236"/>
      <c r="EL250" s="236"/>
      <c r="EM250" s="236"/>
      <c r="EN250" s="236"/>
      <c r="EO250" s="236"/>
      <c r="EP250" s="236"/>
      <c r="EQ250" s="236"/>
      <c r="ER250" s="236"/>
      <c r="ES250" s="236"/>
      <c r="ET250" s="236"/>
      <c r="EU250" s="236"/>
      <c r="EV250" s="236"/>
      <c r="EW250" s="236"/>
      <c r="EX250" s="236"/>
      <c r="EY250" s="236"/>
      <c r="EZ250" s="236"/>
      <c r="FA250" s="236"/>
      <c r="FB250" s="236"/>
      <c r="FC250" s="236"/>
      <c r="FD250" s="236"/>
      <c r="FE250" s="236"/>
      <c r="FF250" s="237"/>
      <c r="FG250" s="237"/>
      <c r="FH250" s="237"/>
      <c r="FI250" s="237"/>
      <c r="FJ250" s="237"/>
      <c r="QQ250" s="18"/>
      <c r="QR250" s="19"/>
    </row>
    <row r="251" spans="3:460" ht="5.0999999999999996" customHeight="1" x14ac:dyDescent="0.3">
      <c r="C251" s="15"/>
      <c r="D251" s="16"/>
      <c r="DO251" s="236"/>
      <c r="DP251" s="236"/>
      <c r="DQ251" s="236"/>
      <c r="DR251" s="236"/>
      <c r="DS251" s="236"/>
      <c r="DT251" s="236"/>
      <c r="DU251" s="236"/>
      <c r="DV251" s="236"/>
      <c r="DW251" s="236"/>
      <c r="DX251" s="236"/>
      <c r="DY251" s="236"/>
      <c r="DZ251" s="236"/>
      <c r="EA251" s="236"/>
      <c r="EB251" s="236"/>
      <c r="EC251" s="236"/>
      <c r="ED251" s="236"/>
      <c r="EE251" s="236"/>
      <c r="EF251" s="236"/>
      <c r="EG251" s="236"/>
      <c r="EH251" s="236"/>
      <c r="EI251" s="236"/>
      <c r="EJ251" s="236"/>
      <c r="EK251" s="236"/>
      <c r="EL251" s="236"/>
      <c r="EM251" s="236"/>
      <c r="EN251" s="236"/>
      <c r="EO251" s="236"/>
      <c r="EP251" s="236"/>
      <c r="EQ251" s="236"/>
      <c r="ER251" s="236"/>
      <c r="ES251" s="236"/>
      <c r="ET251" s="236"/>
      <c r="EU251" s="236"/>
      <c r="EV251" s="236"/>
      <c r="EW251" s="236"/>
      <c r="EX251" s="236"/>
      <c r="EY251" s="236"/>
      <c r="EZ251" s="236"/>
      <c r="FA251" s="236"/>
      <c r="FB251" s="236"/>
      <c r="FC251" s="236"/>
      <c r="FD251" s="236"/>
      <c r="FE251" s="236"/>
      <c r="FF251" s="237"/>
      <c r="FG251" s="237"/>
      <c r="FH251" s="237"/>
      <c r="FI251" s="237"/>
      <c r="FJ251" s="237"/>
      <c r="QQ251" s="18"/>
      <c r="QR251" s="19"/>
    </row>
    <row r="252" spans="3:460" ht="5.0999999999999996" customHeight="1" x14ac:dyDescent="0.3">
      <c r="C252" s="15"/>
      <c r="D252" s="16"/>
      <c r="DO252" s="236"/>
      <c r="DP252" s="236"/>
      <c r="DQ252" s="236"/>
      <c r="DR252" s="236"/>
      <c r="DS252" s="236"/>
      <c r="DT252" s="236"/>
      <c r="DU252" s="236"/>
      <c r="DV252" s="236"/>
      <c r="DW252" s="236"/>
      <c r="DX252" s="236"/>
      <c r="DY252" s="236"/>
      <c r="DZ252" s="236"/>
      <c r="EA252" s="236"/>
      <c r="EB252" s="236"/>
      <c r="EC252" s="236"/>
      <c r="ED252" s="236"/>
      <c r="EE252" s="236"/>
      <c r="EF252" s="236"/>
      <c r="EG252" s="236"/>
      <c r="EH252" s="236"/>
      <c r="EI252" s="236"/>
      <c r="EJ252" s="236"/>
      <c r="EK252" s="236"/>
      <c r="EL252" s="236"/>
      <c r="EM252" s="236"/>
      <c r="EN252" s="236"/>
      <c r="EO252" s="236"/>
      <c r="EP252" s="236"/>
      <c r="EQ252" s="236"/>
      <c r="ER252" s="236"/>
      <c r="ES252" s="236"/>
      <c r="ET252" s="236"/>
      <c r="EU252" s="236"/>
      <c r="EV252" s="236"/>
      <c r="EW252" s="236"/>
      <c r="EX252" s="236"/>
      <c r="EY252" s="236"/>
      <c r="EZ252" s="236"/>
      <c r="FA252" s="236"/>
      <c r="FB252" s="236"/>
      <c r="FC252" s="236"/>
      <c r="FD252" s="236"/>
      <c r="FE252" s="236"/>
      <c r="FF252" s="237"/>
      <c r="FG252" s="237"/>
      <c r="FH252" s="237"/>
      <c r="FI252" s="237"/>
      <c r="FJ252" s="237"/>
      <c r="QQ252" s="18"/>
      <c r="QR252" s="19"/>
    </row>
    <row r="253" spans="3:460" ht="5.0999999999999996" customHeight="1" thickBot="1" x14ac:dyDescent="0.35">
      <c r="C253" s="15"/>
      <c r="D253" s="16"/>
      <c r="DO253" s="236"/>
      <c r="DP253" s="236"/>
      <c r="DQ253" s="236"/>
      <c r="DR253" s="236"/>
      <c r="DS253" s="236"/>
      <c r="DT253" s="236"/>
      <c r="DU253" s="236"/>
      <c r="DV253" s="236"/>
      <c r="DW253" s="236"/>
      <c r="DX253" s="236"/>
      <c r="DY253" s="236"/>
      <c r="DZ253" s="236"/>
      <c r="EA253" s="236"/>
      <c r="EB253" s="236"/>
      <c r="EC253" s="236"/>
      <c r="ED253" s="236"/>
      <c r="EE253" s="236"/>
      <c r="EF253" s="236"/>
      <c r="EG253" s="236"/>
      <c r="EH253" s="236"/>
      <c r="EI253" s="236"/>
      <c r="EJ253" s="236"/>
      <c r="EK253" s="236"/>
      <c r="EL253" s="236"/>
      <c r="EM253" s="236"/>
      <c r="EN253" s="236"/>
      <c r="EO253" s="236"/>
      <c r="EP253" s="236"/>
      <c r="EQ253" s="236"/>
      <c r="ER253" s="236"/>
      <c r="ES253" s="236"/>
      <c r="ET253" s="236"/>
      <c r="EU253" s="236"/>
      <c r="EV253" s="236"/>
      <c r="EW253" s="236"/>
      <c r="EX253" s="236"/>
      <c r="EY253" s="236"/>
      <c r="EZ253" s="236"/>
      <c r="FA253" s="236"/>
      <c r="FB253" s="236"/>
      <c r="FC253" s="236"/>
      <c r="FD253" s="236"/>
      <c r="FE253" s="236"/>
      <c r="FF253" s="237"/>
      <c r="FG253" s="237"/>
      <c r="FH253" s="237"/>
      <c r="FI253" s="237"/>
      <c r="FJ253" s="237"/>
      <c r="QQ253" s="18"/>
      <c r="QR253" s="19"/>
    </row>
    <row r="254" spans="3:460" ht="5.0999999999999996" customHeight="1" thickBot="1" x14ac:dyDescent="0.35">
      <c r="C254" s="15"/>
      <c r="D254" s="16"/>
      <c r="DO254" s="210" t="s">
        <v>70</v>
      </c>
      <c r="DP254" s="211"/>
      <c r="DQ254" s="211"/>
      <c r="DR254" s="211"/>
      <c r="DS254" s="211"/>
      <c r="DT254" s="211"/>
      <c r="DU254" s="211"/>
      <c r="DV254" s="211"/>
      <c r="DW254" s="211"/>
      <c r="DX254" s="211"/>
      <c r="DY254" s="211"/>
      <c r="DZ254" s="211"/>
      <c r="EA254" s="211"/>
      <c r="EB254" s="211"/>
      <c r="EC254" s="211"/>
      <c r="ED254" s="211"/>
      <c r="EE254" s="211"/>
      <c r="EF254" s="211"/>
      <c r="EG254" s="211"/>
      <c r="EH254" s="211"/>
      <c r="EI254" s="211"/>
      <c r="EJ254" s="211"/>
      <c r="EK254" s="211"/>
      <c r="EL254" s="211"/>
      <c r="EM254" s="211"/>
      <c r="EN254" s="211"/>
      <c r="EO254" s="211"/>
      <c r="EP254" s="211"/>
      <c r="EQ254" s="211"/>
      <c r="ER254" s="211"/>
      <c r="ES254" s="211"/>
      <c r="ET254" s="211"/>
      <c r="EU254" s="211"/>
      <c r="EV254" s="211"/>
      <c r="EW254" s="211"/>
      <c r="EX254" s="211"/>
      <c r="EY254" s="211"/>
      <c r="EZ254" s="211"/>
      <c r="FA254" s="211"/>
      <c r="FB254" s="211"/>
      <c r="FC254" s="211"/>
      <c r="FD254" s="211"/>
      <c r="FE254" s="212"/>
      <c r="FF254" s="210">
        <v>1</v>
      </c>
      <c r="FG254" s="211"/>
      <c r="FH254" s="211"/>
      <c r="FI254" s="211"/>
      <c r="FJ254" s="212"/>
      <c r="OD254" s="218" t="s">
        <v>71</v>
      </c>
      <c r="OE254" s="219"/>
      <c r="OF254" s="219"/>
      <c r="OG254" s="219"/>
      <c r="OH254" s="219"/>
      <c r="OI254" s="219"/>
      <c r="OJ254" s="219"/>
      <c r="OK254" s="219"/>
      <c r="OL254" s="219"/>
      <c r="OM254" s="219"/>
      <c r="ON254" s="219"/>
      <c r="OO254" s="219"/>
      <c r="OP254" s="219"/>
      <c r="OQ254" s="219"/>
      <c r="OR254" s="219"/>
      <c r="OS254" s="219"/>
      <c r="OT254" s="219"/>
      <c r="OU254" s="219"/>
      <c r="OV254" s="219"/>
      <c r="OW254" s="219"/>
      <c r="OX254" s="219"/>
      <c r="OY254" s="219"/>
      <c r="OZ254" s="219"/>
      <c r="PA254" s="219"/>
      <c r="PB254" s="219"/>
      <c r="PC254" s="219"/>
      <c r="PD254" s="219"/>
      <c r="PE254" s="219"/>
      <c r="PF254" s="219"/>
      <c r="PG254" s="219"/>
      <c r="PH254" s="219"/>
      <c r="PI254" s="219"/>
      <c r="PJ254" s="219"/>
      <c r="PK254" s="219"/>
      <c r="PL254" s="219"/>
      <c r="PM254" s="219"/>
      <c r="PN254" s="219"/>
      <c r="PO254" s="219"/>
      <c r="PP254" s="219"/>
      <c r="PQ254" s="219"/>
      <c r="PR254" s="219"/>
      <c r="PS254" s="219"/>
      <c r="PT254" s="219"/>
      <c r="PU254" s="219"/>
      <c r="PV254" s="219"/>
      <c r="PW254" s="219"/>
      <c r="PX254" s="219"/>
      <c r="PY254" s="219"/>
      <c r="PZ254" s="219"/>
      <c r="QA254" s="220"/>
      <c r="QB254" s="227">
        <f>SUM(IR19,AX37,FA46,PH36,GF60,CT82,CU100,GW96,GW106,EU111,KS46,CT72)</f>
        <v>156</v>
      </c>
      <c r="QC254" s="228"/>
      <c r="QD254" s="228"/>
      <c r="QE254" s="228"/>
      <c r="QF254" s="228"/>
      <c r="QG254" s="228"/>
      <c r="QH254" s="228"/>
      <c r="QI254" s="228"/>
      <c r="QJ254" s="228"/>
      <c r="QK254" s="228"/>
      <c r="QL254" s="228"/>
      <c r="QM254" s="229"/>
      <c r="QQ254" s="18"/>
      <c r="QR254" s="19"/>
    </row>
    <row r="255" spans="3:460" ht="5.0999999999999996" customHeight="1" x14ac:dyDescent="0.3">
      <c r="C255" s="15"/>
      <c r="D255" s="16"/>
      <c r="F255" s="201" t="s">
        <v>72</v>
      </c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  <c r="AB255" s="202"/>
      <c r="AC255" s="202"/>
      <c r="AD255" s="202"/>
      <c r="AE255" s="202"/>
      <c r="AF255" s="202"/>
      <c r="AG255" s="203"/>
      <c r="AH255" s="201" t="s">
        <v>73</v>
      </c>
      <c r="AI255" s="202"/>
      <c r="AJ255" s="202"/>
      <c r="AK255" s="202"/>
      <c r="AL255" s="202"/>
      <c r="AM255" s="202"/>
      <c r="AN255" s="202"/>
      <c r="AO255" s="202"/>
      <c r="AP255" s="202"/>
      <c r="AQ255" s="202"/>
      <c r="AR255" s="202"/>
      <c r="AS255" s="202"/>
      <c r="AT255" s="202"/>
      <c r="AU255" s="202"/>
      <c r="AV255" s="202"/>
      <c r="AW255" s="202"/>
      <c r="AX255" s="202"/>
      <c r="AY255" s="202"/>
      <c r="AZ255" s="202"/>
      <c r="BA255" s="202"/>
      <c r="BB255" s="202"/>
      <c r="BC255" s="202"/>
      <c r="BD255" s="202"/>
      <c r="BE255" s="202"/>
      <c r="BF255" s="202"/>
      <c r="BG255" s="202"/>
      <c r="BH255" s="202"/>
      <c r="BI255" s="203"/>
      <c r="BJ255" s="201" t="s">
        <v>74</v>
      </c>
      <c r="BK255" s="202"/>
      <c r="BL255" s="202"/>
      <c r="BM255" s="202"/>
      <c r="BN255" s="202"/>
      <c r="BO255" s="202"/>
      <c r="BP255" s="202"/>
      <c r="BQ255" s="202"/>
      <c r="BR255" s="202"/>
      <c r="BS255" s="202"/>
      <c r="BT255" s="202"/>
      <c r="BU255" s="202"/>
      <c r="BV255" s="202"/>
      <c r="BW255" s="202"/>
      <c r="BX255" s="202"/>
      <c r="BY255" s="202"/>
      <c r="BZ255" s="202"/>
      <c r="CA255" s="202"/>
      <c r="CB255" s="202"/>
      <c r="CC255" s="202"/>
      <c r="CD255" s="202"/>
      <c r="CE255" s="202"/>
      <c r="CF255" s="202"/>
      <c r="CG255" s="202"/>
      <c r="CH255" s="202"/>
      <c r="CI255" s="202"/>
      <c r="CJ255" s="202"/>
      <c r="CK255" s="203"/>
      <c r="DO255" s="213"/>
      <c r="DP255" s="205"/>
      <c r="DQ255" s="205"/>
      <c r="DR255" s="205"/>
      <c r="DS255" s="205"/>
      <c r="DT255" s="205"/>
      <c r="DU255" s="205"/>
      <c r="DV255" s="205"/>
      <c r="DW255" s="205"/>
      <c r="DX255" s="205"/>
      <c r="DY255" s="205"/>
      <c r="DZ255" s="205"/>
      <c r="EA255" s="205"/>
      <c r="EB255" s="205"/>
      <c r="EC255" s="205"/>
      <c r="ED255" s="205"/>
      <c r="EE255" s="205"/>
      <c r="EF255" s="205"/>
      <c r="EG255" s="205"/>
      <c r="EH255" s="205"/>
      <c r="EI255" s="205"/>
      <c r="EJ255" s="205"/>
      <c r="EK255" s="205"/>
      <c r="EL255" s="205"/>
      <c r="EM255" s="205"/>
      <c r="EN255" s="205"/>
      <c r="EO255" s="205"/>
      <c r="EP255" s="205"/>
      <c r="EQ255" s="205"/>
      <c r="ER255" s="205"/>
      <c r="ES255" s="205"/>
      <c r="ET255" s="205"/>
      <c r="EU255" s="205"/>
      <c r="EV255" s="205"/>
      <c r="EW255" s="205"/>
      <c r="EX255" s="205"/>
      <c r="EY255" s="205"/>
      <c r="EZ255" s="205"/>
      <c r="FA255" s="205"/>
      <c r="FB255" s="205"/>
      <c r="FC255" s="205"/>
      <c r="FD255" s="205"/>
      <c r="FE255" s="214"/>
      <c r="FF255" s="213"/>
      <c r="FG255" s="205"/>
      <c r="FH255" s="205"/>
      <c r="FI255" s="205"/>
      <c r="FJ255" s="214"/>
      <c r="OD255" s="221"/>
      <c r="OE255" s="222"/>
      <c r="OF255" s="222"/>
      <c r="OG255" s="222"/>
      <c r="OH255" s="222"/>
      <c r="OI255" s="222"/>
      <c r="OJ255" s="222"/>
      <c r="OK255" s="222"/>
      <c r="OL255" s="222"/>
      <c r="OM255" s="222"/>
      <c r="ON255" s="222"/>
      <c r="OO255" s="222"/>
      <c r="OP255" s="222"/>
      <c r="OQ255" s="222"/>
      <c r="OR255" s="222"/>
      <c r="OS255" s="222"/>
      <c r="OT255" s="222"/>
      <c r="OU255" s="222"/>
      <c r="OV255" s="222"/>
      <c r="OW255" s="222"/>
      <c r="OX255" s="222"/>
      <c r="OY255" s="222"/>
      <c r="OZ255" s="222"/>
      <c r="PA255" s="222"/>
      <c r="PB255" s="222"/>
      <c r="PC255" s="222"/>
      <c r="PD255" s="222"/>
      <c r="PE255" s="222"/>
      <c r="PF255" s="222"/>
      <c r="PG255" s="222"/>
      <c r="PH255" s="222"/>
      <c r="PI255" s="222"/>
      <c r="PJ255" s="222"/>
      <c r="PK255" s="222"/>
      <c r="PL255" s="222"/>
      <c r="PM255" s="222"/>
      <c r="PN255" s="222"/>
      <c r="PO255" s="222"/>
      <c r="PP255" s="222"/>
      <c r="PQ255" s="222"/>
      <c r="PR255" s="222"/>
      <c r="PS255" s="222"/>
      <c r="PT255" s="222"/>
      <c r="PU255" s="222"/>
      <c r="PV255" s="222"/>
      <c r="PW255" s="222"/>
      <c r="PX255" s="222"/>
      <c r="PY255" s="222"/>
      <c r="PZ255" s="222"/>
      <c r="QA255" s="223"/>
      <c r="QB255" s="230"/>
      <c r="QC255" s="231"/>
      <c r="QD255" s="231"/>
      <c r="QE255" s="231"/>
      <c r="QF255" s="231"/>
      <c r="QG255" s="231"/>
      <c r="QH255" s="231"/>
      <c r="QI255" s="231"/>
      <c r="QJ255" s="231"/>
      <c r="QK255" s="231"/>
      <c r="QL255" s="231"/>
      <c r="QM255" s="232"/>
      <c r="QQ255" s="18"/>
      <c r="QR255" s="19"/>
    </row>
    <row r="256" spans="3:460" ht="5.0999999999999996" customHeight="1" x14ac:dyDescent="0.3">
      <c r="C256" s="15"/>
      <c r="D256" s="16"/>
      <c r="F256" s="204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6"/>
      <c r="AH256" s="204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  <c r="AV256" s="205"/>
      <c r="AW256" s="205"/>
      <c r="AX256" s="205"/>
      <c r="AY256" s="205"/>
      <c r="AZ256" s="205"/>
      <c r="BA256" s="205"/>
      <c r="BB256" s="205"/>
      <c r="BC256" s="205"/>
      <c r="BD256" s="205"/>
      <c r="BE256" s="205"/>
      <c r="BF256" s="205"/>
      <c r="BG256" s="205"/>
      <c r="BH256" s="205"/>
      <c r="BI256" s="206"/>
      <c r="BJ256" s="204"/>
      <c r="BK256" s="205"/>
      <c r="BL256" s="205"/>
      <c r="BM256" s="205"/>
      <c r="BN256" s="205"/>
      <c r="BO256" s="205"/>
      <c r="BP256" s="205"/>
      <c r="BQ256" s="205"/>
      <c r="BR256" s="205"/>
      <c r="BS256" s="205"/>
      <c r="BT256" s="205"/>
      <c r="BU256" s="205"/>
      <c r="BV256" s="205"/>
      <c r="BW256" s="205"/>
      <c r="BX256" s="205"/>
      <c r="BY256" s="205"/>
      <c r="BZ256" s="205"/>
      <c r="CA256" s="205"/>
      <c r="CB256" s="205"/>
      <c r="CC256" s="205"/>
      <c r="CD256" s="205"/>
      <c r="CE256" s="205"/>
      <c r="CF256" s="205"/>
      <c r="CG256" s="205"/>
      <c r="CH256" s="205"/>
      <c r="CI256" s="205"/>
      <c r="CJ256" s="205"/>
      <c r="CK256" s="206"/>
      <c r="DO256" s="213"/>
      <c r="DP256" s="205"/>
      <c r="DQ256" s="205"/>
      <c r="DR256" s="205"/>
      <c r="DS256" s="205"/>
      <c r="DT256" s="205"/>
      <c r="DU256" s="205"/>
      <c r="DV256" s="205"/>
      <c r="DW256" s="205"/>
      <c r="DX256" s="205"/>
      <c r="DY256" s="205"/>
      <c r="DZ256" s="205"/>
      <c r="EA256" s="205"/>
      <c r="EB256" s="205"/>
      <c r="EC256" s="205"/>
      <c r="ED256" s="205"/>
      <c r="EE256" s="205"/>
      <c r="EF256" s="205"/>
      <c r="EG256" s="205"/>
      <c r="EH256" s="205"/>
      <c r="EI256" s="205"/>
      <c r="EJ256" s="205"/>
      <c r="EK256" s="205"/>
      <c r="EL256" s="205"/>
      <c r="EM256" s="205"/>
      <c r="EN256" s="205"/>
      <c r="EO256" s="205"/>
      <c r="EP256" s="205"/>
      <c r="EQ256" s="205"/>
      <c r="ER256" s="205"/>
      <c r="ES256" s="205"/>
      <c r="ET256" s="205"/>
      <c r="EU256" s="205"/>
      <c r="EV256" s="205"/>
      <c r="EW256" s="205"/>
      <c r="EX256" s="205"/>
      <c r="EY256" s="205"/>
      <c r="EZ256" s="205"/>
      <c r="FA256" s="205"/>
      <c r="FB256" s="205"/>
      <c r="FC256" s="205"/>
      <c r="FD256" s="205"/>
      <c r="FE256" s="214"/>
      <c r="FF256" s="213"/>
      <c r="FG256" s="205"/>
      <c r="FH256" s="205"/>
      <c r="FI256" s="205"/>
      <c r="FJ256" s="214"/>
      <c r="OD256" s="221"/>
      <c r="OE256" s="222"/>
      <c r="OF256" s="222"/>
      <c r="OG256" s="222"/>
      <c r="OH256" s="222"/>
      <c r="OI256" s="222"/>
      <c r="OJ256" s="222"/>
      <c r="OK256" s="222"/>
      <c r="OL256" s="222"/>
      <c r="OM256" s="222"/>
      <c r="ON256" s="222"/>
      <c r="OO256" s="222"/>
      <c r="OP256" s="222"/>
      <c r="OQ256" s="222"/>
      <c r="OR256" s="222"/>
      <c r="OS256" s="222"/>
      <c r="OT256" s="222"/>
      <c r="OU256" s="222"/>
      <c r="OV256" s="222"/>
      <c r="OW256" s="222"/>
      <c r="OX256" s="222"/>
      <c r="OY256" s="222"/>
      <c r="OZ256" s="222"/>
      <c r="PA256" s="222"/>
      <c r="PB256" s="222"/>
      <c r="PC256" s="222"/>
      <c r="PD256" s="222"/>
      <c r="PE256" s="222"/>
      <c r="PF256" s="222"/>
      <c r="PG256" s="222"/>
      <c r="PH256" s="222"/>
      <c r="PI256" s="222"/>
      <c r="PJ256" s="222"/>
      <c r="PK256" s="222"/>
      <c r="PL256" s="222"/>
      <c r="PM256" s="222"/>
      <c r="PN256" s="222"/>
      <c r="PO256" s="222"/>
      <c r="PP256" s="222"/>
      <c r="PQ256" s="222"/>
      <c r="PR256" s="222"/>
      <c r="PS256" s="222"/>
      <c r="PT256" s="222"/>
      <c r="PU256" s="222"/>
      <c r="PV256" s="222"/>
      <c r="PW256" s="222"/>
      <c r="PX256" s="222"/>
      <c r="PY256" s="222"/>
      <c r="PZ256" s="222"/>
      <c r="QA256" s="223"/>
      <c r="QB256" s="230"/>
      <c r="QC256" s="231"/>
      <c r="QD256" s="231"/>
      <c r="QE256" s="231"/>
      <c r="QF256" s="231"/>
      <c r="QG256" s="231"/>
      <c r="QH256" s="231"/>
      <c r="QI256" s="231"/>
      <c r="QJ256" s="231"/>
      <c r="QK256" s="231"/>
      <c r="QL256" s="231"/>
      <c r="QM256" s="232"/>
      <c r="QQ256" s="18"/>
      <c r="QR256" s="19"/>
    </row>
    <row r="257" spans="3:460" ht="5.0999999999999996" customHeight="1" x14ac:dyDescent="0.3">
      <c r="C257" s="15"/>
      <c r="D257" s="16"/>
      <c r="F257" s="204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6"/>
      <c r="AH257" s="204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  <c r="AV257" s="205"/>
      <c r="AW257" s="205"/>
      <c r="AX257" s="205"/>
      <c r="AY257" s="205"/>
      <c r="AZ257" s="205"/>
      <c r="BA257" s="205"/>
      <c r="BB257" s="205"/>
      <c r="BC257" s="205"/>
      <c r="BD257" s="205"/>
      <c r="BE257" s="205"/>
      <c r="BF257" s="205"/>
      <c r="BG257" s="205"/>
      <c r="BH257" s="205"/>
      <c r="BI257" s="206"/>
      <c r="BJ257" s="204"/>
      <c r="BK257" s="205"/>
      <c r="BL257" s="205"/>
      <c r="BM257" s="205"/>
      <c r="BN257" s="205"/>
      <c r="BO257" s="205"/>
      <c r="BP257" s="205"/>
      <c r="BQ257" s="205"/>
      <c r="BR257" s="205"/>
      <c r="BS257" s="205"/>
      <c r="BT257" s="205"/>
      <c r="BU257" s="205"/>
      <c r="BV257" s="205"/>
      <c r="BW257" s="205"/>
      <c r="BX257" s="205"/>
      <c r="BY257" s="205"/>
      <c r="BZ257" s="205"/>
      <c r="CA257" s="205"/>
      <c r="CB257" s="205"/>
      <c r="CC257" s="205"/>
      <c r="CD257" s="205"/>
      <c r="CE257" s="205"/>
      <c r="CF257" s="205"/>
      <c r="CG257" s="205"/>
      <c r="CH257" s="205"/>
      <c r="CI257" s="205"/>
      <c r="CJ257" s="205"/>
      <c r="CK257" s="206"/>
      <c r="DO257" s="215"/>
      <c r="DP257" s="216"/>
      <c r="DQ257" s="216"/>
      <c r="DR257" s="216"/>
      <c r="DS257" s="216"/>
      <c r="DT257" s="216"/>
      <c r="DU257" s="216"/>
      <c r="DV257" s="216"/>
      <c r="DW257" s="216"/>
      <c r="DX257" s="216"/>
      <c r="DY257" s="216"/>
      <c r="DZ257" s="216"/>
      <c r="EA257" s="216"/>
      <c r="EB257" s="216"/>
      <c r="EC257" s="216"/>
      <c r="ED257" s="216"/>
      <c r="EE257" s="216"/>
      <c r="EF257" s="216"/>
      <c r="EG257" s="216"/>
      <c r="EH257" s="216"/>
      <c r="EI257" s="216"/>
      <c r="EJ257" s="216"/>
      <c r="EK257" s="216"/>
      <c r="EL257" s="216"/>
      <c r="EM257" s="216"/>
      <c r="EN257" s="216"/>
      <c r="EO257" s="216"/>
      <c r="EP257" s="216"/>
      <c r="EQ257" s="216"/>
      <c r="ER257" s="216"/>
      <c r="ES257" s="216"/>
      <c r="ET257" s="216"/>
      <c r="EU257" s="216"/>
      <c r="EV257" s="216"/>
      <c r="EW257" s="216"/>
      <c r="EX257" s="216"/>
      <c r="EY257" s="216"/>
      <c r="EZ257" s="216"/>
      <c r="FA257" s="216"/>
      <c r="FB257" s="216"/>
      <c r="FC257" s="216"/>
      <c r="FD257" s="216"/>
      <c r="FE257" s="217"/>
      <c r="FF257" s="215"/>
      <c r="FG257" s="216"/>
      <c r="FH257" s="216"/>
      <c r="FI257" s="216"/>
      <c r="FJ257" s="217"/>
      <c r="OD257" s="221"/>
      <c r="OE257" s="222"/>
      <c r="OF257" s="222"/>
      <c r="OG257" s="222"/>
      <c r="OH257" s="222"/>
      <c r="OI257" s="222"/>
      <c r="OJ257" s="222"/>
      <c r="OK257" s="222"/>
      <c r="OL257" s="222"/>
      <c r="OM257" s="222"/>
      <c r="ON257" s="222"/>
      <c r="OO257" s="222"/>
      <c r="OP257" s="222"/>
      <c r="OQ257" s="222"/>
      <c r="OR257" s="222"/>
      <c r="OS257" s="222"/>
      <c r="OT257" s="222"/>
      <c r="OU257" s="222"/>
      <c r="OV257" s="222"/>
      <c r="OW257" s="222"/>
      <c r="OX257" s="222"/>
      <c r="OY257" s="222"/>
      <c r="OZ257" s="222"/>
      <c r="PA257" s="222"/>
      <c r="PB257" s="222"/>
      <c r="PC257" s="222"/>
      <c r="PD257" s="222"/>
      <c r="PE257" s="222"/>
      <c r="PF257" s="222"/>
      <c r="PG257" s="222"/>
      <c r="PH257" s="222"/>
      <c r="PI257" s="222"/>
      <c r="PJ257" s="222"/>
      <c r="PK257" s="222"/>
      <c r="PL257" s="222"/>
      <c r="PM257" s="222"/>
      <c r="PN257" s="222"/>
      <c r="PO257" s="222"/>
      <c r="PP257" s="222"/>
      <c r="PQ257" s="222"/>
      <c r="PR257" s="222"/>
      <c r="PS257" s="222"/>
      <c r="PT257" s="222"/>
      <c r="PU257" s="222"/>
      <c r="PV257" s="222"/>
      <c r="PW257" s="222"/>
      <c r="PX257" s="222"/>
      <c r="PY257" s="222"/>
      <c r="PZ257" s="222"/>
      <c r="QA257" s="223"/>
      <c r="QB257" s="230"/>
      <c r="QC257" s="231"/>
      <c r="QD257" s="231"/>
      <c r="QE257" s="231"/>
      <c r="QF257" s="231"/>
      <c r="QG257" s="231"/>
      <c r="QH257" s="231"/>
      <c r="QI257" s="231"/>
      <c r="QJ257" s="231"/>
      <c r="QK257" s="231"/>
      <c r="QL257" s="231"/>
      <c r="QM257" s="232"/>
      <c r="QQ257" s="18"/>
      <c r="QR257" s="19"/>
    </row>
    <row r="258" spans="3:460" ht="5.0999999999999996" customHeight="1" x14ac:dyDescent="0.3">
      <c r="C258" s="15"/>
      <c r="D258" s="16"/>
      <c r="F258" s="204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6"/>
      <c r="AH258" s="204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  <c r="AV258" s="205"/>
      <c r="AW258" s="205"/>
      <c r="AX258" s="205"/>
      <c r="AY258" s="205"/>
      <c r="AZ258" s="205"/>
      <c r="BA258" s="205"/>
      <c r="BB258" s="205"/>
      <c r="BC258" s="205"/>
      <c r="BD258" s="205"/>
      <c r="BE258" s="205"/>
      <c r="BF258" s="205"/>
      <c r="BG258" s="205"/>
      <c r="BH258" s="205"/>
      <c r="BI258" s="206"/>
      <c r="BJ258" s="204"/>
      <c r="BK258" s="205"/>
      <c r="BL258" s="205"/>
      <c r="BM258" s="205"/>
      <c r="BN258" s="205"/>
      <c r="BO258" s="205"/>
      <c r="BP258" s="205"/>
      <c r="BQ258" s="205"/>
      <c r="BR258" s="205"/>
      <c r="BS258" s="205"/>
      <c r="BT258" s="205"/>
      <c r="BU258" s="205"/>
      <c r="BV258" s="205"/>
      <c r="BW258" s="205"/>
      <c r="BX258" s="205"/>
      <c r="BY258" s="205"/>
      <c r="BZ258" s="205"/>
      <c r="CA258" s="205"/>
      <c r="CB258" s="205"/>
      <c r="CC258" s="205"/>
      <c r="CD258" s="205"/>
      <c r="CE258" s="205"/>
      <c r="CF258" s="205"/>
      <c r="CG258" s="205"/>
      <c r="CH258" s="205"/>
      <c r="CI258" s="205"/>
      <c r="CJ258" s="205"/>
      <c r="CK258" s="206"/>
      <c r="DO258" s="210" t="s">
        <v>24</v>
      </c>
      <c r="DP258" s="211"/>
      <c r="DQ258" s="211"/>
      <c r="DR258" s="211"/>
      <c r="DS258" s="211"/>
      <c r="DT258" s="211"/>
      <c r="DU258" s="211"/>
      <c r="DV258" s="211"/>
      <c r="DW258" s="211"/>
      <c r="DX258" s="211"/>
      <c r="DY258" s="211"/>
      <c r="DZ258" s="211"/>
      <c r="EA258" s="211"/>
      <c r="EB258" s="211"/>
      <c r="EC258" s="211"/>
      <c r="ED258" s="211"/>
      <c r="EE258" s="211"/>
      <c r="EF258" s="211"/>
      <c r="EG258" s="211"/>
      <c r="EH258" s="211"/>
      <c r="EI258" s="211"/>
      <c r="EJ258" s="211"/>
      <c r="EK258" s="211"/>
      <c r="EL258" s="211"/>
      <c r="EM258" s="211"/>
      <c r="EN258" s="211"/>
      <c r="EO258" s="211"/>
      <c r="EP258" s="211"/>
      <c r="EQ258" s="211"/>
      <c r="ER258" s="211"/>
      <c r="ES258" s="211"/>
      <c r="ET258" s="211"/>
      <c r="EU258" s="211"/>
      <c r="EV258" s="211"/>
      <c r="EW258" s="211"/>
      <c r="EX258" s="211"/>
      <c r="EY258" s="211"/>
      <c r="EZ258" s="211"/>
      <c r="FA258" s="211"/>
      <c r="FB258" s="211"/>
      <c r="FC258" s="211"/>
      <c r="FD258" s="211"/>
      <c r="FE258" s="212"/>
      <c r="FF258" s="210">
        <v>2</v>
      </c>
      <c r="FG258" s="211"/>
      <c r="FH258" s="211"/>
      <c r="FI258" s="211"/>
      <c r="FJ258" s="212"/>
      <c r="OD258" s="221"/>
      <c r="OE258" s="222"/>
      <c r="OF258" s="222"/>
      <c r="OG258" s="222"/>
      <c r="OH258" s="222"/>
      <c r="OI258" s="222"/>
      <c r="OJ258" s="222"/>
      <c r="OK258" s="222"/>
      <c r="OL258" s="222"/>
      <c r="OM258" s="222"/>
      <c r="ON258" s="222"/>
      <c r="OO258" s="222"/>
      <c r="OP258" s="222"/>
      <c r="OQ258" s="222"/>
      <c r="OR258" s="222"/>
      <c r="OS258" s="222"/>
      <c r="OT258" s="222"/>
      <c r="OU258" s="222"/>
      <c r="OV258" s="222"/>
      <c r="OW258" s="222"/>
      <c r="OX258" s="222"/>
      <c r="OY258" s="222"/>
      <c r="OZ258" s="222"/>
      <c r="PA258" s="222"/>
      <c r="PB258" s="222"/>
      <c r="PC258" s="222"/>
      <c r="PD258" s="222"/>
      <c r="PE258" s="222"/>
      <c r="PF258" s="222"/>
      <c r="PG258" s="222"/>
      <c r="PH258" s="222"/>
      <c r="PI258" s="222"/>
      <c r="PJ258" s="222"/>
      <c r="PK258" s="222"/>
      <c r="PL258" s="222"/>
      <c r="PM258" s="222"/>
      <c r="PN258" s="222"/>
      <c r="PO258" s="222"/>
      <c r="PP258" s="222"/>
      <c r="PQ258" s="222"/>
      <c r="PR258" s="222"/>
      <c r="PS258" s="222"/>
      <c r="PT258" s="222"/>
      <c r="PU258" s="222"/>
      <c r="PV258" s="222"/>
      <c r="PW258" s="222"/>
      <c r="PX258" s="222"/>
      <c r="PY258" s="222"/>
      <c r="PZ258" s="222"/>
      <c r="QA258" s="223"/>
      <c r="QB258" s="230"/>
      <c r="QC258" s="231"/>
      <c r="QD258" s="231"/>
      <c r="QE258" s="231"/>
      <c r="QF258" s="231"/>
      <c r="QG258" s="231"/>
      <c r="QH258" s="231"/>
      <c r="QI258" s="231"/>
      <c r="QJ258" s="231"/>
      <c r="QK258" s="231"/>
      <c r="QL258" s="231"/>
      <c r="QM258" s="232"/>
      <c r="QQ258" s="18"/>
      <c r="QR258" s="19"/>
    </row>
    <row r="259" spans="3:460" ht="5.0999999999999996" customHeight="1" thickBot="1" x14ac:dyDescent="0.35">
      <c r="C259" s="15"/>
      <c r="D259" s="16"/>
      <c r="F259" s="207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  <c r="AE259" s="208"/>
      <c r="AF259" s="208"/>
      <c r="AG259" s="209"/>
      <c r="AH259" s="207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208"/>
      <c r="AY259" s="208"/>
      <c r="AZ259" s="208"/>
      <c r="BA259" s="208"/>
      <c r="BB259" s="208"/>
      <c r="BC259" s="208"/>
      <c r="BD259" s="208"/>
      <c r="BE259" s="208"/>
      <c r="BF259" s="208"/>
      <c r="BG259" s="208"/>
      <c r="BH259" s="208"/>
      <c r="BI259" s="209"/>
      <c r="BJ259" s="207"/>
      <c r="BK259" s="208"/>
      <c r="BL259" s="208"/>
      <c r="BM259" s="208"/>
      <c r="BN259" s="208"/>
      <c r="BO259" s="208"/>
      <c r="BP259" s="208"/>
      <c r="BQ259" s="208"/>
      <c r="BR259" s="208"/>
      <c r="BS259" s="208"/>
      <c r="BT259" s="208"/>
      <c r="BU259" s="208"/>
      <c r="BV259" s="208"/>
      <c r="BW259" s="208"/>
      <c r="BX259" s="208"/>
      <c r="BY259" s="208"/>
      <c r="BZ259" s="208"/>
      <c r="CA259" s="208"/>
      <c r="CB259" s="208"/>
      <c r="CC259" s="208"/>
      <c r="CD259" s="208"/>
      <c r="CE259" s="208"/>
      <c r="CF259" s="208"/>
      <c r="CG259" s="208"/>
      <c r="CH259" s="208"/>
      <c r="CI259" s="208"/>
      <c r="CJ259" s="208"/>
      <c r="CK259" s="209"/>
      <c r="DO259" s="213"/>
      <c r="DP259" s="205"/>
      <c r="DQ259" s="205"/>
      <c r="DR259" s="205"/>
      <c r="DS259" s="205"/>
      <c r="DT259" s="205"/>
      <c r="DU259" s="205"/>
      <c r="DV259" s="205"/>
      <c r="DW259" s="205"/>
      <c r="DX259" s="205"/>
      <c r="DY259" s="205"/>
      <c r="DZ259" s="205"/>
      <c r="EA259" s="205"/>
      <c r="EB259" s="205"/>
      <c r="EC259" s="205"/>
      <c r="ED259" s="205"/>
      <c r="EE259" s="205"/>
      <c r="EF259" s="205"/>
      <c r="EG259" s="205"/>
      <c r="EH259" s="205"/>
      <c r="EI259" s="205"/>
      <c r="EJ259" s="205"/>
      <c r="EK259" s="205"/>
      <c r="EL259" s="205"/>
      <c r="EM259" s="205"/>
      <c r="EN259" s="205"/>
      <c r="EO259" s="205"/>
      <c r="EP259" s="205"/>
      <c r="EQ259" s="205"/>
      <c r="ER259" s="205"/>
      <c r="ES259" s="205"/>
      <c r="ET259" s="205"/>
      <c r="EU259" s="205"/>
      <c r="EV259" s="205"/>
      <c r="EW259" s="205"/>
      <c r="EX259" s="205"/>
      <c r="EY259" s="205"/>
      <c r="EZ259" s="205"/>
      <c r="FA259" s="205"/>
      <c r="FB259" s="205"/>
      <c r="FC259" s="205"/>
      <c r="FD259" s="205"/>
      <c r="FE259" s="214"/>
      <c r="FF259" s="213"/>
      <c r="FG259" s="205"/>
      <c r="FH259" s="205"/>
      <c r="FI259" s="205"/>
      <c r="FJ259" s="214"/>
      <c r="OD259" s="221"/>
      <c r="OE259" s="222"/>
      <c r="OF259" s="222"/>
      <c r="OG259" s="222"/>
      <c r="OH259" s="222"/>
      <c r="OI259" s="222"/>
      <c r="OJ259" s="222"/>
      <c r="OK259" s="222"/>
      <c r="OL259" s="222"/>
      <c r="OM259" s="222"/>
      <c r="ON259" s="222"/>
      <c r="OO259" s="222"/>
      <c r="OP259" s="222"/>
      <c r="OQ259" s="222"/>
      <c r="OR259" s="222"/>
      <c r="OS259" s="222"/>
      <c r="OT259" s="222"/>
      <c r="OU259" s="222"/>
      <c r="OV259" s="222"/>
      <c r="OW259" s="222"/>
      <c r="OX259" s="222"/>
      <c r="OY259" s="222"/>
      <c r="OZ259" s="222"/>
      <c r="PA259" s="222"/>
      <c r="PB259" s="222"/>
      <c r="PC259" s="222"/>
      <c r="PD259" s="222"/>
      <c r="PE259" s="222"/>
      <c r="PF259" s="222"/>
      <c r="PG259" s="222"/>
      <c r="PH259" s="222"/>
      <c r="PI259" s="222"/>
      <c r="PJ259" s="222"/>
      <c r="PK259" s="222"/>
      <c r="PL259" s="222"/>
      <c r="PM259" s="222"/>
      <c r="PN259" s="222"/>
      <c r="PO259" s="222"/>
      <c r="PP259" s="222"/>
      <c r="PQ259" s="222"/>
      <c r="PR259" s="222"/>
      <c r="PS259" s="222"/>
      <c r="PT259" s="222"/>
      <c r="PU259" s="222"/>
      <c r="PV259" s="222"/>
      <c r="PW259" s="222"/>
      <c r="PX259" s="222"/>
      <c r="PY259" s="222"/>
      <c r="PZ259" s="222"/>
      <c r="QA259" s="223"/>
      <c r="QB259" s="230"/>
      <c r="QC259" s="231"/>
      <c r="QD259" s="231"/>
      <c r="QE259" s="231"/>
      <c r="QF259" s="231"/>
      <c r="QG259" s="231"/>
      <c r="QH259" s="231"/>
      <c r="QI259" s="231"/>
      <c r="QJ259" s="231"/>
      <c r="QK259" s="231"/>
      <c r="QL259" s="231"/>
      <c r="QM259" s="232"/>
      <c r="QQ259" s="18"/>
      <c r="QR259" s="19"/>
    </row>
    <row r="260" spans="3:460" ht="5.0999999999999996" customHeight="1" x14ac:dyDescent="0.3">
      <c r="C260" s="15"/>
      <c r="D260" s="16"/>
      <c r="F260" s="201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  <c r="AB260" s="202"/>
      <c r="AC260" s="202"/>
      <c r="AD260" s="202"/>
      <c r="AE260" s="202"/>
      <c r="AF260" s="202"/>
      <c r="AG260" s="203"/>
      <c r="AH260" s="201"/>
      <c r="AI260" s="202"/>
      <c r="AJ260" s="202"/>
      <c r="AK260" s="202"/>
      <c r="AL260" s="202"/>
      <c r="AM260" s="202"/>
      <c r="AN260" s="202"/>
      <c r="AO260" s="202"/>
      <c r="AP260" s="202"/>
      <c r="AQ260" s="202"/>
      <c r="AR260" s="202"/>
      <c r="AS260" s="202"/>
      <c r="AT260" s="202"/>
      <c r="AU260" s="202"/>
      <c r="AV260" s="202"/>
      <c r="AW260" s="202"/>
      <c r="AX260" s="202"/>
      <c r="AY260" s="202"/>
      <c r="AZ260" s="202"/>
      <c r="BA260" s="202"/>
      <c r="BB260" s="202"/>
      <c r="BC260" s="202"/>
      <c r="BD260" s="202"/>
      <c r="BE260" s="202"/>
      <c r="BF260" s="202"/>
      <c r="BG260" s="202"/>
      <c r="BH260" s="202"/>
      <c r="BI260" s="203"/>
      <c r="BJ260" s="201"/>
      <c r="BK260" s="202"/>
      <c r="BL260" s="202"/>
      <c r="BM260" s="202"/>
      <c r="BN260" s="202"/>
      <c r="BO260" s="202"/>
      <c r="BP260" s="202"/>
      <c r="BQ260" s="202"/>
      <c r="BR260" s="202"/>
      <c r="BS260" s="202"/>
      <c r="BT260" s="202"/>
      <c r="BU260" s="202"/>
      <c r="BV260" s="202"/>
      <c r="BW260" s="202"/>
      <c r="BX260" s="202"/>
      <c r="BY260" s="202"/>
      <c r="BZ260" s="202"/>
      <c r="CA260" s="202"/>
      <c r="CB260" s="202"/>
      <c r="CC260" s="202"/>
      <c r="CD260" s="202"/>
      <c r="CE260" s="202"/>
      <c r="CF260" s="202"/>
      <c r="CG260" s="202"/>
      <c r="CH260" s="202"/>
      <c r="CI260" s="202"/>
      <c r="CJ260" s="202"/>
      <c r="CK260" s="203"/>
      <c r="DO260" s="213"/>
      <c r="DP260" s="205"/>
      <c r="DQ260" s="205"/>
      <c r="DR260" s="205"/>
      <c r="DS260" s="205"/>
      <c r="DT260" s="205"/>
      <c r="DU260" s="205"/>
      <c r="DV260" s="205"/>
      <c r="DW260" s="205"/>
      <c r="DX260" s="205"/>
      <c r="DY260" s="205"/>
      <c r="DZ260" s="205"/>
      <c r="EA260" s="205"/>
      <c r="EB260" s="205"/>
      <c r="EC260" s="205"/>
      <c r="ED260" s="205"/>
      <c r="EE260" s="205"/>
      <c r="EF260" s="205"/>
      <c r="EG260" s="205"/>
      <c r="EH260" s="205"/>
      <c r="EI260" s="205"/>
      <c r="EJ260" s="205"/>
      <c r="EK260" s="205"/>
      <c r="EL260" s="205"/>
      <c r="EM260" s="205"/>
      <c r="EN260" s="205"/>
      <c r="EO260" s="205"/>
      <c r="EP260" s="205"/>
      <c r="EQ260" s="205"/>
      <c r="ER260" s="205"/>
      <c r="ES260" s="205"/>
      <c r="ET260" s="205"/>
      <c r="EU260" s="205"/>
      <c r="EV260" s="205"/>
      <c r="EW260" s="205"/>
      <c r="EX260" s="205"/>
      <c r="EY260" s="205"/>
      <c r="EZ260" s="205"/>
      <c r="FA260" s="205"/>
      <c r="FB260" s="205"/>
      <c r="FC260" s="205"/>
      <c r="FD260" s="205"/>
      <c r="FE260" s="214"/>
      <c r="FF260" s="213"/>
      <c r="FG260" s="205"/>
      <c r="FH260" s="205"/>
      <c r="FI260" s="205"/>
      <c r="FJ260" s="214"/>
      <c r="OD260" s="221"/>
      <c r="OE260" s="222"/>
      <c r="OF260" s="222"/>
      <c r="OG260" s="222"/>
      <c r="OH260" s="222"/>
      <c r="OI260" s="222"/>
      <c r="OJ260" s="222"/>
      <c r="OK260" s="222"/>
      <c r="OL260" s="222"/>
      <c r="OM260" s="222"/>
      <c r="ON260" s="222"/>
      <c r="OO260" s="222"/>
      <c r="OP260" s="222"/>
      <c r="OQ260" s="222"/>
      <c r="OR260" s="222"/>
      <c r="OS260" s="222"/>
      <c r="OT260" s="222"/>
      <c r="OU260" s="222"/>
      <c r="OV260" s="222"/>
      <c r="OW260" s="222"/>
      <c r="OX260" s="222"/>
      <c r="OY260" s="222"/>
      <c r="OZ260" s="222"/>
      <c r="PA260" s="222"/>
      <c r="PB260" s="222"/>
      <c r="PC260" s="222"/>
      <c r="PD260" s="222"/>
      <c r="PE260" s="222"/>
      <c r="PF260" s="222"/>
      <c r="PG260" s="222"/>
      <c r="PH260" s="222"/>
      <c r="PI260" s="222"/>
      <c r="PJ260" s="222"/>
      <c r="PK260" s="222"/>
      <c r="PL260" s="222"/>
      <c r="PM260" s="222"/>
      <c r="PN260" s="222"/>
      <c r="PO260" s="222"/>
      <c r="PP260" s="222"/>
      <c r="PQ260" s="222"/>
      <c r="PR260" s="222"/>
      <c r="PS260" s="222"/>
      <c r="PT260" s="222"/>
      <c r="PU260" s="222"/>
      <c r="PV260" s="222"/>
      <c r="PW260" s="222"/>
      <c r="PX260" s="222"/>
      <c r="PY260" s="222"/>
      <c r="PZ260" s="222"/>
      <c r="QA260" s="223"/>
      <c r="QB260" s="230"/>
      <c r="QC260" s="231"/>
      <c r="QD260" s="231"/>
      <c r="QE260" s="231"/>
      <c r="QF260" s="231"/>
      <c r="QG260" s="231"/>
      <c r="QH260" s="231"/>
      <c r="QI260" s="231"/>
      <c r="QJ260" s="231"/>
      <c r="QK260" s="231"/>
      <c r="QL260" s="231"/>
      <c r="QM260" s="232"/>
      <c r="QQ260" s="18"/>
      <c r="QR260" s="19"/>
    </row>
    <row r="261" spans="3:460" ht="5.0999999999999996" customHeight="1" x14ac:dyDescent="0.3">
      <c r="C261" s="15"/>
      <c r="D261" s="16"/>
      <c r="F261" s="204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6"/>
      <c r="AH261" s="204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  <c r="AV261" s="205"/>
      <c r="AW261" s="205"/>
      <c r="AX261" s="205"/>
      <c r="AY261" s="205"/>
      <c r="AZ261" s="205"/>
      <c r="BA261" s="205"/>
      <c r="BB261" s="205"/>
      <c r="BC261" s="205"/>
      <c r="BD261" s="205"/>
      <c r="BE261" s="205"/>
      <c r="BF261" s="205"/>
      <c r="BG261" s="205"/>
      <c r="BH261" s="205"/>
      <c r="BI261" s="206"/>
      <c r="BJ261" s="204"/>
      <c r="BK261" s="205"/>
      <c r="BL261" s="205"/>
      <c r="BM261" s="205"/>
      <c r="BN261" s="205"/>
      <c r="BO261" s="205"/>
      <c r="BP261" s="205"/>
      <c r="BQ261" s="205"/>
      <c r="BR261" s="205"/>
      <c r="BS261" s="205"/>
      <c r="BT261" s="205"/>
      <c r="BU261" s="205"/>
      <c r="BV261" s="205"/>
      <c r="BW261" s="205"/>
      <c r="BX261" s="205"/>
      <c r="BY261" s="205"/>
      <c r="BZ261" s="205"/>
      <c r="CA261" s="205"/>
      <c r="CB261" s="205"/>
      <c r="CC261" s="205"/>
      <c r="CD261" s="205"/>
      <c r="CE261" s="205"/>
      <c r="CF261" s="205"/>
      <c r="CG261" s="205"/>
      <c r="CH261" s="205"/>
      <c r="CI261" s="205"/>
      <c r="CJ261" s="205"/>
      <c r="CK261" s="206"/>
      <c r="DO261" s="215"/>
      <c r="DP261" s="216"/>
      <c r="DQ261" s="216"/>
      <c r="DR261" s="216"/>
      <c r="DS261" s="216"/>
      <c r="DT261" s="216"/>
      <c r="DU261" s="216"/>
      <c r="DV261" s="216"/>
      <c r="DW261" s="216"/>
      <c r="DX261" s="216"/>
      <c r="DY261" s="216"/>
      <c r="DZ261" s="216"/>
      <c r="EA261" s="216"/>
      <c r="EB261" s="216"/>
      <c r="EC261" s="216"/>
      <c r="ED261" s="216"/>
      <c r="EE261" s="216"/>
      <c r="EF261" s="216"/>
      <c r="EG261" s="216"/>
      <c r="EH261" s="216"/>
      <c r="EI261" s="216"/>
      <c r="EJ261" s="216"/>
      <c r="EK261" s="216"/>
      <c r="EL261" s="216"/>
      <c r="EM261" s="216"/>
      <c r="EN261" s="216"/>
      <c r="EO261" s="216"/>
      <c r="EP261" s="216"/>
      <c r="EQ261" s="216"/>
      <c r="ER261" s="216"/>
      <c r="ES261" s="216"/>
      <c r="ET261" s="216"/>
      <c r="EU261" s="216"/>
      <c r="EV261" s="216"/>
      <c r="EW261" s="216"/>
      <c r="EX261" s="216"/>
      <c r="EY261" s="216"/>
      <c r="EZ261" s="216"/>
      <c r="FA261" s="216"/>
      <c r="FB261" s="216"/>
      <c r="FC261" s="216"/>
      <c r="FD261" s="216"/>
      <c r="FE261" s="217"/>
      <c r="FF261" s="215"/>
      <c r="FG261" s="216"/>
      <c r="FH261" s="216"/>
      <c r="FI261" s="216"/>
      <c r="FJ261" s="217"/>
      <c r="OD261" s="221"/>
      <c r="OE261" s="222"/>
      <c r="OF261" s="222"/>
      <c r="OG261" s="222"/>
      <c r="OH261" s="222"/>
      <c r="OI261" s="222"/>
      <c r="OJ261" s="222"/>
      <c r="OK261" s="222"/>
      <c r="OL261" s="222"/>
      <c r="OM261" s="222"/>
      <c r="ON261" s="222"/>
      <c r="OO261" s="222"/>
      <c r="OP261" s="222"/>
      <c r="OQ261" s="222"/>
      <c r="OR261" s="222"/>
      <c r="OS261" s="222"/>
      <c r="OT261" s="222"/>
      <c r="OU261" s="222"/>
      <c r="OV261" s="222"/>
      <c r="OW261" s="222"/>
      <c r="OX261" s="222"/>
      <c r="OY261" s="222"/>
      <c r="OZ261" s="222"/>
      <c r="PA261" s="222"/>
      <c r="PB261" s="222"/>
      <c r="PC261" s="222"/>
      <c r="PD261" s="222"/>
      <c r="PE261" s="222"/>
      <c r="PF261" s="222"/>
      <c r="PG261" s="222"/>
      <c r="PH261" s="222"/>
      <c r="PI261" s="222"/>
      <c r="PJ261" s="222"/>
      <c r="PK261" s="222"/>
      <c r="PL261" s="222"/>
      <c r="PM261" s="222"/>
      <c r="PN261" s="222"/>
      <c r="PO261" s="222"/>
      <c r="PP261" s="222"/>
      <c r="PQ261" s="222"/>
      <c r="PR261" s="222"/>
      <c r="PS261" s="222"/>
      <c r="PT261" s="222"/>
      <c r="PU261" s="222"/>
      <c r="PV261" s="222"/>
      <c r="PW261" s="222"/>
      <c r="PX261" s="222"/>
      <c r="PY261" s="222"/>
      <c r="PZ261" s="222"/>
      <c r="QA261" s="223"/>
      <c r="QB261" s="230"/>
      <c r="QC261" s="231"/>
      <c r="QD261" s="231"/>
      <c r="QE261" s="231"/>
      <c r="QF261" s="231"/>
      <c r="QG261" s="231"/>
      <c r="QH261" s="231"/>
      <c r="QI261" s="231"/>
      <c r="QJ261" s="231"/>
      <c r="QK261" s="231"/>
      <c r="QL261" s="231"/>
      <c r="QM261" s="232"/>
      <c r="QQ261" s="18"/>
      <c r="QR261" s="19"/>
    </row>
    <row r="262" spans="3:460" ht="5.0999999999999996" customHeight="1" thickBot="1" x14ac:dyDescent="0.35">
      <c r="C262" s="15"/>
      <c r="D262" s="16"/>
      <c r="F262" s="204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6"/>
      <c r="AH262" s="204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  <c r="AV262" s="205"/>
      <c r="AW262" s="205"/>
      <c r="AX262" s="205"/>
      <c r="AY262" s="205"/>
      <c r="AZ262" s="205"/>
      <c r="BA262" s="205"/>
      <c r="BB262" s="205"/>
      <c r="BC262" s="205"/>
      <c r="BD262" s="205"/>
      <c r="BE262" s="205"/>
      <c r="BF262" s="205"/>
      <c r="BG262" s="205"/>
      <c r="BH262" s="205"/>
      <c r="BI262" s="206"/>
      <c r="BJ262" s="204"/>
      <c r="BK262" s="205"/>
      <c r="BL262" s="205"/>
      <c r="BM262" s="205"/>
      <c r="BN262" s="205"/>
      <c r="BO262" s="205"/>
      <c r="BP262" s="205"/>
      <c r="BQ262" s="205"/>
      <c r="BR262" s="205"/>
      <c r="BS262" s="205"/>
      <c r="BT262" s="205"/>
      <c r="BU262" s="205"/>
      <c r="BV262" s="205"/>
      <c r="BW262" s="205"/>
      <c r="BX262" s="205"/>
      <c r="BY262" s="205"/>
      <c r="BZ262" s="205"/>
      <c r="CA262" s="205"/>
      <c r="CB262" s="205"/>
      <c r="CC262" s="205"/>
      <c r="CD262" s="205"/>
      <c r="CE262" s="205"/>
      <c r="CF262" s="205"/>
      <c r="CG262" s="205"/>
      <c r="CH262" s="205"/>
      <c r="CI262" s="205"/>
      <c r="CJ262" s="205"/>
      <c r="CK262" s="206"/>
      <c r="DO262" s="210" t="s">
        <v>75</v>
      </c>
      <c r="DP262" s="211"/>
      <c r="DQ262" s="211"/>
      <c r="DR262" s="211"/>
      <c r="DS262" s="211"/>
      <c r="DT262" s="211"/>
      <c r="DU262" s="211"/>
      <c r="DV262" s="211"/>
      <c r="DW262" s="211"/>
      <c r="DX262" s="211"/>
      <c r="DY262" s="211"/>
      <c r="DZ262" s="211"/>
      <c r="EA262" s="211"/>
      <c r="EB262" s="211"/>
      <c r="EC262" s="211"/>
      <c r="ED262" s="211"/>
      <c r="EE262" s="211"/>
      <c r="EF262" s="211"/>
      <c r="EG262" s="211"/>
      <c r="EH262" s="211"/>
      <c r="EI262" s="211"/>
      <c r="EJ262" s="211"/>
      <c r="EK262" s="211"/>
      <c r="EL262" s="211"/>
      <c r="EM262" s="211"/>
      <c r="EN262" s="211"/>
      <c r="EO262" s="211"/>
      <c r="EP262" s="211"/>
      <c r="EQ262" s="211"/>
      <c r="ER262" s="211"/>
      <c r="ES262" s="211"/>
      <c r="ET262" s="211"/>
      <c r="EU262" s="211"/>
      <c r="EV262" s="211"/>
      <c r="EW262" s="211"/>
      <c r="EX262" s="211"/>
      <c r="EY262" s="211"/>
      <c r="EZ262" s="211"/>
      <c r="FA262" s="211"/>
      <c r="FB262" s="211"/>
      <c r="FC262" s="211"/>
      <c r="FD262" s="211"/>
      <c r="FE262" s="212"/>
      <c r="FF262" s="210">
        <v>1</v>
      </c>
      <c r="FG262" s="211"/>
      <c r="FH262" s="211"/>
      <c r="FI262" s="211"/>
      <c r="FJ262" s="212"/>
      <c r="OD262" s="224"/>
      <c r="OE262" s="225"/>
      <c r="OF262" s="225"/>
      <c r="OG262" s="225"/>
      <c r="OH262" s="225"/>
      <c r="OI262" s="225"/>
      <c r="OJ262" s="225"/>
      <c r="OK262" s="225"/>
      <c r="OL262" s="225"/>
      <c r="OM262" s="225"/>
      <c r="ON262" s="225"/>
      <c r="OO262" s="225"/>
      <c r="OP262" s="225"/>
      <c r="OQ262" s="225"/>
      <c r="OR262" s="225"/>
      <c r="OS262" s="225"/>
      <c r="OT262" s="225"/>
      <c r="OU262" s="225"/>
      <c r="OV262" s="225"/>
      <c r="OW262" s="225"/>
      <c r="OX262" s="225"/>
      <c r="OY262" s="225"/>
      <c r="OZ262" s="225"/>
      <c r="PA262" s="225"/>
      <c r="PB262" s="225"/>
      <c r="PC262" s="225"/>
      <c r="PD262" s="225"/>
      <c r="PE262" s="225"/>
      <c r="PF262" s="225"/>
      <c r="PG262" s="225"/>
      <c r="PH262" s="225"/>
      <c r="PI262" s="225"/>
      <c r="PJ262" s="225"/>
      <c r="PK262" s="225"/>
      <c r="PL262" s="225"/>
      <c r="PM262" s="225"/>
      <c r="PN262" s="225"/>
      <c r="PO262" s="225"/>
      <c r="PP262" s="225"/>
      <c r="PQ262" s="225"/>
      <c r="PR262" s="225"/>
      <c r="PS262" s="225"/>
      <c r="PT262" s="225"/>
      <c r="PU262" s="225"/>
      <c r="PV262" s="225"/>
      <c r="PW262" s="225"/>
      <c r="PX262" s="225"/>
      <c r="PY262" s="225"/>
      <c r="PZ262" s="225"/>
      <c r="QA262" s="226"/>
      <c r="QB262" s="233"/>
      <c r="QC262" s="234"/>
      <c r="QD262" s="234"/>
      <c r="QE262" s="234"/>
      <c r="QF262" s="234"/>
      <c r="QG262" s="234"/>
      <c r="QH262" s="234"/>
      <c r="QI262" s="234"/>
      <c r="QJ262" s="234"/>
      <c r="QK262" s="234"/>
      <c r="QL262" s="234"/>
      <c r="QM262" s="235"/>
      <c r="QQ262" s="18"/>
      <c r="QR262" s="19"/>
    </row>
    <row r="263" spans="3:460" ht="5.0999999999999996" customHeight="1" x14ac:dyDescent="0.3">
      <c r="C263" s="15"/>
      <c r="D263" s="16"/>
      <c r="F263" s="204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6"/>
      <c r="AH263" s="204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  <c r="AV263" s="205"/>
      <c r="AW263" s="205"/>
      <c r="AX263" s="205"/>
      <c r="AY263" s="205"/>
      <c r="AZ263" s="205"/>
      <c r="BA263" s="205"/>
      <c r="BB263" s="205"/>
      <c r="BC263" s="205"/>
      <c r="BD263" s="205"/>
      <c r="BE263" s="205"/>
      <c r="BF263" s="205"/>
      <c r="BG263" s="205"/>
      <c r="BH263" s="205"/>
      <c r="BI263" s="206"/>
      <c r="BJ263" s="204"/>
      <c r="BK263" s="205"/>
      <c r="BL263" s="205"/>
      <c r="BM263" s="205"/>
      <c r="BN263" s="205"/>
      <c r="BO263" s="205"/>
      <c r="BP263" s="205"/>
      <c r="BQ263" s="205"/>
      <c r="BR263" s="205"/>
      <c r="BS263" s="205"/>
      <c r="BT263" s="205"/>
      <c r="BU263" s="205"/>
      <c r="BV263" s="205"/>
      <c r="BW263" s="205"/>
      <c r="BX263" s="205"/>
      <c r="BY263" s="205"/>
      <c r="BZ263" s="205"/>
      <c r="CA263" s="205"/>
      <c r="CB263" s="205"/>
      <c r="CC263" s="205"/>
      <c r="CD263" s="205"/>
      <c r="CE263" s="205"/>
      <c r="CF263" s="205"/>
      <c r="CG263" s="205"/>
      <c r="CH263" s="205"/>
      <c r="CI263" s="205"/>
      <c r="CJ263" s="205"/>
      <c r="CK263" s="206"/>
      <c r="DO263" s="213"/>
      <c r="DP263" s="205"/>
      <c r="DQ263" s="205"/>
      <c r="DR263" s="205"/>
      <c r="DS263" s="205"/>
      <c r="DT263" s="205"/>
      <c r="DU263" s="205"/>
      <c r="DV263" s="205"/>
      <c r="DW263" s="205"/>
      <c r="DX263" s="205"/>
      <c r="DY263" s="205"/>
      <c r="DZ263" s="205"/>
      <c r="EA263" s="205"/>
      <c r="EB263" s="205"/>
      <c r="EC263" s="205"/>
      <c r="ED263" s="205"/>
      <c r="EE263" s="205"/>
      <c r="EF263" s="205"/>
      <c r="EG263" s="205"/>
      <c r="EH263" s="205"/>
      <c r="EI263" s="205"/>
      <c r="EJ263" s="205"/>
      <c r="EK263" s="205"/>
      <c r="EL263" s="205"/>
      <c r="EM263" s="205"/>
      <c r="EN263" s="205"/>
      <c r="EO263" s="205"/>
      <c r="EP263" s="205"/>
      <c r="EQ263" s="205"/>
      <c r="ER263" s="205"/>
      <c r="ES263" s="205"/>
      <c r="ET263" s="205"/>
      <c r="EU263" s="205"/>
      <c r="EV263" s="205"/>
      <c r="EW263" s="205"/>
      <c r="EX263" s="205"/>
      <c r="EY263" s="205"/>
      <c r="EZ263" s="205"/>
      <c r="FA263" s="205"/>
      <c r="FB263" s="205"/>
      <c r="FC263" s="205"/>
      <c r="FD263" s="205"/>
      <c r="FE263" s="214"/>
      <c r="FF263" s="213"/>
      <c r="FG263" s="205"/>
      <c r="FH263" s="205"/>
      <c r="FI263" s="205"/>
      <c r="FJ263" s="214"/>
      <c r="QQ263" s="18"/>
      <c r="QR263" s="19"/>
    </row>
    <row r="264" spans="3:460" ht="5.0999999999999996" customHeight="1" thickBot="1" x14ac:dyDescent="0.35">
      <c r="C264" s="15"/>
      <c r="D264" s="16"/>
      <c r="F264" s="207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  <c r="AE264" s="208"/>
      <c r="AF264" s="208"/>
      <c r="AG264" s="209"/>
      <c r="AH264" s="207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  <c r="AX264" s="208"/>
      <c r="AY264" s="208"/>
      <c r="AZ264" s="208"/>
      <c r="BA264" s="208"/>
      <c r="BB264" s="208"/>
      <c r="BC264" s="208"/>
      <c r="BD264" s="208"/>
      <c r="BE264" s="208"/>
      <c r="BF264" s="208"/>
      <c r="BG264" s="208"/>
      <c r="BH264" s="208"/>
      <c r="BI264" s="209"/>
      <c r="BJ264" s="207"/>
      <c r="BK264" s="208"/>
      <c r="BL264" s="208"/>
      <c r="BM264" s="208"/>
      <c r="BN264" s="208"/>
      <c r="BO264" s="208"/>
      <c r="BP264" s="208"/>
      <c r="BQ264" s="208"/>
      <c r="BR264" s="208"/>
      <c r="BS264" s="208"/>
      <c r="BT264" s="208"/>
      <c r="BU264" s="208"/>
      <c r="BV264" s="208"/>
      <c r="BW264" s="208"/>
      <c r="BX264" s="208"/>
      <c r="BY264" s="208"/>
      <c r="BZ264" s="208"/>
      <c r="CA264" s="208"/>
      <c r="CB264" s="208"/>
      <c r="CC264" s="208"/>
      <c r="CD264" s="208"/>
      <c r="CE264" s="208"/>
      <c r="CF264" s="208"/>
      <c r="CG264" s="208"/>
      <c r="CH264" s="208"/>
      <c r="CI264" s="208"/>
      <c r="CJ264" s="208"/>
      <c r="CK264" s="209"/>
      <c r="DO264" s="213"/>
      <c r="DP264" s="205"/>
      <c r="DQ264" s="205"/>
      <c r="DR264" s="205"/>
      <c r="DS264" s="205"/>
      <c r="DT264" s="205"/>
      <c r="DU264" s="205"/>
      <c r="DV264" s="205"/>
      <c r="DW264" s="205"/>
      <c r="DX264" s="205"/>
      <c r="DY264" s="205"/>
      <c r="DZ264" s="205"/>
      <c r="EA264" s="205"/>
      <c r="EB264" s="205"/>
      <c r="EC264" s="205"/>
      <c r="ED264" s="205"/>
      <c r="EE264" s="205"/>
      <c r="EF264" s="205"/>
      <c r="EG264" s="205"/>
      <c r="EH264" s="205"/>
      <c r="EI264" s="205"/>
      <c r="EJ264" s="205"/>
      <c r="EK264" s="205"/>
      <c r="EL264" s="205"/>
      <c r="EM264" s="205"/>
      <c r="EN264" s="205"/>
      <c r="EO264" s="205"/>
      <c r="EP264" s="205"/>
      <c r="EQ264" s="205"/>
      <c r="ER264" s="205"/>
      <c r="ES264" s="205"/>
      <c r="ET264" s="205"/>
      <c r="EU264" s="205"/>
      <c r="EV264" s="205"/>
      <c r="EW264" s="205"/>
      <c r="EX264" s="205"/>
      <c r="EY264" s="205"/>
      <c r="EZ264" s="205"/>
      <c r="FA264" s="205"/>
      <c r="FB264" s="205"/>
      <c r="FC264" s="205"/>
      <c r="FD264" s="205"/>
      <c r="FE264" s="214"/>
      <c r="FF264" s="213"/>
      <c r="FG264" s="205"/>
      <c r="FH264" s="205"/>
      <c r="FI264" s="205"/>
      <c r="FJ264" s="214"/>
      <c r="QQ264" s="18"/>
      <c r="QR264" s="19"/>
    </row>
    <row r="265" spans="3:460" ht="5.0999999999999996" customHeight="1" thickBot="1" x14ac:dyDescent="0.35">
      <c r="C265" s="15"/>
      <c r="D265" s="16"/>
      <c r="F265" s="201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  <c r="AB265" s="202"/>
      <c r="AC265" s="202"/>
      <c r="AD265" s="202"/>
      <c r="AE265" s="202"/>
      <c r="AF265" s="202"/>
      <c r="AG265" s="203"/>
      <c r="AH265" s="201"/>
      <c r="AI265" s="202"/>
      <c r="AJ265" s="202"/>
      <c r="AK265" s="202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2"/>
      <c r="AV265" s="202"/>
      <c r="AW265" s="202"/>
      <c r="AX265" s="202"/>
      <c r="AY265" s="202"/>
      <c r="AZ265" s="202"/>
      <c r="BA265" s="202"/>
      <c r="BB265" s="202"/>
      <c r="BC265" s="202"/>
      <c r="BD265" s="202"/>
      <c r="BE265" s="202"/>
      <c r="BF265" s="202"/>
      <c r="BG265" s="202"/>
      <c r="BH265" s="202"/>
      <c r="BI265" s="203"/>
      <c r="BJ265" s="201"/>
      <c r="BK265" s="202"/>
      <c r="BL265" s="202"/>
      <c r="BM265" s="202"/>
      <c r="BN265" s="202"/>
      <c r="BO265" s="202"/>
      <c r="BP265" s="202"/>
      <c r="BQ265" s="202"/>
      <c r="BR265" s="202"/>
      <c r="BS265" s="202"/>
      <c r="BT265" s="202"/>
      <c r="BU265" s="202"/>
      <c r="BV265" s="202"/>
      <c r="BW265" s="202"/>
      <c r="BX265" s="202"/>
      <c r="BY265" s="202"/>
      <c r="BZ265" s="202"/>
      <c r="CA265" s="202"/>
      <c r="CB265" s="202"/>
      <c r="CC265" s="202"/>
      <c r="CD265" s="202"/>
      <c r="CE265" s="202"/>
      <c r="CF265" s="202"/>
      <c r="CG265" s="202"/>
      <c r="CH265" s="202"/>
      <c r="CI265" s="202"/>
      <c r="CJ265" s="202"/>
      <c r="CK265" s="203"/>
      <c r="DO265" s="215"/>
      <c r="DP265" s="216"/>
      <c r="DQ265" s="216"/>
      <c r="DR265" s="216"/>
      <c r="DS265" s="216"/>
      <c r="DT265" s="216"/>
      <c r="DU265" s="216"/>
      <c r="DV265" s="216"/>
      <c r="DW265" s="216"/>
      <c r="DX265" s="216"/>
      <c r="DY265" s="216"/>
      <c r="DZ265" s="216"/>
      <c r="EA265" s="216"/>
      <c r="EB265" s="216"/>
      <c r="EC265" s="216"/>
      <c r="ED265" s="216"/>
      <c r="EE265" s="216"/>
      <c r="EF265" s="216"/>
      <c r="EG265" s="216"/>
      <c r="EH265" s="216"/>
      <c r="EI265" s="216"/>
      <c r="EJ265" s="216"/>
      <c r="EK265" s="216"/>
      <c r="EL265" s="216"/>
      <c r="EM265" s="216"/>
      <c r="EN265" s="216"/>
      <c r="EO265" s="216"/>
      <c r="EP265" s="216"/>
      <c r="EQ265" s="216"/>
      <c r="ER265" s="216"/>
      <c r="ES265" s="216"/>
      <c r="ET265" s="216"/>
      <c r="EU265" s="216"/>
      <c r="EV265" s="216"/>
      <c r="EW265" s="216"/>
      <c r="EX265" s="216"/>
      <c r="EY265" s="216"/>
      <c r="EZ265" s="216"/>
      <c r="FA265" s="216"/>
      <c r="FB265" s="216"/>
      <c r="FC265" s="216"/>
      <c r="FD265" s="216"/>
      <c r="FE265" s="217"/>
      <c r="FF265" s="215"/>
      <c r="FG265" s="216"/>
      <c r="FH265" s="216"/>
      <c r="FI265" s="216"/>
      <c r="FJ265" s="217"/>
      <c r="QQ265" s="18"/>
      <c r="QR265" s="19"/>
    </row>
    <row r="266" spans="3:460" ht="5.0999999999999996" customHeight="1" x14ac:dyDescent="0.3">
      <c r="C266" s="15"/>
      <c r="D266" s="16"/>
      <c r="F266" s="204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6"/>
      <c r="AH266" s="204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  <c r="AV266" s="205"/>
      <c r="AW266" s="205"/>
      <c r="AX266" s="205"/>
      <c r="AY266" s="205"/>
      <c r="AZ266" s="205"/>
      <c r="BA266" s="205"/>
      <c r="BB266" s="205"/>
      <c r="BC266" s="205"/>
      <c r="BD266" s="205"/>
      <c r="BE266" s="205"/>
      <c r="BF266" s="205"/>
      <c r="BG266" s="205"/>
      <c r="BH266" s="205"/>
      <c r="BI266" s="206"/>
      <c r="BJ266" s="204"/>
      <c r="BK266" s="205"/>
      <c r="BL266" s="205"/>
      <c r="BM266" s="205"/>
      <c r="BN266" s="205"/>
      <c r="BO266" s="205"/>
      <c r="BP266" s="205"/>
      <c r="BQ266" s="205"/>
      <c r="BR266" s="205"/>
      <c r="BS266" s="205"/>
      <c r="BT266" s="205"/>
      <c r="BU266" s="205"/>
      <c r="BV266" s="205"/>
      <c r="BW266" s="205"/>
      <c r="BX266" s="205"/>
      <c r="BY266" s="205"/>
      <c r="BZ266" s="205"/>
      <c r="CA266" s="205"/>
      <c r="CB266" s="205"/>
      <c r="CC266" s="205"/>
      <c r="CD266" s="205"/>
      <c r="CE266" s="205"/>
      <c r="CF266" s="205"/>
      <c r="CG266" s="205"/>
      <c r="CH266" s="205"/>
      <c r="CI266" s="205"/>
      <c r="CJ266" s="205"/>
      <c r="CK266" s="206"/>
      <c r="DO266" s="210" t="s">
        <v>76</v>
      </c>
      <c r="DP266" s="211"/>
      <c r="DQ266" s="211"/>
      <c r="DR266" s="211"/>
      <c r="DS266" s="211"/>
      <c r="DT266" s="211"/>
      <c r="DU266" s="211"/>
      <c r="DV266" s="211"/>
      <c r="DW266" s="211"/>
      <c r="DX266" s="211"/>
      <c r="DY266" s="211"/>
      <c r="DZ266" s="211"/>
      <c r="EA266" s="211"/>
      <c r="EB266" s="211"/>
      <c r="EC266" s="211"/>
      <c r="ED266" s="211"/>
      <c r="EE266" s="211"/>
      <c r="EF266" s="211"/>
      <c r="EG266" s="211"/>
      <c r="EH266" s="211"/>
      <c r="EI266" s="211"/>
      <c r="EJ266" s="211"/>
      <c r="EK266" s="211"/>
      <c r="EL266" s="211"/>
      <c r="EM266" s="211"/>
      <c r="EN266" s="211"/>
      <c r="EO266" s="211"/>
      <c r="EP266" s="211"/>
      <c r="EQ266" s="211"/>
      <c r="ER266" s="211"/>
      <c r="ES266" s="211"/>
      <c r="ET266" s="211"/>
      <c r="EU266" s="211"/>
      <c r="EV266" s="211"/>
      <c r="EW266" s="211"/>
      <c r="EX266" s="211"/>
      <c r="EY266" s="211"/>
      <c r="EZ266" s="211"/>
      <c r="FA266" s="211"/>
      <c r="FB266" s="211"/>
      <c r="FC266" s="211"/>
      <c r="FD266" s="211"/>
      <c r="FE266" s="212"/>
      <c r="FF266" s="210">
        <v>1</v>
      </c>
      <c r="FG266" s="211"/>
      <c r="FH266" s="211"/>
      <c r="FI266" s="211"/>
      <c r="FJ266" s="212"/>
      <c r="NK266" s="201" t="s">
        <v>77</v>
      </c>
      <c r="NL266" s="202"/>
      <c r="NM266" s="202"/>
      <c r="NN266" s="202"/>
      <c r="NO266" s="202"/>
      <c r="NP266" s="202"/>
      <c r="NQ266" s="202"/>
      <c r="NR266" s="202"/>
      <c r="NS266" s="202"/>
      <c r="NT266" s="202"/>
      <c r="NU266" s="202"/>
      <c r="NV266" s="202"/>
      <c r="NW266" s="202"/>
      <c r="NX266" s="202"/>
      <c r="NY266" s="202"/>
      <c r="NZ266" s="202"/>
      <c r="OA266" s="202"/>
      <c r="OB266" s="202"/>
      <c r="OC266" s="202"/>
      <c r="OD266" s="202"/>
      <c r="OE266" s="202"/>
      <c r="OF266" s="202"/>
      <c r="OG266" s="202"/>
      <c r="OH266" s="202"/>
      <c r="OI266" s="202"/>
      <c r="OJ266" s="202"/>
      <c r="OK266" s="202"/>
      <c r="OL266" s="203"/>
      <c r="OM266" s="201" t="s">
        <v>78</v>
      </c>
      <c r="ON266" s="202"/>
      <c r="OO266" s="202"/>
      <c r="OP266" s="202"/>
      <c r="OQ266" s="202"/>
      <c r="OR266" s="202"/>
      <c r="OS266" s="202"/>
      <c r="OT266" s="202"/>
      <c r="OU266" s="202"/>
      <c r="OV266" s="202"/>
      <c r="OW266" s="202"/>
      <c r="OX266" s="202"/>
      <c r="OY266" s="202"/>
      <c r="OZ266" s="202"/>
      <c r="PA266" s="202"/>
      <c r="PB266" s="202"/>
      <c r="PC266" s="202"/>
      <c r="PD266" s="202"/>
      <c r="PE266" s="202"/>
      <c r="PF266" s="202"/>
      <c r="PG266" s="202"/>
      <c r="PH266" s="202"/>
      <c r="PI266" s="202"/>
      <c r="PJ266" s="202"/>
      <c r="PK266" s="202"/>
      <c r="PL266" s="202"/>
      <c r="PM266" s="202"/>
      <c r="PN266" s="203"/>
      <c r="PO266" s="201" t="s">
        <v>79</v>
      </c>
      <c r="PP266" s="202"/>
      <c r="PQ266" s="202"/>
      <c r="PR266" s="202"/>
      <c r="PS266" s="202"/>
      <c r="PT266" s="202"/>
      <c r="PU266" s="202"/>
      <c r="PV266" s="202"/>
      <c r="PW266" s="202"/>
      <c r="PX266" s="202"/>
      <c r="PY266" s="202"/>
      <c r="PZ266" s="202"/>
      <c r="QA266" s="202"/>
      <c r="QB266" s="202"/>
      <c r="QC266" s="202"/>
      <c r="QD266" s="202"/>
      <c r="QE266" s="202"/>
      <c r="QF266" s="202"/>
      <c r="QG266" s="202"/>
      <c r="QH266" s="202"/>
      <c r="QI266" s="202"/>
      <c r="QJ266" s="202"/>
      <c r="QK266" s="202"/>
      <c r="QL266" s="202"/>
      <c r="QM266" s="202"/>
      <c r="QN266" s="202"/>
      <c r="QO266" s="202"/>
      <c r="QP266" s="203"/>
      <c r="QQ266" s="18"/>
      <c r="QR266" s="19"/>
    </row>
    <row r="267" spans="3:460" ht="5.0999999999999996" customHeight="1" x14ac:dyDescent="0.3">
      <c r="C267" s="15"/>
      <c r="D267" s="16"/>
      <c r="F267" s="204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6"/>
      <c r="AH267" s="204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  <c r="AV267" s="205"/>
      <c r="AW267" s="205"/>
      <c r="AX267" s="205"/>
      <c r="AY267" s="205"/>
      <c r="AZ267" s="205"/>
      <c r="BA267" s="205"/>
      <c r="BB267" s="205"/>
      <c r="BC267" s="205"/>
      <c r="BD267" s="205"/>
      <c r="BE267" s="205"/>
      <c r="BF267" s="205"/>
      <c r="BG267" s="205"/>
      <c r="BH267" s="205"/>
      <c r="BI267" s="206"/>
      <c r="BJ267" s="204"/>
      <c r="BK267" s="205"/>
      <c r="BL267" s="205"/>
      <c r="BM267" s="205"/>
      <c r="BN267" s="205"/>
      <c r="BO267" s="205"/>
      <c r="BP267" s="205"/>
      <c r="BQ267" s="205"/>
      <c r="BR267" s="205"/>
      <c r="BS267" s="205"/>
      <c r="BT267" s="205"/>
      <c r="BU267" s="205"/>
      <c r="BV267" s="205"/>
      <c r="BW267" s="205"/>
      <c r="BX267" s="205"/>
      <c r="BY267" s="205"/>
      <c r="BZ267" s="205"/>
      <c r="CA267" s="205"/>
      <c r="CB267" s="205"/>
      <c r="CC267" s="205"/>
      <c r="CD267" s="205"/>
      <c r="CE267" s="205"/>
      <c r="CF267" s="205"/>
      <c r="CG267" s="205"/>
      <c r="CH267" s="205"/>
      <c r="CI267" s="205"/>
      <c r="CJ267" s="205"/>
      <c r="CK267" s="206"/>
      <c r="DO267" s="213"/>
      <c r="DP267" s="205"/>
      <c r="DQ267" s="205"/>
      <c r="DR267" s="205"/>
      <c r="DS267" s="205"/>
      <c r="DT267" s="205"/>
      <c r="DU267" s="205"/>
      <c r="DV267" s="205"/>
      <c r="DW267" s="205"/>
      <c r="DX267" s="205"/>
      <c r="DY267" s="205"/>
      <c r="DZ267" s="205"/>
      <c r="EA267" s="205"/>
      <c r="EB267" s="205"/>
      <c r="EC267" s="205"/>
      <c r="ED267" s="205"/>
      <c r="EE267" s="205"/>
      <c r="EF267" s="205"/>
      <c r="EG267" s="205"/>
      <c r="EH267" s="205"/>
      <c r="EI267" s="205"/>
      <c r="EJ267" s="205"/>
      <c r="EK267" s="205"/>
      <c r="EL267" s="205"/>
      <c r="EM267" s="205"/>
      <c r="EN267" s="205"/>
      <c r="EO267" s="205"/>
      <c r="EP267" s="205"/>
      <c r="EQ267" s="205"/>
      <c r="ER267" s="205"/>
      <c r="ES267" s="205"/>
      <c r="ET267" s="205"/>
      <c r="EU267" s="205"/>
      <c r="EV267" s="205"/>
      <c r="EW267" s="205"/>
      <c r="EX267" s="205"/>
      <c r="EY267" s="205"/>
      <c r="EZ267" s="205"/>
      <c r="FA267" s="205"/>
      <c r="FB267" s="205"/>
      <c r="FC267" s="205"/>
      <c r="FD267" s="205"/>
      <c r="FE267" s="214"/>
      <c r="FF267" s="213"/>
      <c r="FG267" s="205"/>
      <c r="FH267" s="205"/>
      <c r="FI267" s="205"/>
      <c r="FJ267" s="214"/>
      <c r="NK267" s="204"/>
      <c r="NL267" s="205"/>
      <c r="NM267" s="205"/>
      <c r="NN267" s="205"/>
      <c r="NO267" s="205"/>
      <c r="NP267" s="205"/>
      <c r="NQ267" s="205"/>
      <c r="NR267" s="205"/>
      <c r="NS267" s="205"/>
      <c r="NT267" s="205"/>
      <c r="NU267" s="205"/>
      <c r="NV267" s="205"/>
      <c r="NW267" s="205"/>
      <c r="NX267" s="205"/>
      <c r="NY267" s="205"/>
      <c r="NZ267" s="205"/>
      <c r="OA267" s="205"/>
      <c r="OB267" s="205"/>
      <c r="OC267" s="205"/>
      <c r="OD267" s="205"/>
      <c r="OE267" s="205"/>
      <c r="OF267" s="205"/>
      <c r="OG267" s="205"/>
      <c r="OH267" s="205"/>
      <c r="OI267" s="205"/>
      <c r="OJ267" s="205"/>
      <c r="OK267" s="205"/>
      <c r="OL267" s="206"/>
      <c r="OM267" s="204"/>
      <c r="ON267" s="205"/>
      <c r="OO267" s="205"/>
      <c r="OP267" s="205"/>
      <c r="OQ267" s="205"/>
      <c r="OR267" s="205"/>
      <c r="OS267" s="205"/>
      <c r="OT267" s="205"/>
      <c r="OU267" s="205"/>
      <c r="OV267" s="205"/>
      <c r="OW267" s="205"/>
      <c r="OX267" s="205"/>
      <c r="OY267" s="205"/>
      <c r="OZ267" s="205"/>
      <c r="PA267" s="205"/>
      <c r="PB267" s="205"/>
      <c r="PC267" s="205"/>
      <c r="PD267" s="205"/>
      <c r="PE267" s="205"/>
      <c r="PF267" s="205"/>
      <c r="PG267" s="205"/>
      <c r="PH267" s="205"/>
      <c r="PI267" s="205"/>
      <c r="PJ267" s="205"/>
      <c r="PK267" s="205"/>
      <c r="PL267" s="205"/>
      <c r="PM267" s="205"/>
      <c r="PN267" s="206"/>
      <c r="PO267" s="204"/>
      <c r="PP267" s="205"/>
      <c r="PQ267" s="205"/>
      <c r="PR267" s="205"/>
      <c r="PS267" s="205"/>
      <c r="PT267" s="205"/>
      <c r="PU267" s="205"/>
      <c r="PV267" s="205"/>
      <c r="PW267" s="205"/>
      <c r="PX267" s="205"/>
      <c r="PY267" s="205"/>
      <c r="PZ267" s="205"/>
      <c r="QA267" s="205"/>
      <c r="QB267" s="205"/>
      <c r="QC267" s="205"/>
      <c r="QD267" s="205"/>
      <c r="QE267" s="205"/>
      <c r="QF267" s="205"/>
      <c r="QG267" s="205"/>
      <c r="QH267" s="205"/>
      <c r="QI267" s="205"/>
      <c r="QJ267" s="205"/>
      <c r="QK267" s="205"/>
      <c r="QL267" s="205"/>
      <c r="QM267" s="205"/>
      <c r="QN267" s="205"/>
      <c r="QO267" s="205"/>
      <c r="QP267" s="206"/>
      <c r="QQ267" s="18"/>
      <c r="QR267" s="19"/>
    </row>
    <row r="268" spans="3:460" ht="5.0999999999999996" customHeight="1" x14ac:dyDescent="0.3">
      <c r="C268" s="15"/>
      <c r="D268" s="16"/>
      <c r="F268" s="204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6"/>
      <c r="AH268" s="204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  <c r="AV268" s="205"/>
      <c r="AW268" s="205"/>
      <c r="AX268" s="205"/>
      <c r="AY268" s="205"/>
      <c r="AZ268" s="205"/>
      <c r="BA268" s="205"/>
      <c r="BB268" s="205"/>
      <c r="BC268" s="205"/>
      <c r="BD268" s="205"/>
      <c r="BE268" s="205"/>
      <c r="BF268" s="205"/>
      <c r="BG268" s="205"/>
      <c r="BH268" s="205"/>
      <c r="BI268" s="206"/>
      <c r="BJ268" s="204"/>
      <c r="BK268" s="205"/>
      <c r="BL268" s="205"/>
      <c r="BM268" s="205"/>
      <c r="BN268" s="205"/>
      <c r="BO268" s="205"/>
      <c r="BP268" s="205"/>
      <c r="BQ268" s="205"/>
      <c r="BR268" s="205"/>
      <c r="BS268" s="205"/>
      <c r="BT268" s="205"/>
      <c r="BU268" s="205"/>
      <c r="BV268" s="205"/>
      <c r="BW268" s="205"/>
      <c r="BX268" s="205"/>
      <c r="BY268" s="205"/>
      <c r="BZ268" s="205"/>
      <c r="CA268" s="205"/>
      <c r="CB268" s="205"/>
      <c r="CC268" s="205"/>
      <c r="CD268" s="205"/>
      <c r="CE268" s="205"/>
      <c r="CF268" s="205"/>
      <c r="CG268" s="205"/>
      <c r="CH268" s="205"/>
      <c r="CI268" s="205"/>
      <c r="CJ268" s="205"/>
      <c r="CK268" s="206"/>
      <c r="DO268" s="213"/>
      <c r="DP268" s="205"/>
      <c r="DQ268" s="205"/>
      <c r="DR268" s="205"/>
      <c r="DS268" s="205"/>
      <c r="DT268" s="205"/>
      <c r="DU268" s="205"/>
      <c r="DV268" s="205"/>
      <c r="DW268" s="205"/>
      <c r="DX268" s="205"/>
      <c r="DY268" s="205"/>
      <c r="DZ268" s="205"/>
      <c r="EA268" s="205"/>
      <c r="EB268" s="205"/>
      <c r="EC268" s="205"/>
      <c r="ED268" s="205"/>
      <c r="EE268" s="205"/>
      <c r="EF268" s="205"/>
      <c r="EG268" s="205"/>
      <c r="EH268" s="205"/>
      <c r="EI268" s="205"/>
      <c r="EJ268" s="205"/>
      <c r="EK268" s="205"/>
      <c r="EL268" s="205"/>
      <c r="EM268" s="205"/>
      <c r="EN268" s="205"/>
      <c r="EO268" s="205"/>
      <c r="EP268" s="205"/>
      <c r="EQ268" s="205"/>
      <c r="ER268" s="205"/>
      <c r="ES268" s="205"/>
      <c r="ET268" s="205"/>
      <c r="EU268" s="205"/>
      <c r="EV268" s="205"/>
      <c r="EW268" s="205"/>
      <c r="EX268" s="205"/>
      <c r="EY268" s="205"/>
      <c r="EZ268" s="205"/>
      <c r="FA268" s="205"/>
      <c r="FB268" s="205"/>
      <c r="FC268" s="205"/>
      <c r="FD268" s="205"/>
      <c r="FE268" s="214"/>
      <c r="FF268" s="213"/>
      <c r="FG268" s="205"/>
      <c r="FH268" s="205"/>
      <c r="FI268" s="205"/>
      <c r="FJ268" s="214"/>
      <c r="NK268" s="204"/>
      <c r="NL268" s="205"/>
      <c r="NM268" s="205"/>
      <c r="NN268" s="205"/>
      <c r="NO268" s="205"/>
      <c r="NP268" s="205"/>
      <c r="NQ268" s="205"/>
      <c r="NR268" s="205"/>
      <c r="NS268" s="205"/>
      <c r="NT268" s="205"/>
      <c r="NU268" s="205"/>
      <c r="NV268" s="205"/>
      <c r="NW268" s="205"/>
      <c r="NX268" s="205"/>
      <c r="NY268" s="205"/>
      <c r="NZ268" s="205"/>
      <c r="OA268" s="205"/>
      <c r="OB268" s="205"/>
      <c r="OC268" s="205"/>
      <c r="OD268" s="205"/>
      <c r="OE268" s="205"/>
      <c r="OF268" s="205"/>
      <c r="OG268" s="205"/>
      <c r="OH268" s="205"/>
      <c r="OI268" s="205"/>
      <c r="OJ268" s="205"/>
      <c r="OK268" s="205"/>
      <c r="OL268" s="206"/>
      <c r="OM268" s="204"/>
      <c r="ON268" s="205"/>
      <c r="OO268" s="205"/>
      <c r="OP268" s="205"/>
      <c r="OQ268" s="205"/>
      <c r="OR268" s="205"/>
      <c r="OS268" s="205"/>
      <c r="OT268" s="205"/>
      <c r="OU268" s="205"/>
      <c r="OV268" s="205"/>
      <c r="OW268" s="205"/>
      <c r="OX268" s="205"/>
      <c r="OY268" s="205"/>
      <c r="OZ268" s="205"/>
      <c r="PA268" s="205"/>
      <c r="PB268" s="205"/>
      <c r="PC268" s="205"/>
      <c r="PD268" s="205"/>
      <c r="PE268" s="205"/>
      <c r="PF268" s="205"/>
      <c r="PG268" s="205"/>
      <c r="PH268" s="205"/>
      <c r="PI268" s="205"/>
      <c r="PJ268" s="205"/>
      <c r="PK268" s="205"/>
      <c r="PL268" s="205"/>
      <c r="PM268" s="205"/>
      <c r="PN268" s="206"/>
      <c r="PO268" s="204"/>
      <c r="PP268" s="205"/>
      <c r="PQ268" s="205"/>
      <c r="PR268" s="205"/>
      <c r="PS268" s="205"/>
      <c r="PT268" s="205"/>
      <c r="PU268" s="205"/>
      <c r="PV268" s="205"/>
      <c r="PW268" s="205"/>
      <c r="PX268" s="205"/>
      <c r="PY268" s="205"/>
      <c r="PZ268" s="205"/>
      <c r="QA268" s="205"/>
      <c r="QB268" s="205"/>
      <c r="QC268" s="205"/>
      <c r="QD268" s="205"/>
      <c r="QE268" s="205"/>
      <c r="QF268" s="205"/>
      <c r="QG268" s="205"/>
      <c r="QH268" s="205"/>
      <c r="QI268" s="205"/>
      <c r="QJ268" s="205"/>
      <c r="QK268" s="205"/>
      <c r="QL268" s="205"/>
      <c r="QM268" s="205"/>
      <c r="QN268" s="205"/>
      <c r="QO268" s="205"/>
      <c r="QP268" s="206"/>
      <c r="QQ268" s="18"/>
      <c r="QR268" s="19"/>
    </row>
    <row r="269" spans="3:460" ht="5.0999999999999996" customHeight="1" thickBot="1" x14ac:dyDescent="0.35">
      <c r="C269" s="15"/>
      <c r="D269" s="16"/>
      <c r="F269" s="207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  <c r="AE269" s="208"/>
      <c r="AF269" s="208"/>
      <c r="AG269" s="209"/>
      <c r="AH269" s="207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  <c r="AW269" s="208"/>
      <c r="AX269" s="208"/>
      <c r="AY269" s="208"/>
      <c r="AZ269" s="208"/>
      <c r="BA269" s="208"/>
      <c r="BB269" s="208"/>
      <c r="BC269" s="208"/>
      <c r="BD269" s="208"/>
      <c r="BE269" s="208"/>
      <c r="BF269" s="208"/>
      <c r="BG269" s="208"/>
      <c r="BH269" s="208"/>
      <c r="BI269" s="209"/>
      <c r="BJ269" s="207"/>
      <c r="BK269" s="208"/>
      <c r="BL269" s="208"/>
      <c r="BM269" s="208"/>
      <c r="BN269" s="208"/>
      <c r="BO269" s="208"/>
      <c r="BP269" s="208"/>
      <c r="BQ269" s="208"/>
      <c r="BR269" s="208"/>
      <c r="BS269" s="208"/>
      <c r="BT269" s="208"/>
      <c r="BU269" s="208"/>
      <c r="BV269" s="208"/>
      <c r="BW269" s="208"/>
      <c r="BX269" s="208"/>
      <c r="BY269" s="208"/>
      <c r="BZ269" s="208"/>
      <c r="CA269" s="208"/>
      <c r="CB269" s="208"/>
      <c r="CC269" s="208"/>
      <c r="CD269" s="208"/>
      <c r="CE269" s="208"/>
      <c r="CF269" s="208"/>
      <c r="CG269" s="208"/>
      <c r="CH269" s="208"/>
      <c r="CI269" s="208"/>
      <c r="CJ269" s="208"/>
      <c r="CK269" s="209"/>
      <c r="DO269" s="215"/>
      <c r="DP269" s="216"/>
      <c r="DQ269" s="216"/>
      <c r="DR269" s="216"/>
      <c r="DS269" s="216"/>
      <c r="DT269" s="216"/>
      <c r="DU269" s="216"/>
      <c r="DV269" s="216"/>
      <c r="DW269" s="216"/>
      <c r="DX269" s="216"/>
      <c r="DY269" s="216"/>
      <c r="DZ269" s="216"/>
      <c r="EA269" s="216"/>
      <c r="EB269" s="216"/>
      <c r="EC269" s="216"/>
      <c r="ED269" s="216"/>
      <c r="EE269" s="216"/>
      <c r="EF269" s="216"/>
      <c r="EG269" s="216"/>
      <c r="EH269" s="216"/>
      <c r="EI269" s="216"/>
      <c r="EJ269" s="216"/>
      <c r="EK269" s="216"/>
      <c r="EL269" s="216"/>
      <c r="EM269" s="216"/>
      <c r="EN269" s="216"/>
      <c r="EO269" s="216"/>
      <c r="EP269" s="216"/>
      <c r="EQ269" s="216"/>
      <c r="ER269" s="216"/>
      <c r="ES269" s="216"/>
      <c r="ET269" s="216"/>
      <c r="EU269" s="216"/>
      <c r="EV269" s="216"/>
      <c r="EW269" s="216"/>
      <c r="EX269" s="216"/>
      <c r="EY269" s="216"/>
      <c r="EZ269" s="216"/>
      <c r="FA269" s="216"/>
      <c r="FB269" s="216"/>
      <c r="FC269" s="216"/>
      <c r="FD269" s="216"/>
      <c r="FE269" s="217"/>
      <c r="FF269" s="215"/>
      <c r="FG269" s="216"/>
      <c r="FH269" s="216"/>
      <c r="FI269" s="216"/>
      <c r="FJ269" s="217"/>
      <c r="NK269" s="204"/>
      <c r="NL269" s="205"/>
      <c r="NM269" s="205"/>
      <c r="NN269" s="205"/>
      <c r="NO269" s="205"/>
      <c r="NP269" s="205"/>
      <c r="NQ269" s="205"/>
      <c r="NR269" s="205"/>
      <c r="NS269" s="205"/>
      <c r="NT269" s="205"/>
      <c r="NU269" s="205"/>
      <c r="NV269" s="205"/>
      <c r="NW269" s="205"/>
      <c r="NX269" s="205"/>
      <c r="NY269" s="205"/>
      <c r="NZ269" s="205"/>
      <c r="OA269" s="205"/>
      <c r="OB269" s="205"/>
      <c r="OC269" s="205"/>
      <c r="OD269" s="205"/>
      <c r="OE269" s="205"/>
      <c r="OF269" s="205"/>
      <c r="OG269" s="205"/>
      <c r="OH269" s="205"/>
      <c r="OI269" s="205"/>
      <c r="OJ269" s="205"/>
      <c r="OK269" s="205"/>
      <c r="OL269" s="206"/>
      <c r="OM269" s="204"/>
      <c r="ON269" s="205"/>
      <c r="OO269" s="205"/>
      <c r="OP269" s="205"/>
      <c r="OQ269" s="205"/>
      <c r="OR269" s="205"/>
      <c r="OS269" s="205"/>
      <c r="OT269" s="205"/>
      <c r="OU269" s="205"/>
      <c r="OV269" s="205"/>
      <c r="OW269" s="205"/>
      <c r="OX269" s="205"/>
      <c r="OY269" s="205"/>
      <c r="OZ269" s="205"/>
      <c r="PA269" s="205"/>
      <c r="PB269" s="205"/>
      <c r="PC269" s="205"/>
      <c r="PD269" s="205"/>
      <c r="PE269" s="205"/>
      <c r="PF269" s="205"/>
      <c r="PG269" s="205"/>
      <c r="PH269" s="205"/>
      <c r="PI269" s="205"/>
      <c r="PJ269" s="205"/>
      <c r="PK269" s="205"/>
      <c r="PL269" s="205"/>
      <c r="PM269" s="205"/>
      <c r="PN269" s="206"/>
      <c r="PO269" s="204"/>
      <c r="PP269" s="205"/>
      <c r="PQ269" s="205"/>
      <c r="PR269" s="205"/>
      <c r="PS269" s="205"/>
      <c r="PT269" s="205"/>
      <c r="PU269" s="205"/>
      <c r="PV269" s="205"/>
      <c r="PW269" s="205"/>
      <c r="PX269" s="205"/>
      <c r="PY269" s="205"/>
      <c r="PZ269" s="205"/>
      <c r="QA269" s="205"/>
      <c r="QB269" s="205"/>
      <c r="QC269" s="205"/>
      <c r="QD269" s="205"/>
      <c r="QE269" s="205"/>
      <c r="QF269" s="205"/>
      <c r="QG269" s="205"/>
      <c r="QH269" s="205"/>
      <c r="QI269" s="205"/>
      <c r="QJ269" s="205"/>
      <c r="QK269" s="205"/>
      <c r="QL269" s="205"/>
      <c r="QM269" s="205"/>
      <c r="QN269" s="205"/>
      <c r="QO269" s="205"/>
      <c r="QP269" s="206"/>
      <c r="QQ269" s="18"/>
      <c r="QR269" s="19"/>
    </row>
    <row r="270" spans="3:460" ht="5.0999999999999996" customHeight="1" thickBot="1" x14ac:dyDescent="0.35">
      <c r="C270" s="15"/>
      <c r="D270" s="16"/>
      <c r="NK270" s="207"/>
      <c r="NL270" s="208"/>
      <c r="NM270" s="208"/>
      <c r="NN270" s="208"/>
      <c r="NO270" s="208"/>
      <c r="NP270" s="208"/>
      <c r="NQ270" s="208"/>
      <c r="NR270" s="208"/>
      <c r="NS270" s="208"/>
      <c r="NT270" s="208"/>
      <c r="NU270" s="208"/>
      <c r="NV270" s="208"/>
      <c r="NW270" s="208"/>
      <c r="NX270" s="208"/>
      <c r="NY270" s="208"/>
      <c r="NZ270" s="208"/>
      <c r="OA270" s="208"/>
      <c r="OB270" s="208"/>
      <c r="OC270" s="208"/>
      <c r="OD270" s="208"/>
      <c r="OE270" s="208"/>
      <c r="OF270" s="208"/>
      <c r="OG270" s="208"/>
      <c r="OH270" s="208"/>
      <c r="OI270" s="208"/>
      <c r="OJ270" s="208"/>
      <c r="OK270" s="208"/>
      <c r="OL270" s="209"/>
      <c r="OM270" s="207"/>
      <c r="ON270" s="208"/>
      <c r="OO270" s="208"/>
      <c r="OP270" s="208"/>
      <c r="OQ270" s="208"/>
      <c r="OR270" s="208"/>
      <c r="OS270" s="208"/>
      <c r="OT270" s="208"/>
      <c r="OU270" s="208"/>
      <c r="OV270" s="208"/>
      <c r="OW270" s="208"/>
      <c r="OX270" s="208"/>
      <c r="OY270" s="208"/>
      <c r="OZ270" s="208"/>
      <c r="PA270" s="208"/>
      <c r="PB270" s="208"/>
      <c r="PC270" s="208"/>
      <c r="PD270" s="208"/>
      <c r="PE270" s="208"/>
      <c r="PF270" s="208"/>
      <c r="PG270" s="208"/>
      <c r="PH270" s="208"/>
      <c r="PI270" s="208"/>
      <c r="PJ270" s="208"/>
      <c r="PK270" s="208"/>
      <c r="PL270" s="208"/>
      <c r="PM270" s="208"/>
      <c r="PN270" s="209"/>
      <c r="PO270" s="207"/>
      <c r="PP270" s="208"/>
      <c r="PQ270" s="208"/>
      <c r="PR270" s="208"/>
      <c r="PS270" s="208"/>
      <c r="PT270" s="208"/>
      <c r="PU270" s="208"/>
      <c r="PV270" s="208"/>
      <c r="PW270" s="208"/>
      <c r="PX270" s="208"/>
      <c r="PY270" s="208"/>
      <c r="PZ270" s="208"/>
      <c r="QA270" s="208"/>
      <c r="QB270" s="208"/>
      <c r="QC270" s="208"/>
      <c r="QD270" s="208"/>
      <c r="QE270" s="208"/>
      <c r="QF270" s="208"/>
      <c r="QG270" s="208"/>
      <c r="QH270" s="208"/>
      <c r="QI270" s="208"/>
      <c r="QJ270" s="208"/>
      <c r="QK270" s="208"/>
      <c r="QL270" s="208"/>
      <c r="QM270" s="208"/>
      <c r="QN270" s="208"/>
      <c r="QO270" s="208"/>
      <c r="QP270" s="209"/>
      <c r="QQ270" s="18"/>
      <c r="QR270" s="19"/>
    </row>
    <row r="271" spans="3:460" ht="5.0999999999999996" customHeight="1" x14ac:dyDescent="0.3">
      <c r="C271" s="15"/>
      <c r="D271" s="16"/>
      <c r="QQ271" s="18"/>
      <c r="QR271" s="19"/>
    </row>
    <row r="272" spans="3:460" ht="5.0999999999999996" customHeight="1" x14ac:dyDescent="0.3">
      <c r="C272" s="15"/>
      <c r="D272" s="16"/>
      <c r="QQ272" s="18"/>
      <c r="QR272" s="19"/>
    </row>
    <row r="273" spans="3:483" ht="5.0999999999999996" customHeight="1" x14ac:dyDescent="0.3">
      <c r="C273" s="15"/>
      <c r="D273" s="54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  <c r="JG273" s="31"/>
      <c r="JH273" s="31"/>
      <c r="JI273" s="31"/>
      <c r="JJ273" s="31"/>
      <c r="JK273" s="31"/>
      <c r="JL273" s="31"/>
      <c r="JM273" s="31"/>
      <c r="JN273" s="31"/>
      <c r="JO273" s="31"/>
      <c r="JP273" s="31"/>
      <c r="JQ273" s="31"/>
      <c r="JR273" s="31"/>
      <c r="JS273" s="31"/>
      <c r="JT273" s="31"/>
      <c r="JU273" s="31"/>
      <c r="JV273" s="31"/>
      <c r="JW273" s="31"/>
      <c r="JX273" s="31"/>
      <c r="JY273" s="31"/>
      <c r="JZ273" s="31"/>
      <c r="KA273" s="31"/>
      <c r="KB273" s="31"/>
      <c r="KC273" s="31"/>
      <c r="KD273" s="31"/>
      <c r="KE273" s="31"/>
      <c r="KF273" s="31"/>
      <c r="KG273" s="31"/>
      <c r="KH273" s="31"/>
      <c r="KI273" s="31"/>
      <c r="KJ273" s="31"/>
      <c r="KK273" s="31"/>
      <c r="KL273" s="31"/>
      <c r="KM273" s="31"/>
      <c r="KN273" s="31"/>
      <c r="KO273" s="31"/>
      <c r="KP273" s="31"/>
      <c r="KQ273" s="31"/>
      <c r="KR273" s="31"/>
      <c r="KS273" s="31"/>
      <c r="KT273" s="31"/>
      <c r="KU273" s="31"/>
      <c r="KV273" s="31"/>
      <c r="KW273" s="31"/>
      <c r="KX273" s="31"/>
      <c r="KY273" s="31"/>
      <c r="KZ273" s="31"/>
      <c r="LA273" s="31"/>
      <c r="LB273" s="31"/>
      <c r="LC273" s="31"/>
      <c r="LD273" s="31"/>
      <c r="LE273" s="31"/>
      <c r="LF273" s="31"/>
      <c r="LG273" s="31"/>
      <c r="LH273" s="31"/>
      <c r="LI273" s="31"/>
      <c r="LJ273" s="31"/>
      <c r="LK273" s="31"/>
      <c r="LL273" s="31"/>
      <c r="LM273" s="31"/>
      <c r="LN273" s="31"/>
      <c r="LO273" s="31"/>
      <c r="LP273" s="31"/>
      <c r="LQ273" s="31"/>
      <c r="LR273" s="31"/>
      <c r="LS273" s="31"/>
      <c r="LT273" s="31"/>
      <c r="LU273" s="31"/>
      <c r="LV273" s="31"/>
      <c r="LW273" s="31"/>
      <c r="LX273" s="31"/>
      <c r="LY273" s="31"/>
      <c r="LZ273" s="31"/>
      <c r="MA273" s="31"/>
      <c r="MB273" s="31"/>
      <c r="MC273" s="31"/>
      <c r="MD273" s="31"/>
      <c r="ME273" s="31"/>
      <c r="MF273" s="31"/>
      <c r="MG273" s="31"/>
      <c r="MH273" s="31"/>
      <c r="MI273" s="31"/>
      <c r="MJ273" s="31"/>
      <c r="MK273" s="31"/>
      <c r="ML273" s="31"/>
      <c r="MM273" s="31"/>
      <c r="MN273" s="31"/>
      <c r="MO273" s="31"/>
      <c r="MP273" s="31"/>
      <c r="MQ273" s="31"/>
      <c r="MR273" s="31"/>
      <c r="MS273" s="31"/>
      <c r="MT273" s="31"/>
      <c r="MU273" s="31"/>
      <c r="MV273" s="31"/>
      <c r="MW273" s="31"/>
      <c r="MX273" s="31"/>
      <c r="MY273" s="31"/>
      <c r="MZ273" s="31"/>
      <c r="NA273" s="31"/>
      <c r="NB273" s="31"/>
      <c r="NC273" s="31"/>
      <c r="ND273" s="31"/>
      <c r="NE273" s="31"/>
      <c r="NF273" s="31"/>
      <c r="NG273" s="31"/>
      <c r="NH273" s="31"/>
      <c r="NI273" s="31"/>
      <c r="NJ273" s="31"/>
      <c r="NK273" s="31"/>
      <c r="NL273" s="31"/>
      <c r="NM273" s="31"/>
      <c r="NN273" s="31"/>
      <c r="NO273" s="31"/>
      <c r="NP273" s="31"/>
      <c r="NQ273" s="31"/>
      <c r="NR273" s="31"/>
      <c r="NS273" s="31"/>
      <c r="NT273" s="31"/>
      <c r="NU273" s="31"/>
      <c r="NV273" s="31"/>
      <c r="NW273" s="31"/>
      <c r="NX273" s="31"/>
      <c r="NY273" s="31"/>
      <c r="NZ273" s="31"/>
      <c r="OA273" s="31"/>
      <c r="OB273" s="31"/>
      <c r="OC273" s="31"/>
      <c r="OD273" s="31"/>
      <c r="OE273" s="31"/>
      <c r="OF273" s="31"/>
      <c r="OG273" s="31"/>
      <c r="OH273" s="31"/>
      <c r="OI273" s="31"/>
      <c r="OJ273" s="31"/>
      <c r="OK273" s="31"/>
      <c r="OL273" s="31"/>
      <c r="OM273" s="31"/>
      <c r="ON273" s="31"/>
      <c r="OO273" s="31"/>
      <c r="OP273" s="31"/>
      <c r="OQ273" s="31"/>
      <c r="OR273" s="31"/>
      <c r="OS273" s="31"/>
      <c r="OT273" s="31"/>
      <c r="OU273" s="31"/>
      <c r="OV273" s="31"/>
      <c r="OW273" s="31"/>
      <c r="OX273" s="31"/>
      <c r="OY273" s="31"/>
      <c r="OZ273" s="31"/>
      <c r="PA273" s="31"/>
      <c r="PB273" s="31"/>
      <c r="PC273" s="31"/>
      <c r="PD273" s="31"/>
      <c r="PE273" s="31"/>
      <c r="PF273" s="31"/>
      <c r="PG273" s="31"/>
      <c r="PH273" s="31"/>
      <c r="PI273" s="31"/>
      <c r="PJ273" s="31"/>
      <c r="PK273" s="31"/>
      <c r="PL273" s="31"/>
      <c r="PM273" s="31"/>
      <c r="PN273" s="31"/>
      <c r="PO273" s="31"/>
      <c r="PP273" s="31"/>
      <c r="PQ273" s="31"/>
      <c r="PR273" s="31"/>
      <c r="PS273" s="31"/>
      <c r="PT273" s="31"/>
      <c r="PU273" s="31"/>
      <c r="PV273" s="31"/>
      <c r="PW273" s="31"/>
      <c r="PX273" s="31"/>
      <c r="PY273" s="31"/>
      <c r="PZ273" s="31"/>
      <c r="QA273" s="31"/>
      <c r="QB273" s="31"/>
      <c r="QC273" s="31"/>
      <c r="QD273" s="31"/>
      <c r="QE273" s="31"/>
      <c r="QF273" s="31"/>
      <c r="QG273" s="31"/>
      <c r="QH273" s="31"/>
      <c r="QI273" s="31"/>
      <c r="QJ273" s="31"/>
      <c r="QK273" s="31"/>
      <c r="QL273" s="31"/>
      <c r="QM273" s="31"/>
      <c r="QN273" s="31"/>
      <c r="QO273" s="31"/>
      <c r="QP273" s="31"/>
      <c r="QQ273" s="55"/>
      <c r="QR273" s="19"/>
    </row>
    <row r="274" spans="3:483" ht="5.0999999999999996" customHeight="1" thickBot="1" x14ac:dyDescent="0.35">
      <c r="C274" s="56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57"/>
      <c r="CW274" s="57"/>
      <c r="CX274" s="57"/>
      <c r="CY274" s="57"/>
      <c r="CZ274" s="57"/>
      <c r="DA274" s="57"/>
      <c r="DB274" s="57"/>
      <c r="DC274" s="57"/>
      <c r="DD274" s="57"/>
      <c r="DE274" s="57"/>
      <c r="DF274" s="57"/>
      <c r="DG274" s="57"/>
      <c r="DH274" s="57"/>
      <c r="DI274" s="57"/>
      <c r="DJ274" s="57"/>
      <c r="DK274" s="57"/>
      <c r="DL274" s="57"/>
      <c r="DM274" s="57"/>
      <c r="DN274" s="57"/>
      <c r="DO274" s="57"/>
      <c r="DP274" s="57"/>
      <c r="DQ274" s="57"/>
      <c r="DR274" s="57"/>
      <c r="DS274" s="57"/>
      <c r="DT274" s="57"/>
      <c r="DU274" s="57"/>
      <c r="DV274" s="57"/>
      <c r="DW274" s="57"/>
      <c r="DX274" s="57"/>
      <c r="DY274" s="57"/>
      <c r="DZ274" s="57"/>
      <c r="EA274" s="57"/>
      <c r="EB274" s="57"/>
      <c r="EC274" s="57"/>
      <c r="ED274" s="57"/>
      <c r="EE274" s="57"/>
      <c r="EF274" s="57"/>
      <c r="EG274" s="57"/>
      <c r="EH274" s="57"/>
      <c r="EI274" s="57"/>
      <c r="EJ274" s="57"/>
      <c r="EK274" s="57"/>
      <c r="EL274" s="57"/>
      <c r="EM274" s="57"/>
      <c r="EN274" s="57"/>
      <c r="EO274" s="57"/>
      <c r="EP274" s="57"/>
      <c r="EQ274" s="57"/>
      <c r="ER274" s="57"/>
      <c r="ES274" s="57"/>
      <c r="ET274" s="57"/>
      <c r="EU274" s="57"/>
      <c r="EV274" s="57"/>
      <c r="EW274" s="57"/>
      <c r="EX274" s="57"/>
      <c r="EY274" s="57"/>
      <c r="EZ274" s="57"/>
      <c r="FA274" s="57"/>
      <c r="FB274" s="57"/>
      <c r="FC274" s="57"/>
      <c r="FD274" s="57"/>
      <c r="FE274" s="57"/>
      <c r="FF274" s="57"/>
      <c r="FG274" s="57"/>
      <c r="FH274" s="57"/>
      <c r="FI274" s="57"/>
      <c r="FJ274" s="57"/>
      <c r="FK274" s="57"/>
      <c r="FL274" s="57"/>
      <c r="FM274" s="57"/>
      <c r="FN274" s="57"/>
      <c r="FO274" s="57"/>
      <c r="FP274" s="57"/>
      <c r="FQ274" s="57"/>
      <c r="FR274" s="57"/>
      <c r="FS274" s="57"/>
      <c r="FT274" s="57"/>
      <c r="FU274" s="57"/>
      <c r="FV274" s="57"/>
      <c r="FW274" s="57"/>
      <c r="FX274" s="57"/>
      <c r="FY274" s="57"/>
      <c r="FZ274" s="57"/>
      <c r="GA274" s="57"/>
      <c r="GB274" s="57"/>
      <c r="GC274" s="57"/>
      <c r="GD274" s="57"/>
      <c r="GE274" s="57"/>
      <c r="GF274" s="57"/>
      <c r="GG274" s="57"/>
      <c r="GH274" s="57"/>
      <c r="GI274" s="57"/>
      <c r="GJ274" s="57"/>
      <c r="GK274" s="57"/>
      <c r="GL274" s="57"/>
      <c r="GM274" s="57"/>
      <c r="GN274" s="57"/>
      <c r="GO274" s="57"/>
      <c r="GP274" s="57"/>
      <c r="GQ274" s="57"/>
      <c r="GR274" s="57"/>
      <c r="GS274" s="57"/>
      <c r="GT274" s="57"/>
      <c r="GU274" s="57"/>
      <c r="GV274" s="57"/>
      <c r="GW274" s="57"/>
      <c r="GX274" s="57"/>
      <c r="GY274" s="57"/>
      <c r="GZ274" s="57"/>
      <c r="HA274" s="57"/>
      <c r="HB274" s="57"/>
      <c r="HC274" s="57"/>
      <c r="HD274" s="57"/>
      <c r="HE274" s="57"/>
      <c r="HF274" s="57"/>
      <c r="HG274" s="57"/>
      <c r="HH274" s="57"/>
      <c r="HI274" s="57"/>
      <c r="HJ274" s="57"/>
      <c r="HK274" s="57"/>
      <c r="HL274" s="57"/>
      <c r="HM274" s="57"/>
      <c r="HN274" s="57"/>
      <c r="HO274" s="57"/>
      <c r="HP274" s="57"/>
      <c r="HQ274" s="57"/>
      <c r="HR274" s="57"/>
      <c r="HS274" s="57"/>
      <c r="HT274" s="57"/>
      <c r="HU274" s="57"/>
      <c r="HV274" s="57"/>
      <c r="HW274" s="57"/>
      <c r="HX274" s="57"/>
      <c r="HY274" s="57"/>
      <c r="HZ274" s="57"/>
      <c r="IA274" s="57"/>
      <c r="IB274" s="57"/>
      <c r="IC274" s="57"/>
      <c r="ID274" s="57"/>
      <c r="IE274" s="57"/>
      <c r="IF274" s="57"/>
      <c r="IG274" s="57"/>
      <c r="IH274" s="57"/>
      <c r="II274" s="57"/>
      <c r="IJ274" s="57"/>
      <c r="IK274" s="57"/>
      <c r="IL274" s="57"/>
      <c r="IM274" s="57"/>
      <c r="IN274" s="57"/>
      <c r="IO274" s="57"/>
      <c r="IP274" s="57"/>
      <c r="IQ274" s="57"/>
      <c r="IR274" s="57"/>
      <c r="IS274" s="57"/>
      <c r="IT274" s="57"/>
      <c r="IU274" s="57"/>
      <c r="IV274" s="57"/>
      <c r="IW274" s="57"/>
      <c r="IX274" s="57"/>
      <c r="IY274" s="57"/>
      <c r="IZ274" s="57"/>
      <c r="JA274" s="57"/>
      <c r="JB274" s="57"/>
      <c r="JC274" s="57"/>
      <c r="JD274" s="57"/>
      <c r="JE274" s="57"/>
      <c r="JF274" s="57"/>
      <c r="JG274" s="57"/>
      <c r="JH274" s="57"/>
      <c r="JI274" s="57"/>
      <c r="JJ274" s="57"/>
      <c r="JK274" s="57"/>
      <c r="JL274" s="57"/>
      <c r="JM274" s="57"/>
      <c r="JN274" s="57"/>
      <c r="JO274" s="57"/>
      <c r="JP274" s="57"/>
      <c r="JQ274" s="57"/>
      <c r="JR274" s="57"/>
      <c r="JS274" s="57"/>
      <c r="JT274" s="57"/>
      <c r="JU274" s="57"/>
      <c r="JV274" s="57"/>
      <c r="JW274" s="57"/>
      <c r="JX274" s="57"/>
      <c r="JY274" s="57"/>
      <c r="JZ274" s="57"/>
      <c r="KA274" s="57"/>
      <c r="KB274" s="57"/>
      <c r="KC274" s="57"/>
      <c r="KD274" s="57"/>
      <c r="KE274" s="57"/>
      <c r="KF274" s="57"/>
      <c r="KG274" s="57"/>
      <c r="KH274" s="57"/>
      <c r="KI274" s="57"/>
      <c r="KJ274" s="57"/>
      <c r="KK274" s="57"/>
      <c r="KL274" s="57"/>
      <c r="KM274" s="57"/>
      <c r="KN274" s="57"/>
      <c r="KO274" s="57"/>
      <c r="KP274" s="57"/>
      <c r="KQ274" s="57"/>
      <c r="KR274" s="57"/>
      <c r="KS274" s="57"/>
      <c r="KT274" s="57"/>
      <c r="KU274" s="57"/>
      <c r="KV274" s="57"/>
      <c r="KW274" s="57"/>
      <c r="KX274" s="57"/>
      <c r="KY274" s="57"/>
      <c r="KZ274" s="57"/>
      <c r="LA274" s="57"/>
      <c r="LB274" s="57"/>
      <c r="LC274" s="57"/>
      <c r="LD274" s="57"/>
      <c r="LE274" s="57"/>
      <c r="LF274" s="57"/>
      <c r="LG274" s="57"/>
      <c r="LH274" s="57"/>
      <c r="LI274" s="57"/>
      <c r="LJ274" s="57"/>
      <c r="LK274" s="57"/>
      <c r="LL274" s="57"/>
      <c r="LM274" s="57"/>
      <c r="LN274" s="57"/>
      <c r="LO274" s="57"/>
      <c r="LP274" s="57"/>
      <c r="LQ274" s="57"/>
      <c r="LR274" s="57"/>
      <c r="LS274" s="57"/>
      <c r="LT274" s="57"/>
      <c r="LU274" s="57"/>
      <c r="LV274" s="57"/>
      <c r="LW274" s="57"/>
      <c r="LX274" s="57"/>
      <c r="LY274" s="57"/>
      <c r="LZ274" s="57"/>
      <c r="MA274" s="57"/>
      <c r="MB274" s="57"/>
      <c r="MC274" s="57"/>
      <c r="MD274" s="57"/>
      <c r="ME274" s="57"/>
      <c r="MF274" s="57"/>
      <c r="MG274" s="57"/>
      <c r="MH274" s="57"/>
      <c r="MI274" s="57"/>
      <c r="MJ274" s="57"/>
      <c r="MK274" s="57"/>
      <c r="ML274" s="57"/>
      <c r="MM274" s="57"/>
      <c r="MN274" s="57"/>
      <c r="MO274" s="57"/>
      <c r="MP274" s="57"/>
      <c r="MQ274" s="57"/>
      <c r="MR274" s="57"/>
      <c r="MS274" s="57"/>
      <c r="MT274" s="57"/>
      <c r="MU274" s="57"/>
      <c r="MV274" s="57"/>
      <c r="MW274" s="57"/>
      <c r="MX274" s="57"/>
      <c r="MY274" s="57"/>
      <c r="MZ274" s="57"/>
      <c r="NA274" s="57"/>
      <c r="NB274" s="57"/>
      <c r="NC274" s="57"/>
      <c r="ND274" s="57"/>
      <c r="NE274" s="57"/>
      <c r="NF274" s="57"/>
      <c r="NG274" s="57"/>
      <c r="NH274" s="57"/>
      <c r="NI274" s="57"/>
      <c r="NJ274" s="57"/>
      <c r="NK274" s="57"/>
      <c r="NL274" s="57"/>
      <c r="NM274" s="57"/>
      <c r="NN274" s="57"/>
      <c r="NO274" s="57"/>
      <c r="NP274" s="57"/>
      <c r="NQ274" s="57"/>
      <c r="NR274" s="57"/>
      <c r="NS274" s="57"/>
      <c r="NT274" s="57"/>
      <c r="NU274" s="57"/>
      <c r="NV274" s="57"/>
      <c r="NW274" s="57"/>
      <c r="NX274" s="57"/>
      <c r="NY274" s="57"/>
      <c r="NZ274" s="57"/>
      <c r="OA274" s="57"/>
      <c r="OB274" s="57"/>
      <c r="OC274" s="57"/>
      <c r="OD274" s="57"/>
      <c r="OE274" s="57"/>
      <c r="OF274" s="57"/>
      <c r="OG274" s="57"/>
      <c r="OH274" s="57"/>
      <c r="OI274" s="57"/>
      <c r="OJ274" s="57"/>
      <c r="OK274" s="57"/>
      <c r="OL274" s="57"/>
      <c r="OM274" s="57"/>
      <c r="ON274" s="57"/>
      <c r="OO274" s="57"/>
      <c r="OP274" s="57"/>
      <c r="OQ274" s="57"/>
      <c r="OR274" s="57"/>
      <c r="OS274" s="57"/>
      <c r="OT274" s="57"/>
      <c r="OU274" s="57"/>
      <c r="OV274" s="57"/>
      <c r="OW274" s="57"/>
      <c r="OX274" s="57"/>
      <c r="OY274" s="57"/>
      <c r="OZ274" s="57"/>
      <c r="PA274" s="57"/>
      <c r="PB274" s="57"/>
      <c r="PC274" s="57"/>
      <c r="PD274" s="57"/>
      <c r="PE274" s="57"/>
      <c r="PF274" s="57"/>
      <c r="PG274" s="57"/>
      <c r="PH274" s="57"/>
      <c r="PI274" s="57"/>
      <c r="PJ274" s="57"/>
      <c r="PK274" s="57"/>
      <c r="PL274" s="57"/>
      <c r="PM274" s="57"/>
      <c r="PN274" s="57"/>
      <c r="PO274" s="57"/>
      <c r="PP274" s="57"/>
      <c r="PQ274" s="57"/>
      <c r="PR274" s="57"/>
      <c r="PS274" s="57"/>
      <c r="PT274" s="57"/>
      <c r="PU274" s="57"/>
      <c r="PV274" s="57"/>
      <c r="PW274" s="57"/>
      <c r="PX274" s="57"/>
      <c r="PY274" s="57"/>
      <c r="PZ274" s="57"/>
      <c r="QA274" s="57"/>
      <c r="QB274" s="57"/>
      <c r="QC274" s="57"/>
      <c r="QD274" s="57"/>
      <c r="QE274" s="57"/>
      <c r="QF274" s="57"/>
      <c r="QG274" s="57"/>
      <c r="QH274" s="57"/>
      <c r="QI274" s="57"/>
      <c r="QJ274" s="57"/>
      <c r="QK274" s="57"/>
      <c r="QL274" s="57"/>
      <c r="QM274" s="57"/>
      <c r="QN274" s="57"/>
      <c r="QO274" s="57"/>
      <c r="QP274" s="57"/>
      <c r="QQ274" s="57"/>
      <c r="QR274" s="58"/>
    </row>
    <row r="275" spans="3:483" ht="5.0999999999999996" customHeight="1" thickTop="1" x14ac:dyDescent="0.3"/>
    <row r="279" spans="3:483" ht="5.0999999999999996" customHeight="1" x14ac:dyDescent="0.3">
      <c r="F279" s="39"/>
      <c r="G279" s="39"/>
      <c r="IX279" s="39"/>
      <c r="IY279" s="39"/>
      <c r="IZ279" s="39"/>
      <c r="JA279" s="39"/>
      <c r="JB279" s="39"/>
      <c r="JC279" s="39"/>
      <c r="JD279" s="39"/>
      <c r="JE279" s="39"/>
      <c r="JF279" s="39"/>
      <c r="JG279" s="39"/>
      <c r="JH279" s="39"/>
      <c r="JI279" s="39"/>
      <c r="JJ279" s="39"/>
      <c r="JK279" s="39"/>
      <c r="JL279" s="39"/>
      <c r="JM279" s="39"/>
      <c r="JN279" s="39"/>
      <c r="JO279" s="39"/>
      <c r="JP279" s="39"/>
      <c r="JQ279" s="39"/>
      <c r="JR279" s="39"/>
      <c r="JS279" s="39"/>
      <c r="JT279" s="39"/>
      <c r="JU279" s="39"/>
      <c r="JV279" s="39"/>
      <c r="JW279" s="39"/>
      <c r="JX279" s="39"/>
      <c r="JY279" s="39"/>
      <c r="JZ279" s="39"/>
      <c r="KA279" s="39"/>
      <c r="KB279" s="39"/>
      <c r="KC279" s="39"/>
      <c r="KD279" s="39"/>
      <c r="KE279" s="39"/>
      <c r="KF279" s="39"/>
      <c r="KG279" s="39"/>
      <c r="KH279" s="39"/>
      <c r="KI279" s="39"/>
      <c r="KJ279" s="39"/>
      <c r="KK279" s="39"/>
      <c r="KL279" s="39"/>
      <c r="KM279" s="39"/>
      <c r="KN279" s="39"/>
      <c r="KO279" s="39"/>
      <c r="KP279" s="39"/>
      <c r="KQ279" s="39"/>
      <c r="KR279" s="39"/>
      <c r="KS279" s="39"/>
      <c r="KT279" s="39"/>
      <c r="KU279" s="39"/>
      <c r="LQ279" s="39"/>
      <c r="LR279" s="39"/>
      <c r="LS279" s="39"/>
      <c r="LT279" s="39"/>
      <c r="LU279" s="39"/>
      <c r="LV279" s="39"/>
      <c r="LW279" s="39"/>
      <c r="LX279" s="39"/>
      <c r="MM279" s="39"/>
      <c r="MN279" s="39"/>
      <c r="MO279" s="39"/>
      <c r="MP279" s="39"/>
      <c r="MQ279" s="39"/>
      <c r="MR279" s="39"/>
      <c r="MS279" s="39"/>
      <c r="MT279" s="39"/>
      <c r="MU279" s="39"/>
      <c r="MV279" s="39"/>
      <c r="MW279" s="39"/>
      <c r="MX279" s="39"/>
      <c r="MY279" s="39"/>
      <c r="MZ279" s="39"/>
      <c r="NA279" s="39"/>
      <c r="NB279" s="39"/>
      <c r="NC279" s="39"/>
      <c r="ND279" s="39"/>
      <c r="NE279" s="39"/>
      <c r="NF279" s="39"/>
      <c r="NG279" s="39"/>
      <c r="NH279" s="39"/>
      <c r="NI279" s="39"/>
      <c r="NJ279" s="39"/>
      <c r="NK279" s="39"/>
      <c r="NL279" s="39"/>
      <c r="NM279" s="39"/>
      <c r="NN279" s="39"/>
      <c r="NO279" s="39"/>
      <c r="NP279" s="39"/>
      <c r="NQ279" s="39"/>
      <c r="NR279" s="39"/>
      <c r="NS279" s="39"/>
      <c r="NT279" s="39"/>
      <c r="NU279" s="39"/>
      <c r="NV279" s="39"/>
      <c r="NW279" s="39"/>
      <c r="NX279" s="39"/>
      <c r="QS279" s="39"/>
      <c r="QT279" s="39"/>
      <c r="QU279" s="39"/>
      <c r="QV279" s="39"/>
      <c r="RK279" s="39"/>
      <c r="RL279" s="39"/>
      <c r="RM279" s="39"/>
      <c r="RN279" s="39"/>
      <c r="RO279" s="39"/>
    </row>
    <row r="334" spans="61:61" ht="5.0999999999999996" customHeight="1" x14ac:dyDescent="0.3">
      <c r="BI334" s="1">
        <v>3</v>
      </c>
    </row>
  </sheetData>
  <mergeCells count="161">
    <mergeCell ref="E5:QP8"/>
    <mergeCell ref="E9:QP11"/>
    <mergeCell ref="E12:QP15"/>
    <mergeCell ref="HC19:IQ27"/>
    <mergeCell ref="IR19:IU27"/>
    <mergeCell ref="NS36:PG45"/>
    <mergeCell ref="PH36:PM45"/>
    <mergeCell ref="I37:AW46"/>
    <mergeCell ref="AX37:BB46"/>
    <mergeCell ref="DL46:EZ54"/>
    <mergeCell ref="OI50:ON58"/>
    <mergeCell ref="OV50:QJ58"/>
    <mergeCell ref="QK50:QP58"/>
    <mergeCell ref="JF58:KR67"/>
    <mergeCell ref="KS58:KW67"/>
    <mergeCell ref="I59:AW68"/>
    <mergeCell ref="AX59:BB68"/>
    <mergeCell ref="EQ60:GE68"/>
    <mergeCell ref="GF60:GI68"/>
    <mergeCell ref="MU64:OI72"/>
    <mergeCell ref="FA46:FD54"/>
    <mergeCell ref="JF46:KR55"/>
    <mergeCell ref="KS46:KZ55"/>
    <mergeCell ref="I48:AW57"/>
    <mergeCell ref="AX48:BB57"/>
    <mergeCell ref="MT50:OH58"/>
    <mergeCell ref="NA81:NE90"/>
    <mergeCell ref="BF82:CS91"/>
    <mergeCell ref="CT82:CY91"/>
    <mergeCell ref="HF82:IS91"/>
    <mergeCell ref="IT82:IX91"/>
    <mergeCell ref="FI83:GV92"/>
    <mergeCell ref="GW83:HB92"/>
    <mergeCell ref="OJ64:OO72"/>
    <mergeCell ref="I70:AW78"/>
    <mergeCell ref="AX70:BB78"/>
    <mergeCell ref="BF72:CS81"/>
    <mergeCell ref="CT72:CY81"/>
    <mergeCell ref="I79:AW87"/>
    <mergeCell ref="AX79:BB87"/>
    <mergeCell ref="JK81:KX90"/>
    <mergeCell ref="KY81:LC90"/>
    <mergeCell ref="LM81:MZ90"/>
    <mergeCell ref="LM105:MZ114"/>
    <mergeCell ref="NA105:NE114"/>
    <mergeCell ref="HF108:IS117"/>
    <mergeCell ref="IT108:IX117"/>
    <mergeCell ref="DH111:ET120"/>
    <mergeCell ref="EU111:FB120"/>
    <mergeCell ref="JK95:KX104"/>
    <mergeCell ref="KY95:LC104"/>
    <mergeCell ref="LM95:MZ104"/>
    <mergeCell ref="NA95:NE104"/>
    <mergeCell ref="FI96:GV105"/>
    <mergeCell ref="GW96:HB105"/>
    <mergeCell ref="HF96:IS105"/>
    <mergeCell ref="IT96:IX105"/>
    <mergeCell ref="LM115:MZ124"/>
    <mergeCell ref="NA115:NE124"/>
    <mergeCell ref="GT141:IH150"/>
    <mergeCell ref="II141:IM150"/>
    <mergeCell ref="JK145:KX154"/>
    <mergeCell ref="KY145:LC154"/>
    <mergeCell ref="BF100:CT108"/>
    <mergeCell ref="CU100:CX108"/>
    <mergeCell ref="JK105:KX114"/>
    <mergeCell ref="KY105:LC114"/>
    <mergeCell ref="JK115:KX124"/>
    <mergeCell ref="KY115:LC124"/>
    <mergeCell ref="JK125:KX134"/>
    <mergeCell ref="KY125:LC134"/>
    <mergeCell ref="LM125:MZ134"/>
    <mergeCell ref="NA125:NE134"/>
    <mergeCell ref="LM135:MZ144"/>
    <mergeCell ref="NA135:NE144"/>
    <mergeCell ref="J141:AX150"/>
    <mergeCell ref="AY141:BC150"/>
    <mergeCell ref="BF141:CT150"/>
    <mergeCell ref="CU141:CY150"/>
    <mergeCell ref="DB141:EP150"/>
    <mergeCell ref="EQ141:EU150"/>
    <mergeCell ref="EX141:GL150"/>
    <mergeCell ref="GM141:GQ150"/>
    <mergeCell ref="EX129:GL138"/>
    <mergeCell ref="GM129:GQ138"/>
    <mergeCell ref="J129:AX138"/>
    <mergeCell ref="AY129:BC138"/>
    <mergeCell ref="BF129:CT138"/>
    <mergeCell ref="CU129:CY138"/>
    <mergeCell ref="DB129:EP138"/>
    <mergeCell ref="EQ129:EU138"/>
    <mergeCell ref="GT129:IH138"/>
    <mergeCell ref="II129:IM138"/>
    <mergeCell ref="JK135:KX144"/>
    <mergeCell ref="KY135:LC144"/>
    <mergeCell ref="OR174:QE183"/>
    <mergeCell ref="QF174:QK183"/>
    <mergeCell ref="J183:AX192"/>
    <mergeCell ref="AY183:BC192"/>
    <mergeCell ref="OR184:QE193"/>
    <mergeCell ref="QF184:QK193"/>
    <mergeCell ref="GT153:IH162"/>
    <mergeCell ref="II153:IM162"/>
    <mergeCell ref="OR162:QE171"/>
    <mergeCell ref="QF162:QK171"/>
    <mergeCell ref="J163:AX172"/>
    <mergeCell ref="AY163:BC172"/>
    <mergeCell ref="EX163:GL172"/>
    <mergeCell ref="GM163:GQ172"/>
    <mergeCell ref="OR152:QE161"/>
    <mergeCell ref="QF152:QK161"/>
    <mergeCell ref="J153:AX162"/>
    <mergeCell ref="AY153:BC162"/>
    <mergeCell ref="BF153:CT162"/>
    <mergeCell ref="CU153:CY162"/>
    <mergeCell ref="DB153:EP162"/>
    <mergeCell ref="EQ153:EU162"/>
    <mergeCell ref="EX153:GL162"/>
    <mergeCell ref="GM153:GQ162"/>
    <mergeCell ref="DO222:FE227"/>
    <mergeCell ref="FF222:FJ227"/>
    <mergeCell ref="FO222:HE227"/>
    <mergeCell ref="HF222:HJ227"/>
    <mergeCell ref="DO228:FE231"/>
    <mergeCell ref="FF228:FJ231"/>
    <mergeCell ref="FO228:HE231"/>
    <mergeCell ref="HF228:HJ231"/>
    <mergeCell ref="J173:AX182"/>
    <mergeCell ref="AY173:BC182"/>
    <mergeCell ref="DO244:FE247"/>
    <mergeCell ref="FF244:FJ247"/>
    <mergeCell ref="DO248:FE253"/>
    <mergeCell ref="FF248:FJ253"/>
    <mergeCell ref="DO254:FE257"/>
    <mergeCell ref="FF254:FJ257"/>
    <mergeCell ref="DO232:FE235"/>
    <mergeCell ref="FF232:FJ235"/>
    <mergeCell ref="DO236:FE239"/>
    <mergeCell ref="FF236:FJ239"/>
    <mergeCell ref="DO240:FE243"/>
    <mergeCell ref="FF240:FJ243"/>
    <mergeCell ref="NK266:OL270"/>
    <mergeCell ref="OM266:PN270"/>
    <mergeCell ref="PO266:QP270"/>
    <mergeCell ref="DO262:FE265"/>
    <mergeCell ref="FF262:FJ265"/>
    <mergeCell ref="F265:AG269"/>
    <mergeCell ref="AH265:BI269"/>
    <mergeCell ref="BJ265:CK269"/>
    <mergeCell ref="DO266:FE269"/>
    <mergeCell ref="FF266:FJ269"/>
    <mergeCell ref="OD254:QA262"/>
    <mergeCell ref="QB254:QM262"/>
    <mergeCell ref="F255:AG259"/>
    <mergeCell ref="AH255:BI259"/>
    <mergeCell ref="BJ255:CK259"/>
    <mergeCell ref="DO258:FE261"/>
    <mergeCell ref="FF258:FJ261"/>
    <mergeCell ref="F260:AG264"/>
    <mergeCell ref="AH260:BI264"/>
    <mergeCell ref="BJ260:CK2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Update</vt:lpstr>
      <vt:lpstr>Org.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M. Maheen</dc:creator>
  <cp:lastModifiedBy>MOHAMED RIYAZ A N</cp:lastModifiedBy>
  <dcterms:created xsi:type="dcterms:W3CDTF">2015-06-05T18:17:20Z</dcterms:created>
  <dcterms:modified xsi:type="dcterms:W3CDTF">2026-06-29T16:09:06Z</dcterms:modified>
</cp:coreProperties>
</file>