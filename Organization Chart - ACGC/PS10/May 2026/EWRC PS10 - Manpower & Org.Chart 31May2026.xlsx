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iyaz\Desktop\Organisational Chart - ACGC\PS10\May 2026\"/>
    </mc:Choice>
  </mc:AlternateContent>
  <xr:revisionPtr revIDLastSave="0" documentId="13_ncr:1_{D134E555-BB8A-4A5B-8103-12FDECD3BA7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npower " sheetId="1" r:id="rId1"/>
    <sheet name="Org. 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3" i="1" l="1"/>
  <c r="A129" i="1"/>
  <c r="D117" i="1"/>
  <c r="H117" i="1" s="1"/>
  <c r="J55" i="1"/>
  <c r="B55" i="1"/>
  <c r="A21" i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J20" i="1"/>
  <c r="B20" i="1"/>
  <c r="A19" i="1"/>
  <c r="A6" i="1"/>
  <c r="A7" i="1" s="1"/>
  <c r="A9" i="1" s="1"/>
  <c r="A10" i="1" s="1"/>
  <c r="A11" i="1" s="1"/>
  <c r="A12" i="1" s="1"/>
  <c r="A13" i="1" s="1"/>
  <c r="A14" i="1" s="1"/>
  <c r="A15" i="1" s="1"/>
  <c r="J4" i="1"/>
  <c r="J116" i="1" s="1"/>
  <c r="B4" i="1"/>
  <c r="B116" i="1" l="1"/>
  <c r="A117" i="1" s="1"/>
  <c r="QG187" i="2" l="1"/>
  <c r="AX37" i="2"/>
  <c r="QG165" i="2" l="1"/>
  <c r="QE161" i="2"/>
  <c r="IF107" i="2"/>
  <c r="GJ107" i="2"/>
  <c r="EN107" i="2"/>
  <c r="CR107" i="2"/>
  <c r="AV107" i="2"/>
  <c r="PX81" i="2"/>
  <c r="OA81" i="2"/>
  <c r="MD81" i="2"/>
  <c r="KF81" i="2"/>
  <c r="LV40" i="2" s="1"/>
  <c r="QB242" i="2" s="1"/>
  <c r="PC37" i="2"/>
</calcChain>
</file>

<file path=xl/sharedStrings.xml><?xml version="1.0" encoding="utf-8"?>
<sst xmlns="http://schemas.openxmlformats.org/spreadsheetml/2006/main" count="951" uniqueCount="391">
  <si>
    <r>
      <t xml:space="preserve">EWRC Manpower - Overall Consolidated Sheet - </t>
    </r>
    <r>
      <rPr>
        <b/>
        <sz val="14"/>
        <color rgb="FFFF0000"/>
        <rFont val="Arial"/>
        <family val="2"/>
      </rPr>
      <t>PS10</t>
    </r>
  </si>
  <si>
    <t>L/N</t>
  </si>
  <si>
    <t>Asper Contract</t>
  </si>
  <si>
    <t>Position</t>
  </si>
  <si>
    <t>Employee Number</t>
  </si>
  <si>
    <t xml:space="preserve">Iqama/National ID </t>
  </si>
  <si>
    <t xml:space="preserve">Aramco ID </t>
  </si>
  <si>
    <t>Given Name / Surname</t>
  </si>
  <si>
    <t>Nationality</t>
  </si>
  <si>
    <t>Company</t>
  </si>
  <si>
    <t>Actual Count</t>
  </si>
  <si>
    <t>Current Status</t>
  </si>
  <si>
    <t>Work Location</t>
  </si>
  <si>
    <t>Remarks</t>
  </si>
  <si>
    <t>A</t>
  </si>
  <si>
    <t>Site Mangement</t>
  </si>
  <si>
    <t>Facility Manager - 1</t>
  </si>
  <si>
    <t>Saudi</t>
  </si>
  <si>
    <t>ACGC</t>
  </si>
  <si>
    <t>On Site</t>
  </si>
  <si>
    <t>RC</t>
  </si>
  <si>
    <t>Facility Engineer - 1</t>
  </si>
  <si>
    <t>Nagarajan Kasi</t>
  </si>
  <si>
    <t>Indian</t>
  </si>
  <si>
    <t>Safety Officer-1</t>
  </si>
  <si>
    <t>Safety Officer-2</t>
  </si>
  <si>
    <t>Liaqat Saeed</t>
  </si>
  <si>
    <t>Pakistani</t>
  </si>
  <si>
    <t>Ascent Future</t>
  </si>
  <si>
    <t>Nurse - 1</t>
  </si>
  <si>
    <t>Glenn Filio Eclarinal</t>
  </si>
  <si>
    <t>Filipino</t>
  </si>
  <si>
    <t>General Administrator-1</t>
  </si>
  <si>
    <t>Richard Mc Macatangay</t>
  </si>
  <si>
    <t>General Administrator - 2</t>
  </si>
  <si>
    <t>Azeem AbdulKhader</t>
  </si>
  <si>
    <t>INDIAN</t>
  </si>
  <si>
    <t>On SIte</t>
  </si>
  <si>
    <t>PS</t>
  </si>
  <si>
    <t>Housing Front Office Administrator-1</t>
  </si>
  <si>
    <t>BADER DAKHILALLAH AL MUTAIRI</t>
  </si>
  <si>
    <t>Housing Front Office Administrator-2</t>
  </si>
  <si>
    <t>Suryakant Basutkar</t>
  </si>
  <si>
    <t>Housing Front Office Administrator-3</t>
  </si>
  <si>
    <t>SAUD ASSAD A ALFAIFI</t>
  </si>
  <si>
    <t>Working in Pump station Front office</t>
  </si>
  <si>
    <t>CMMS Administrator - 1</t>
  </si>
  <si>
    <t>Krishnamoorthi Paramasivam</t>
  </si>
  <si>
    <t>Help Desk Operator-1</t>
  </si>
  <si>
    <t>Amrit Biswakarma</t>
  </si>
  <si>
    <t>Warehouse Administrator-1</t>
  </si>
  <si>
    <t>Karthick Somaiah</t>
  </si>
  <si>
    <t>Local Purchaser-1</t>
  </si>
  <si>
    <t>Local Purchaser-2</t>
  </si>
  <si>
    <t>Joeffery C. Pallorina</t>
  </si>
  <si>
    <t>B</t>
  </si>
  <si>
    <t>MEP Services</t>
  </si>
  <si>
    <t xml:space="preserve">Mechanical Supervisor - 1 </t>
  </si>
  <si>
    <t>Jared Borlaza Nodalo</t>
  </si>
  <si>
    <t>On site</t>
  </si>
  <si>
    <t>HVAC Supervisor - 1 / MEP</t>
  </si>
  <si>
    <t>Vacancy - 1</t>
  </si>
  <si>
    <t xml:space="preserve">Electrical Supervisor - 1  </t>
  </si>
  <si>
    <t>KISHORE BALASUBRAMANIAN</t>
  </si>
  <si>
    <t xml:space="preserve">C3 Supervisor - 1 </t>
  </si>
  <si>
    <t>Civil Supervisor - 1</t>
  </si>
  <si>
    <t>Mohammed Rafiudeen Syed Masood</t>
  </si>
  <si>
    <t>Mechanical Technician-1</t>
  </si>
  <si>
    <t>Rasheed Shahulhameed</t>
  </si>
  <si>
    <t>Mechanical Technician-2</t>
  </si>
  <si>
    <t>ABDULASIQ SAHUL HAMEED</t>
  </si>
  <si>
    <t>Mechanical Technician-3</t>
  </si>
  <si>
    <t>SARAVANA KUMAR SUBRAMANIYAN</t>
  </si>
  <si>
    <t>HVAC Technician-1</t>
  </si>
  <si>
    <t>Sayer Ali M Almutairi</t>
  </si>
  <si>
    <t>HVAC Technician-2</t>
  </si>
  <si>
    <t>MOHAMMED AYUB</t>
  </si>
  <si>
    <t>HVAC Technician-3</t>
  </si>
  <si>
    <t>HVAC Technician-4</t>
  </si>
  <si>
    <t>Sagaya Anten Kumar</t>
  </si>
  <si>
    <t>SAIJU BALAN</t>
  </si>
  <si>
    <t>Electrical Technician-1</t>
  </si>
  <si>
    <t>Sathiyamoorthi Parthasarathi</t>
  </si>
  <si>
    <t>Electrical Technician-2</t>
  </si>
  <si>
    <t>Fredie Villapando Cuevo</t>
  </si>
  <si>
    <t>Electrical Technician-3</t>
  </si>
  <si>
    <t>Nick Nadera Cantillo</t>
  </si>
  <si>
    <t>Electrical Technician-4</t>
  </si>
  <si>
    <t>Joenar Q. Pangantihon</t>
  </si>
  <si>
    <t>PRABHU DEVAN MADASAMY</t>
  </si>
  <si>
    <t>Electrical Technician-6/ Solar Technician</t>
  </si>
  <si>
    <t>VIJAYAKUMAR VELUSAMY</t>
  </si>
  <si>
    <t>Fire Alarm / CCTV  Technicians-1</t>
  </si>
  <si>
    <t>Sajeem Basheer Hussain</t>
  </si>
  <si>
    <t>Fire Alarm / CCTV  Technicians-2</t>
  </si>
  <si>
    <t>Fire Alarm / CCTV  Technicians-3</t>
  </si>
  <si>
    <t>Abdel Jaloud S. Jammang</t>
  </si>
  <si>
    <t>Plumber-1</t>
  </si>
  <si>
    <t>CHANDAN BEHERA</t>
  </si>
  <si>
    <t>Plumber-2</t>
  </si>
  <si>
    <t>SUSHIL KUMAR BISWAL</t>
  </si>
  <si>
    <t>RO Plant Operator-1</t>
  </si>
  <si>
    <t>SHARMA MANOHARAN</t>
  </si>
  <si>
    <t>RO Plant Operator-2</t>
  </si>
  <si>
    <t>SELVASENTHILKUMAR SELVARAJ</t>
  </si>
  <si>
    <t>RO Plant Operator-3</t>
  </si>
  <si>
    <t>SENTHIL KUMAR RAJAMANICKAM</t>
  </si>
  <si>
    <t>STP Operator-1</t>
  </si>
  <si>
    <t>LOKESHA KUPPUSWAMY RAGHAVENDRA</t>
  </si>
  <si>
    <t>STP Operator-2</t>
  </si>
  <si>
    <t>MICHAEL C. ORDOŇEZ</t>
  </si>
  <si>
    <t>Handyman-1</t>
  </si>
  <si>
    <t>TEODORO N.  ILAO</t>
  </si>
  <si>
    <t>Handyman-2</t>
  </si>
  <si>
    <t>Natarajan Mani</t>
  </si>
  <si>
    <t>Handyman-3</t>
  </si>
  <si>
    <t>Md Mahafuzur Rahman</t>
  </si>
  <si>
    <t>Bangladesh</t>
  </si>
  <si>
    <t>HME</t>
  </si>
  <si>
    <t>Joined on 9 July 2025</t>
  </si>
  <si>
    <t xml:space="preserve">Work Permit receiver </t>
  </si>
  <si>
    <t>Hidayath Ullah Khan</t>
  </si>
  <si>
    <t>HML</t>
  </si>
  <si>
    <t>C</t>
  </si>
  <si>
    <t>Housekeeping &amp; Recreational Services</t>
  </si>
  <si>
    <t>Housekeeping Supervisor-1</t>
  </si>
  <si>
    <t xml:space="preserve">GOWTHAMAN CHINNAMUTHU KARUPPAN  </t>
  </si>
  <si>
    <t>Housekeeping Supervisor-2</t>
  </si>
  <si>
    <t>SYED IBRAHIM ABDUL MUTHALEF</t>
  </si>
  <si>
    <t>Life Guard-1</t>
  </si>
  <si>
    <t>MATHEW STELLUS</t>
  </si>
  <si>
    <t>Life Guard - 2</t>
  </si>
  <si>
    <t>MUHAMMAD HASAB KHAN MUHAMMAD IKRAM</t>
  </si>
  <si>
    <t>Fitness Instructor-1</t>
  </si>
  <si>
    <t>Sanju Gopinathan Pillai</t>
  </si>
  <si>
    <t>Fitness Instructor-2</t>
  </si>
  <si>
    <t>Shamsudheen Ayanikkal House</t>
  </si>
  <si>
    <t xml:space="preserve">Muezzin </t>
  </si>
  <si>
    <t>Saleh Ghazi Almutairi</t>
  </si>
  <si>
    <t>Imam -  1</t>
  </si>
  <si>
    <t>Rami Alsubhi</t>
  </si>
  <si>
    <t>Team Leader-1</t>
  </si>
  <si>
    <t>Venkatesan Chinnappan</t>
  </si>
  <si>
    <t>Team Leader-2</t>
  </si>
  <si>
    <t>Subramani Kumar</t>
  </si>
  <si>
    <t>Team Leader-3</t>
  </si>
  <si>
    <t>Saravanan Muthukrishnan</t>
  </si>
  <si>
    <t>Room Attendant-1</t>
  </si>
  <si>
    <t>Mohammad Imtiaz Ali</t>
  </si>
  <si>
    <t>Room Attendant-2</t>
  </si>
  <si>
    <t>Edwin Fernandes</t>
  </si>
  <si>
    <t>Room Attendant-3</t>
  </si>
  <si>
    <t>Robin Gaur</t>
  </si>
  <si>
    <t>Room Attendant-4</t>
  </si>
  <si>
    <t>Rajesh Sasi</t>
  </si>
  <si>
    <t>Room Attendant-5</t>
  </si>
  <si>
    <t>Prakash Sunar</t>
  </si>
  <si>
    <t>Nepalese</t>
  </si>
  <si>
    <t>Room Attendant-6</t>
  </si>
  <si>
    <t>BASIL PINTO</t>
  </si>
  <si>
    <t>Room Attendant-7</t>
  </si>
  <si>
    <t>HARISH VEERAPPA MORBAD</t>
  </si>
  <si>
    <t>Room Attendant-8</t>
  </si>
  <si>
    <t>AHAMED BASIR HAYATHUL ARIF</t>
  </si>
  <si>
    <t>Room Attendant-9</t>
  </si>
  <si>
    <t>SELVAM MARIAPPAN</t>
  </si>
  <si>
    <t>Room Attendant-10</t>
  </si>
  <si>
    <t>Tek Bahadur Basnet</t>
  </si>
  <si>
    <t>Room Attendant-11</t>
  </si>
  <si>
    <t>DIWASH PANDEY</t>
  </si>
  <si>
    <t>Room Attendant-12</t>
  </si>
  <si>
    <t>Srinivasarao Penumaka</t>
  </si>
  <si>
    <t>Gardener -1 / FOREMAN LANDSCAPING - 1</t>
  </si>
  <si>
    <t>Sayed Ikram Hussain</t>
  </si>
  <si>
    <t>Gardener-2</t>
  </si>
  <si>
    <t xml:space="preserve">MOHAMED SIRAJ MOHAMED SABITH </t>
  </si>
  <si>
    <t>Sri Lankan</t>
  </si>
  <si>
    <t>Gardener-3</t>
  </si>
  <si>
    <t>AMIT KUMAR YADAV</t>
  </si>
  <si>
    <t>Gardener-4</t>
  </si>
  <si>
    <t>UPENDRA PRASAD URAW</t>
  </si>
  <si>
    <t>Gardener-5</t>
  </si>
  <si>
    <t>UMA SHANKAR YADAV</t>
  </si>
  <si>
    <t>Gardener-6</t>
  </si>
  <si>
    <t>MOHAMMAD AL AMIN</t>
  </si>
  <si>
    <t>BANGLADESH</t>
  </si>
  <si>
    <t xml:space="preserve">Tea Boy-1/ Janitor - Almojaideen Office </t>
  </si>
  <si>
    <t>SONU DHOBI</t>
  </si>
  <si>
    <t>Tea Boy -2/ Janitor - Control Room Pipeline Office - Pump Station</t>
  </si>
  <si>
    <t>MUHAMMAD YASIN MIYA</t>
  </si>
  <si>
    <t>Tea Boy - 3/ Janitor -Maintenance Office -  Pump Station</t>
  </si>
  <si>
    <t>Dilli Sharma</t>
  </si>
  <si>
    <t>Tea Boy - 4/ Janitor - Facility Office - Pump Station</t>
  </si>
  <si>
    <t>MD RAHIS</t>
  </si>
  <si>
    <t>Tea Boy-5/ Janitor - Fire Station Office - Pump Station</t>
  </si>
  <si>
    <t>NARENDRA KUMAR YADAV</t>
  </si>
  <si>
    <t xml:space="preserve">Tea Boy-6/ Janitor - Main Security Gate - Pump Station </t>
  </si>
  <si>
    <t>Salesh Nau</t>
  </si>
  <si>
    <t>Tea Boy - 7 / Janitor - Admin Office - Pump Station</t>
  </si>
  <si>
    <t xml:space="preserve">Mohamed ikram mohamed kamil </t>
  </si>
  <si>
    <t>Janitor-1</t>
  </si>
  <si>
    <t>Manish Lohar</t>
  </si>
  <si>
    <t xml:space="preserve">  </t>
  </si>
  <si>
    <t>Janitor-2</t>
  </si>
  <si>
    <t>Hum Narayan Poudel</t>
  </si>
  <si>
    <t>Janitor-3</t>
  </si>
  <si>
    <t>Surjay Paudel</t>
  </si>
  <si>
    <t>Janitor-4</t>
  </si>
  <si>
    <t xml:space="preserve">Mahmadakeeb Mahmadgous Shiggvavi </t>
  </si>
  <si>
    <t>Janitor-5</t>
  </si>
  <si>
    <t>SARAVANAN NADARAJA</t>
  </si>
  <si>
    <t>Janitor-6</t>
  </si>
  <si>
    <t>INDIKA HEMANTHA PUSSEPITIYA</t>
  </si>
  <si>
    <t>Janitor-7</t>
  </si>
  <si>
    <t>Tek Nath Dhakal</t>
  </si>
  <si>
    <t>Janitor-8</t>
  </si>
  <si>
    <t>MUNNA RAUT KHULWAT</t>
  </si>
  <si>
    <t>Janitor-9</t>
  </si>
  <si>
    <t>BIKRAM RAWAL</t>
  </si>
  <si>
    <t>Janitor-10</t>
  </si>
  <si>
    <t>BAL KISUN DHOBI</t>
  </si>
  <si>
    <t>Janitor-11</t>
  </si>
  <si>
    <t>SERAJ ANSARI</t>
  </si>
  <si>
    <t>Janitor-12</t>
  </si>
  <si>
    <t>RATHEES ALAGAIAH</t>
  </si>
  <si>
    <t>Janitor-13</t>
  </si>
  <si>
    <t>ASWAR KAMALDEEN MOHAMED</t>
  </si>
  <si>
    <t>Janitor-14</t>
  </si>
  <si>
    <t>Mohan Prasad Chaulagain</t>
  </si>
  <si>
    <t>Janitor-15</t>
  </si>
  <si>
    <t>Shalik Ram Acharya</t>
  </si>
  <si>
    <t>Driver-1</t>
  </si>
  <si>
    <t>Nawaf Sulayman Almutayri</t>
  </si>
  <si>
    <t>Driver-2</t>
  </si>
  <si>
    <t>AHMED ALI JOMARDIN KHAN</t>
  </si>
  <si>
    <t>Driver-3</t>
  </si>
  <si>
    <t>RAMCHANDRA TIMALSINA</t>
  </si>
  <si>
    <t>Driver-4</t>
  </si>
  <si>
    <t>FAZAL GHANI DAIRA WADAN</t>
  </si>
  <si>
    <t>PAKISTANI</t>
  </si>
  <si>
    <t>Barber-1</t>
  </si>
  <si>
    <t>MOHAMMAD ABBAS  GULAM NABI</t>
  </si>
  <si>
    <t>Barber-2</t>
  </si>
  <si>
    <t>Commissary Clerk-1</t>
  </si>
  <si>
    <t>MOHAMMED JAHIL NAINA MOHAMED</t>
  </si>
  <si>
    <t>EWRC Total Saudi Employees:</t>
  </si>
  <si>
    <t>Saudization  :</t>
  </si>
  <si>
    <t>ACGC Camp Services</t>
  </si>
  <si>
    <t>Employee #</t>
  </si>
  <si>
    <t>Iqama/National Id</t>
  </si>
  <si>
    <t>Aramco Id Number</t>
  </si>
  <si>
    <t>Current 
Status</t>
  </si>
  <si>
    <t>Facility Inspector - 1</t>
  </si>
  <si>
    <t>Faris Al Otaibi</t>
  </si>
  <si>
    <t>Facility Inspector - 2</t>
  </si>
  <si>
    <t>Aziz Al Mutairi</t>
  </si>
  <si>
    <t>Janitor - 1</t>
  </si>
  <si>
    <t>HASINDU THATHSARA RADAMPALA GAMAGE</t>
  </si>
  <si>
    <t>SRILANKAN</t>
  </si>
  <si>
    <t>Janitor - 2</t>
  </si>
  <si>
    <r>
      <t xml:space="preserve">EAST WEST PIPELINE RESIDENTIAL COMPOUND - </t>
    </r>
    <r>
      <rPr>
        <b/>
        <sz val="22"/>
        <color rgb="FFFF0000"/>
        <rFont val="Arial"/>
        <family val="2"/>
      </rPr>
      <t>EWPS10</t>
    </r>
  </si>
  <si>
    <t>OPERATION &amp; MAINTENANCE</t>
  </si>
  <si>
    <t>ORGANISATION CHART - SITE MANAGEMENT</t>
  </si>
  <si>
    <r>
      <t xml:space="preserve">Facility Manager
</t>
    </r>
    <r>
      <rPr>
        <b/>
        <sz val="14"/>
        <color rgb="FFFF0000"/>
        <rFont val="Arial"/>
        <family val="2"/>
      </rPr>
      <t>Abdullah Aljabri</t>
    </r>
  </si>
  <si>
    <t>General Adminstration</t>
  </si>
  <si>
    <t>HSE DEPT.</t>
  </si>
  <si>
    <t>House Keeping &amp; Recreational Services</t>
  </si>
  <si>
    <t>Warehouse Administrator</t>
  </si>
  <si>
    <r>
      <t xml:space="preserve">Facility Engineer
</t>
    </r>
    <r>
      <rPr>
        <sz val="14"/>
        <color rgb="FFFF0000"/>
        <rFont val="Arial"/>
        <family val="2"/>
      </rPr>
      <t>Nagarajan Kasi</t>
    </r>
  </si>
  <si>
    <r>
      <t xml:space="preserve">Safety Officer
</t>
    </r>
    <r>
      <rPr>
        <sz val="14"/>
        <color rgb="FFFF0000"/>
        <rFont val="Arial"/>
        <family val="2"/>
      </rPr>
      <t>Meshari Aloufi</t>
    </r>
  </si>
  <si>
    <r>
      <rPr>
        <sz val="14"/>
        <rFont val="Arial"/>
        <family val="2"/>
      </rPr>
      <t>Nusre</t>
    </r>
    <r>
      <rPr>
        <sz val="14"/>
        <color rgb="FFFF0000"/>
        <rFont val="Arial"/>
        <family val="2"/>
      </rPr>
      <t xml:space="preserve">
Glenn Filio Eclarinal</t>
    </r>
  </si>
  <si>
    <r>
      <t xml:space="preserve">Supervisor
</t>
    </r>
    <r>
      <rPr>
        <sz val="12"/>
        <color rgb="FFFF0000"/>
        <rFont val="Arial"/>
        <family val="2"/>
      </rPr>
      <t>Gowthaman / Syed Ibrahim</t>
    </r>
  </si>
  <si>
    <r>
      <rPr>
        <sz val="14"/>
        <rFont val="Arial"/>
        <family val="2"/>
      </rPr>
      <t>WPR</t>
    </r>
    <r>
      <rPr>
        <sz val="14"/>
        <color rgb="FFFF0000"/>
        <rFont val="Arial"/>
        <family val="2"/>
      </rPr>
      <t xml:space="preserve">
Hidayatullah (Subcon)</t>
    </r>
  </si>
  <si>
    <t>Imam / Muezzin</t>
  </si>
  <si>
    <r>
      <t xml:space="preserve">Warehouse Administrator
</t>
    </r>
    <r>
      <rPr>
        <sz val="14"/>
        <color rgb="FFFF0000"/>
        <rFont val="Arial"/>
        <family val="2"/>
      </rPr>
      <t>Karthick Somaia</t>
    </r>
  </si>
  <si>
    <t>Driver</t>
  </si>
  <si>
    <t>Room Services</t>
  </si>
  <si>
    <t>General Services</t>
  </si>
  <si>
    <t>Recrational Services</t>
  </si>
  <si>
    <t>Front Office &amp; Reception</t>
  </si>
  <si>
    <t>Team leader</t>
  </si>
  <si>
    <t>Gardener</t>
  </si>
  <si>
    <t>Fitness Instructor</t>
  </si>
  <si>
    <r>
      <t xml:space="preserve">Housi. Front Office Admin.
</t>
    </r>
    <r>
      <rPr>
        <sz val="12"/>
        <color rgb="FFFF0000"/>
        <rFont val="Arial"/>
        <family val="2"/>
      </rPr>
      <t>Saud / Suryakant /Bader</t>
    </r>
  </si>
  <si>
    <t>Janirors - General</t>
  </si>
  <si>
    <t>Life guards</t>
  </si>
  <si>
    <t>MECHNAICAL</t>
  </si>
  <si>
    <t>HVAC</t>
  </si>
  <si>
    <t>ELECTRICAL</t>
  </si>
  <si>
    <t>C3</t>
  </si>
  <si>
    <t>CIVIL</t>
  </si>
  <si>
    <t>Room Attendant</t>
  </si>
  <si>
    <t>Commissary Clerk</t>
  </si>
  <si>
    <r>
      <t xml:space="preserve">Mechanical Supervisor
</t>
    </r>
    <r>
      <rPr>
        <sz val="14"/>
        <color rgb="FFFF0000"/>
        <rFont val="Arial"/>
        <family val="2"/>
      </rPr>
      <t>Nodalo Jared B</t>
    </r>
  </si>
  <si>
    <r>
      <t xml:space="preserve">HVAC Supervisor
</t>
    </r>
    <r>
      <rPr>
        <b/>
        <sz val="14"/>
        <color rgb="FF00B050"/>
        <rFont val="Arial"/>
        <family val="2"/>
      </rPr>
      <t>Vacancy</t>
    </r>
  </si>
  <si>
    <r>
      <t xml:space="preserve">Electrical Supervisor
</t>
    </r>
    <r>
      <rPr>
        <sz val="14"/>
        <color rgb="FFFF0000"/>
        <rFont val="Arial"/>
        <family val="2"/>
      </rPr>
      <t>Kishore Balasubramanian</t>
    </r>
  </si>
  <si>
    <r>
      <t xml:space="preserve">CIVIL Supervisor
</t>
    </r>
    <r>
      <rPr>
        <sz val="14"/>
        <color rgb="FFFF0000"/>
        <rFont val="Arial"/>
        <family val="2"/>
      </rPr>
      <t>Mohammed Rafiudeen</t>
    </r>
  </si>
  <si>
    <r>
      <t xml:space="preserve">Pest Control
</t>
    </r>
    <r>
      <rPr>
        <sz val="14"/>
        <color rgb="FFFF0000"/>
        <rFont val="Arial"/>
        <family val="2"/>
      </rPr>
      <t>Rentokil</t>
    </r>
  </si>
  <si>
    <t>Barbers</t>
  </si>
  <si>
    <t>Mechanical Technicians</t>
  </si>
  <si>
    <t>HVAC Technicians</t>
  </si>
  <si>
    <t>Electrical Technician</t>
  </si>
  <si>
    <t>Fire Alarm / CCTV Tech.</t>
  </si>
  <si>
    <t>Handyman</t>
  </si>
  <si>
    <r>
      <t xml:space="preserve">Garbage / Sewage mgmt
</t>
    </r>
    <r>
      <rPr>
        <sz val="14"/>
        <color rgb="FFFF0000"/>
        <rFont val="Arial"/>
        <family val="2"/>
      </rPr>
      <t>Al Dar</t>
    </r>
  </si>
  <si>
    <t>Plumber</t>
  </si>
  <si>
    <t xml:space="preserve">Solar Technician </t>
  </si>
  <si>
    <t>STP Operator</t>
  </si>
  <si>
    <t>RO Plant Operator</t>
  </si>
  <si>
    <t>Salon Services</t>
  </si>
  <si>
    <t>Security 
Management</t>
  </si>
  <si>
    <t>Nesma</t>
  </si>
  <si>
    <t>Catering
Laundry / Telecom</t>
  </si>
  <si>
    <t>Qudrat</t>
  </si>
  <si>
    <t>AS PER CONTRACT</t>
  </si>
  <si>
    <t>Prepared by:</t>
  </si>
  <si>
    <t>Reviewed by:</t>
  </si>
  <si>
    <t>Approved by:</t>
  </si>
  <si>
    <t>CODE</t>
  </si>
  <si>
    <t>REVISION - 12</t>
  </si>
  <si>
    <r>
      <t xml:space="preserve">Purchaser
</t>
    </r>
    <r>
      <rPr>
        <sz val="14"/>
        <color rgb="FFFF0000"/>
        <rFont val="Arial"/>
        <family val="2"/>
      </rPr>
      <t>Abdulaziz /Jeoffrey</t>
    </r>
  </si>
  <si>
    <r>
      <t xml:space="preserve">C3 Supervisor
</t>
    </r>
    <r>
      <rPr>
        <sz val="14"/>
        <color rgb="FFFF0000"/>
        <rFont val="Arial"/>
        <family val="2"/>
      </rPr>
      <t>Santiago Carangyagan Jr.</t>
    </r>
  </si>
  <si>
    <t>Abdullah Faisal AlJabri</t>
  </si>
  <si>
    <t>Meshari Alawfi</t>
  </si>
  <si>
    <t>Vacation</t>
  </si>
  <si>
    <t>Return From Vacation 22 Mar 26</t>
  </si>
  <si>
    <t>Abdulaziz Hamdan Al Mutairi</t>
  </si>
  <si>
    <t>Santiago Carangyagan Jr.</t>
  </si>
  <si>
    <t>Arrived in Site 05 Mar 2026</t>
  </si>
  <si>
    <t>Return From Vacation 19 Mar 26</t>
  </si>
  <si>
    <t>Electrical Technician-5/ Solar Technician</t>
  </si>
  <si>
    <t>Vacation - Not Return</t>
  </si>
  <si>
    <t>LWD 15 Mar 26</t>
  </si>
  <si>
    <t>Vacancy - 2</t>
  </si>
  <si>
    <t>Return From Vacation 12 Mar 26</t>
  </si>
  <si>
    <t>Arrived in Site 16 Dec 2025</t>
  </si>
  <si>
    <t>Arrived in Site 14 Jan 2026</t>
  </si>
  <si>
    <t>Return From Vacation 13 Mar 26</t>
  </si>
  <si>
    <t>Transfer to PS03 - 02 Mar 2026</t>
  </si>
  <si>
    <t>INDUSTRIAL PLANET</t>
  </si>
  <si>
    <t>Non Contract Renewal LWD 02 Apr 26</t>
  </si>
  <si>
    <t>Non Contract Renewal LWD 05 Mar 26</t>
  </si>
  <si>
    <t>MUHAMMAD IMTIAZ MUHAMMAD TAJ</t>
  </si>
  <si>
    <t>General Administrator</t>
  </si>
  <si>
    <t>PRAKASH KUMAR MULLU</t>
  </si>
  <si>
    <t>Aramco Clerk</t>
  </si>
  <si>
    <t>General Services Broker-1</t>
  </si>
  <si>
    <t>Abdullah Burki Al mutairi</t>
  </si>
  <si>
    <t>Janitor / Helper</t>
  </si>
  <si>
    <t xml:space="preserve">MD RUMON ISLAM </t>
  </si>
  <si>
    <t>Transfer to PS03 - 24 Nov 25</t>
  </si>
  <si>
    <t>MD FAHIM ISLAM</t>
  </si>
  <si>
    <t xml:space="preserve">MD ASAD MOLLIK </t>
  </si>
  <si>
    <t>MD ARSHED ALI</t>
  </si>
  <si>
    <t>MD RAIHAN SARDAR</t>
  </si>
  <si>
    <t>Mason</t>
  </si>
  <si>
    <t>HASAN ALI KHAN</t>
  </si>
  <si>
    <t>Tejman Bishowkarma</t>
  </si>
  <si>
    <t>Nepal</t>
  </si>
  <si>
    <t>JALAL S. AL JALAL CONT EST</t>
  </si>
  <si>
    <t>Carpenter</t>
  </si>
  <si>
    <t>Mohammad Shamshed Alam</t>
  </si>
  <si>
    <t>East Eagle</t>
  </si>
  <si>
    <t>Painter</t>
  </si>
  <si>
    <t>Asad Ali Ghulam Qadir</t>
  </si>
  <si>
    <t>Pakistan</t>
  </si>
  <si>
    <t>Abdul Razzq Abdul Ghafoor</t>
  </si>
  <si>
    <t xml:space="preserve">Generator Technician / Mechanical Technician - 3 </t>
  </si>
  <si>
    <t>PRAKASH KANNAN</t>
  </si>
  <si>
    <t>Permanent Transfer to PS03 - 30 Nov 25</t>
  </si>
  <si>
    <t>MD HOSSAN ALI</t>
  </si>
  <si>
    <t>Released 14 Dec 25</t>
  </si>
  <si>
    <t>MD SOHAG MONDOL</t>
  </si>
  <si>
    <t>MD SHIRAJUL ISLAM</t>
  </si>
  <si>
    <t xml:space="preserve">MD MARUF HOSSEN </t>
  </si>
  <si>
    <t>Tile Setter</t>
  </si>
  <si>
    <t>Muhammad Zaigham Abbas</t>
  </si>
  <si>
    <t>Rashid Ali Inayatullah</t>
  </si>
  <si>
    <t xml:space="preserve">Electrical Technician-5 </t>
  </si>
  <si>
    <t>Rinoj Varghese</t>
  </si>
  <si>
    <t>Exit 26 Dec 2025</t>
  </si>
  <si>
    <r>
      <t>MD RIPON SHEAKH</t>
    </r>
    <r>
      <rPr>
        <sz val="12"/>
        <color indexed="10"/>
        <rFont val="Calibri"/>
        <family val="2"/>
        <scheme val="minor"/>
      </rPr>
      <t xml:space="preserve"> </t>
    </r>
  </si>
  <si>
    <t>Released 10 jan 2026</t>
  </si>
  <si>
    <t>Abu Bakar Muhammad Anwar</t>
  </si>
  <si>
    <t>Driver-5</t>
  </si>
  <si>
    <t>WAQAR IKHLAQ IKHLAQ HUSSAIN</t>
  </si>
  <si>
    <t>Released 20 jan 2026</t>
  </si>
  <si>
    <r>
      <t xml:space="preserve">CMMS / Help Desk
</t>
    </r>
    <r>
      <rPr>
        <sz val="14"/>
        <color rgb="FFFF0000"/>
        <rFont val="Arial"/>
        <family val="2"/>
      </rPr>
      <t>Krishna / Pankaj</t>
    </r>
  </si>
  <si>
    <t>Janitor Pump Station</t>
  </si>
  <si>
    <r>
      <t xml:space="preserve">Site Administrator
</t>
    </r>
    <r>
      <rPr>
        <sz val="14"/>
        <color rgb="FFFF0000"/>
        <rFont val="Arial"/>
        <family val="2"/>
      </rPr>
      <t xml:space="preserve">Richard / </t>
    </r>
    <r>
      <rPr>
        <sz val="12"/>
        <color rgb="FFFF0000"/>
        <rFont val="Arial"/>
        <family val="2"/>
      </rPr>
      <t>Azem</t>
    </r>
  </si>
  <si>
    <t>Date: 31/05/2026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</si>
</sst>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sz val="12"/>
      <color indexed="8"/>
      <name val="Calibri"/>
      <family val="2"/>
    </font>
    <font>
      <sz val="12"/>
      <color rgb="FF000000"/>
      <name val="Calibri"/>
      <family val="2"/>
    </font>
    <font>
      <b/>
      <sz val="12"/>
      <color rgb="FF00B05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sz val="12"/>
      <name val="Calibri"/>
      <family val="2"/>
    </font>
    <font>
      <sz val="12"/>
      <color theme="0"/>
      <name val="Calibri"/>
      <family val="2"/>
    </font>
    <font>
      <b/>
      <sz val="12"/>
      <color theme="0"/>
      <name val="Calibri"/>
      <family val="2"/>
    </font>
    <font>
      <b/>
      <sz val="12"/>
      <color rgb="FFC00000"/>
      <name val="Calibri"/>
      <family val="2"/>
    </font>
    <font>
      <b/>
      <sz val="12"/>
      <color rgb="FFFF0000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b/>
      <sz val="12"/>
      <color indexed="8"/>
      <name val="Calibri"/>
      <family val="2"/>
    </font>
    <font>
      <sz val="12"/>
      <name val="Calibri"/>
      <family val="2"/>
      <scheme val="minor"/>
    </font>
    <font>
      <sz val="12"/>
      <color rgb="FFC00000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sz val="14"/>
      <color indexed="8"/>
      <name val="Calibri"/>
      <family val="2"/>
    </font>
    <font>
      <b/>
      <sz val="11"/>
      <color theme="9" tint="-0.249977111117893"/>
      <name val="Arial"/>
      <family val="2"/>
    </font>
    <font>
      <b/>
      <sz val="12"/>
      <color theme="9" tint="-0.249977111117893"/>
      <name val="Arial"/>
      <family val="2"/>
    </font>
    <font>
      <b/>
      <sz val="14"/>
      <color rgb="FF00B050"/>
      <name val="Arial"/>
      <family val="2"/>
    </font>
    <font>
      <b/>
      <sz val="18"/>
      <color theme="1"/>
      <name val="Calibri"/>
      <family val="2"/>
      <scheme val="minor"/>
    </font>
    <font>
      <sz val="14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2"/>
      <color rgb="FFFF0000"/>
      <name val="Arial"/>
      <family val="2"/>
    </font>
    <font>
      <sz val="14"/>
      <color rgb="FFFF0000"/>
      <name val="Arial"/>
      <family val="2"/>
    </font>
    <font>
      <sz val="14"/>
      <name val="Arial"/>
      <family val="2"/>
    </font>
    <font>
      <sz val="12"/>
      <color rgb="FFFF0000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8"/>
      <color theme="0"/>
      <name val="Arial"/>
      <family val="2"/>
    </font>
    <font>
      <b/>
      <sz val="20"/>
      <color theme="0"/>
      <name val="Arial"/>
      <family val="2"/>
    </font>
    <font>
      <b/>
      <sz val="12"/>
      <name val="Calibri"/>
      <family val="2"/>
      <scheme val="minor"/>
    </font>
    <font>
      <b/>
      <sz val="10"/>
      <color rgb="FFFF0000"/>
      <name val="Calibri"/>
      <family val="2"/>
    </font>
    <font>
      <sz val="12"/>
      <color indexed="10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8BE1FF"/>
        <bgColor indexed="64"/>
      </patternFill>
    </fill>
    <fill>
      <patternFill patternType="solid">
        <fgColor rgb="FFD8EE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</fills>
  <borders count="9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 style="medium">
        <color auto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theme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medium">
        <color theme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theme="1"/>
      </left>
      <right/>
      <top/>
      <bottom style="thin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78">
    <xf numFmtId="0" fontId="0" fillId="0" borderId="0" xfId="0"/>
    <xf numFmtId="0" fontId="4" fillId="0" borderId="0" xfId="0" applyFont="1" applyAlignment="1">
      <alignment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9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12" xfId="1" applyFont="1" applyBorder="1" applyAlignment="1">
      <alignment horizontal="left" vertical="center"/>
    </xf>
    <xf numFmtId="0" fontId="10" fillId="0" borderId="12" xfId="1" applyFont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11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 wrapText="1"/>
    </xf>
    <xf numFmtId="0" fontId="3" fillId="0" borderId="0" xfId="0" applyFont="1"/>
    <xf numFmtId="0" fontId="10" fillId="0" borderId="12" xfId="0" applyFont="1" applyBorder="1" applyAlignment="1">
      <alignment horizontal="left" vertical="center"/>
    </xf>
    <xf numFmtId="0" fontId="12" fillId="0" borderId="12" xfId="0" applyFont="1" applyBorder="1" applyAlignment="1">
      <alignment vertical="center"/>
    </xf>
    <xf numFmtId="0" fontId="10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4" fontId="14" fillId="0" borderId="12" xfId="0" applyNumberFormat="1" applyFont="1" applyBorder="1" applyAlignment="1">
      <alignment horizontal="left" vertical="center"/>
    </xf>
    <xf numFmtId="0" fontId="4" fillId="0" borderId="12" xfId="0" applyFont="1" applyBorder="1"/>
    <xf numFmtId="0" fontId="4" fillId="0" borderId="12" xfId="0" applyFont="1" applyBorder="1" applyAlignment="1">
      <alignment horizontal="center"/>
    </xf>
    <xf numFmtId="0" fontId="14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7" fillId="0" borderId="13" xfId="0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2" fillId="0" borderId="12" xfId="0" applyFont="1" applyBorder="1" applyAlignment="1">
      <alignment horizontal="center" vertical="center"/>
    </xf>
    <xf numFmtId="15" fontId="18" fillId="0" borderId="13" xfId="0" applyNumberFormat="1" applyFont="1" applyBorder="1" applyAlignment="1">
      <alignment horizontal="center" vertical="center"/>
    </xf>
    <xf numFmtId="0" fontId="4" fillId="0" borderId="0" xfId="0" applyFont="1"/>
    <xf numFmtId="0" fontId="18" fillId="0" borderId="13" xfId="0" applyFont="1" applyBorder="1" applyAlignment="1">
      <alignment horizontal="center" vertical="center"/>
    </xf>
    <xf numFmtId="0" fontId="14" fillId="0" borderId="12" xfId="1" applyFont="1" applyBorder="1" applyAlignment="1">
      <alignment horizontal="left" vertical="center"/>
    </xf>
    <xf numFmtId="0" fontId="12" fillId="0" borderId="12" xfId="0" applyFont="1" applyBorder="1" applyAlignment="1">
      <alignment horizontal="center"/>
    </xf>
    <xf numFmtId="0" fontId="14" fillId="0" borderId="12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5" fillId="3" borderId="12" xfId="1" applyFont="1" applyFill="1" applyBorder="1" applyAlignment="1">
      <alignment horizontal="left" vertical="center"/>
    </xf>
    <xf numFmtId="0" fontId="15" fillId="3" borderId="12" xfId="1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vertical="center"/>
    </xf>
    <xf numFmtId="0" fontId="16" fillId="3" borderId="12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left" vertical="center"/>
    </xf>
    <xf numFmtId="0" fontId="14" fillId="4" borderId="11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  <xf numFmtId="0" fontId="14" fillId="4" borderId="12" xfId="1" applyFont="1" applyFill="1" applyBorder="1" applyAlignment="1">
      <alignment horizontal="left" vertical="center"/>
    </xf>
    <xf numFmtId="0" fontId="14" fillId="4" borderId="12" xfId="1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left" vertical="center"/>
    </xf>
    <xf numFmtId="0" fontId="19" fillId="4" borderId="13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left" vertical="center"/>
    </xf>
    <xf numFmtId="0" fontId="10" fillId="5" borderId="12" xfId="1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left" vertical="center"/>
    </xf>
    <xf numFmtId="0" fontId="10" fillId="5" borderId="12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15" fontId="18" fillId="5" borderId="13" xfId="0" applyNumberFormat="1" applyFont="1" applyFill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5" fillId="3" borderId="12" xfId="0" applyFont="1" applyFill="1" applyBorder="1" applyAlignment="1">
      <alignment horizontal="left" vertical="center"/>
    </xf>
    <xf numFmtId="0" fontId="10" fillId="5" borderId="12" xfId="1" applyFont="1" applyFill="1" applyBorder="1" applyAlignment="1">
      <alignment horizontal="left" vertical="center"/>
    </xf>
    <xf numFmtId="0" fontId="21" fillId="5" borderId="12" xfId="0" applyFont="1" applyFill="1" applyBorder="1" applyAlignment="1">
      <alignment horizontal="left" vertical="center"/>
    </xf>
    <xf numFmtId="0" fontId="21" fillId="5" borderId="13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/>
    </xf>
    <xf numFmtId="0" fontId="15" fillId="3" borderId="12" xfId="0" applyFont="1" applyFill="1" applyBorder="1" applyAlignment="1">
      <alignment vertical="center" wrapText="1"/>
    </xf>
    <xf numFmtId="0" fontId="9" fillId="4" borderId="12" xfId="0" applyFont="1" applyFill="1" applyBorder="1" applyAlignment="1">
      <alignment horizontal="left" vertical="center" wrapText="1"/>
    </xf>
    <xf numFmtId="0" fontId="13" fillId="4" borderId="13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4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/>
    </xf>
    <xf numFmtId="0" fontId="14" fillId="0" borderId="12" xfId="1" applyFont="1" applyBorder="1" applyAlignment="1">
      <alignment horizontal="center" vertical="center"/>
    </xf>
    <xf numFmtId="0" fontId="13" fillId="0" borderId="12" xfId="1" applyFont="1" applyBorder="1" applyAlignment="1">
      <alignment horizontal="left" vertical="center"/>
    </xf>
    <xf numFmtId="0" fontId="9" fillId="0" borderId="12" xfId="0" quotePrefix="1" applyFont="1" applyBorder="1" applyAlignment="1">
      <alignment horizontal="left" vertical="center"/>
    </xf>
    <xf numFmtId="0" fontId="12" fillId="4" borderId="12" xfId="0" applyFont="1" applyFill="1" applyBorder="1" applyAlignment="1">
      <alignment vertical="center" wrapText="1"/>
    </xf>
    <xf numFmtId="0" fontId="14" fillId="0" borderId="12" xfId="0" applyFont="1" applyBorder="1" applyAlignment="1">
      <alignment horizontal="center"/>
    </xf>
    <xf numFmtId="0" fontId="13" fillId="4" borderId="12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left" vertical="center"/>
    </xf>
    <xf numFmtId="0" fontId="14" fillId="0" borderId="12" xfId="0" applyFont="1" applyBorder="1" applyAlignment="1">
      <alignment vertical="center" wrapText="1"/>
    </xf>
    <xf numFmtId="1" fontId="15" fillId="3" borderId="12" xfId="0" applyNumberFormat="1" applyFont="1" applyFill="1" applyBorder="1" applyAlignment="1">
      <alignment horizontal="center" vertical="center"/>
    </xf>
    <xf numFmtId="1" fontId="9" fillId="0" borderId="12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vertical="center" wrapText="1"/>
    </xf>
    <xf numFmtId="0" fontId="12" fillId="0" borderId="13" xfId="0" applyFont="1" applyBorder="1" applyAlignment="1">
      <alignment horizontal="center" vertical="center" wrapText="1"/>
    </xf>
    <xf numFmtId="14" fontId="19" fillId="0" borderId="13" xfId="0" applyNumberFormat="1" applyFont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6" fillId="0" borderId="15" xfId="0" applyFont="1" applyBorder="1" applyAlignment="1">
      <alignment horizontal="left" vertical="center"/>
    </xf>
    <xf numFmtId="0" fontId="26" fillId="0" borderId="15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6" fillId="7" borderId="17" xfId="0" applyFont="1" applyFill="1" applyBorder="1" applyAlignment="1">
      <alignment vertical="center"/>
    </xf>
    <xf numFmtId="0" fontId="6" fillId="7" borderId="18" xfId="0" applyFont="1" applyFill="1" applyBorder="1" applyAlignment="1">
      <alignment horizontal="center" vertical="center"/>
    </xf>
    <xf numFmtId="0" fontId="28" fillId="7" borderId="19" xfId="0" applyFont="1" applyFill="1" applyBorder="1" applyAlignment="1">
      <alignment horizontal="right" vertical="center"/>
    </xf>
    <xf numFmtId="0" fontId="29" fillId="7" borderId="20" xfId="0" applyFont="1" applyFill="1" applyBorder="1" applyAlignment="1">
      <alignment horizontal="center"/>
    </xf>
    <xf numFmtId="0" fontId="6" fillId="7" borderId="18" xfId="0" applyFont="1" applyFill="1" applyBorder="1" applyAlignment="1">
      <alignment vertical="center"/>
    </xf>
    <xf numFmtId="0" fontId="30" fillId="7" borderId="18" xfId="0" applyFont="1" applyFill="1" applyBorder="1" applyAlignment="1">
      <alignment horizontal="right" vertical="center"/>
    </xf>
    <xf numFmtId="0" fontId="8" fillId="7" borderId="18" xfId="0" applyFont="1" applyFill="1" applyBorder="1" applyAlignment="1">
      <alignment horizontal="left" vertical="center"/>
    </xf>
    <xf numFmtId="0" fontId="7" fillId="2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left" vertical="center"/>
    </xf>
    <xf numFmtId="0" fontId="14" fillId="0" borderId="9" xfId="1" applyFont="1" applyBorder="1" applyAlignment="1">
      <alignment horizontal="center" vertical="center"/>
    </xf>
    <xf numFmtId="0" fontId="14" fillId="0" borderId="9" xfId="0" applyFont="1" applyBorder="1" applyAlignment="1">
      <alignment vertical="center"/>
    </xf>
    <xf numFmtId="0" fontId="19" fillId="0" borderId="9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2" fillId="0" borderId="0" xfId="0" applyFont="1" applyAlignment="1">
      <alignment vertical="center" wrapText="1"/>
    </xf>
    <xf numFmtId="0" fontId="33" fillId="0" borderId="26" xfId="0" applyFont="1" applyBorder="1" applyAlignment="1">
      <alignment vertical="center" wrapText="1"/>
    </xf>
    <xf numFmtId="0" fontId="33" fillId="0" borderId="27" xfId="0" applyFont="1" applyBorder="1" applyAlignment="1">
      <alignment vertical="center" wrapText="1"/>
    </xf>
    <xf numFmtId="0" fontId="33" fillId="0" borderId="28" xfId="0" applyFont="1" applyBorder="1" applyAlignment="1">
      <alignment vertical="center" wrapText="1"/>
    </xf>
    <xf numFmtId="0" fontId="33" fillId="0" borderId="0" xfId="0" applyFont="1" applyAlignment="1">
      <alignment vertical="center" wrapText="1"/>
    </xf>
    <xf numFmtId="0" fontId="33" fillId="0" borderId="29" xfId="0" applyFont="1" applyBorder="1" applyAlignment="1">
      <alignment vertical="center" wrapText="1"/>
    </xf>
    <xf numFmtId="0" fontId="33" fillId="0" borderId="6" xfId="0" applyFont="1" applyBorder="1" applyAlignment="1">
      <alignment vertical="center" wrapText="1"/>
    </xf>
    <xf numFmtId="0" fontId="33" fillId="0" borderId="30" xfId="0" applyFont="1" applyBorder="1" applyAlignment="1">
      <alignment vertical="center" wrapText="1"/>
    </xf>
    <xf numFmtId="0" fontId="33" fillId="0" borderId="31" xfId="0" applyFont="1" applyBorder="1" applyAlignment="1">
      <alignment vertical="center" wrapText="1"/>
    </xf>
    <xf numFmtId="0" fontId="33" fillId="0" borderId="32" xfId="0" applyFont="1" applyBorder="1" applyAlignment="1">
      <alignment vertical="center" wrapText="1"/>
    </xf>
    <xf numFmtId="0" fontId="33" fillId="0" borderId="33" xfId="0" applyFont="1" applyBorder="1" applyAlignment="1">
      <alignment vertical="center" wrapText="1"/>
    </xf>
    <xf numFmtId="0" fontId="33" fillId="0" borderId="37" xfId="0" applyFont="1" applyBorder="1" applyAlignment="1">
      <alignment vertical="center" wrapText="1"/>
    </xf>
    <xf numFmtId="15" fontId="33" fillId="0" borderId="0" xfId="0" applyNumberFormat="1" applyFont="1" applyAlignment="1">
      <alignment vertical="center" wrapText="1"/>
    </xf>
    <xf numFmtId="4" fontId="33" fillId="0" borderId="0" xfId="0" applyNumberFormat="1" applyFont="1" applyAlignment="1">
      <alignment vertical="center" wrapText="1"/>
    </xf>
    <xf numFmtId="0" fontId="32" fillId="0" borderId="29" xfId="0" applyFont="1" applyBorder="1" applyAlignment="1">
      <alignment vertical="center" wrapText="1"/>
    </xf>
    <xf numFmtId="0" fontId="32" fillId="0" borderId="33" xfId="0" applyFont="1" applyBorder="1" applyAlignment="1">
      <alignment vertical="center" wrapText="1"/>
    </xf>
    <xf numFmtId="0" fontId="5" fillId="0" borderId="0" xfId="0" applyFont="1" applyAlignment="1">
      <alignment horizontal="center" vertical="top" wrapText="1"/>
    </xf>
    <xf numFmtId="0" fontId="32" fillId="0" borderId="37" xfId="0" applyFont="1" applyBorder="1" applyAlignment="1">
      <alignment vertical="center" wrapText="1"/>
    </xf>
    <xf numFmtId="0" fontId="32" fillId="0" borderId="32" xfId="0" applyFont="1" applyBorder="1" applyAlignment="1">
      <alignment vertical="center" wrapText="1"/>
    </xf>
    <xf numFmtId="0" fontId="5" fillId="0" borderId="49" xfId="0" applyFont="1" applyBorder="1" applyAlignment="1">
      <alignment horizontal="center" vertical="top" wrapText="1"/>
    </xf>
    <xf numFmtId="0" fontId="32" fillId="0" borderId="49" xfId="0" applyFont="1" applyBorder="1" applyAlignment="1">
      <alignment vertical="center" wrapText="1"/>
    </xf>
    <xf numFmtId="0" fontId="32" fillId="0" borderId="0" xfId="0" applyFont="1" applyAlignment="1">
      <alignment horizontal="center" vertical="center" wrapText="1"/>
    </xf>
    <xf numFmtId="0" fontId="32" fillId="0" borderId="18" xfId="0" applyFont="1" applyBorder="1" applyAlignment="1">
      <alignment vertical="center" wrapText="1"/>
    </xf>
    <xf numFmtId="0" fontId="32" fillId="0" borderId="50" xfId="0" applyFont="1" applyBorder="1" applyAlignment="1">
      <alignment vertical="center" wrapText="1"/>
    </xf>
    <xf numFmtId="0" fontId="32" fillId="0" borderId="51" xfId="0" applyFont="1" applyBorder="1" applyAlignment="1">
      <alignment vertical="center" wrapText="1"/>
    </xf>
    <xf numFmtId="0" fontId="32" fillId="0" borderId="52" xfId="0" applyFont="1" applyBorder="1" applyAlignment="1">
      <alignment vertical="center" wrapText="1"/>
    </xf>
    <xf numFmtId="0" fontId="5" fillId="0" borderId="52" xfId="0" applyFont="1" applyBorder="1" applyAlignment="1">
      <alignment horizontal="center" vertical="top" wrapText="1"/>
    </xf>
    <xf numFmtId="0" fontId="32" fillId="0" borderId="53" xfId="0" applyFont="1" applyBorder="1" applyAlignment="1">
      <alignment vertical="center" wrapText="1"/>
    </xf>
    <xf numFmtId="0" fontId="5" fillId="0" borderId="54" xfId="0" applyFont="1" applyBorder="1" applyAlignment="1">
      <alignment horizontal="center" vertical="top" wrapText="1"/>
    </xf>
    <xf numFmtId="0" fontId="32" fillId="0" borderId="55" xfId="0" applyFont="1" applyBorder="1" applyAlignment="1">
      <alignment vertical="center" wrapText="1"/>
    </xf>
    <xf numFmtId="0" fontId="32" fillId="0" borderId="60" xfId="0" applyFont="1" applyBorder="1" applyAlignment="1">
      <alignment vertical="center" wrapText="1"/>
    </xf>
    <xf numFmtId="0" fontId="32" fillId="0" borderId="47" xfId="0" applyFont="1" applyBorder="1" applyAlignment="1">
      <alignment vertical="center" wrapText="1"/>
    </xf>
    <xf numFmtId="0" fontId="32" fillId="0" borderId="64" xfId="0" applyFont="1" applyBorder="1" applyAlignment="1">
      <alignment vertical="center" wrapText="1"/>
    </xf>
    <xf numFmtId="0" fontId="32" fillId="0" borderId="65" xfId="0" applyFont="1" applyBorder="1" applyAlignment="1">
      <alignment vertical="center" wrapText="1"/>
    </xf>
    <xf numFmtId="0" fontId="32" fillId="0" borderId="66" xfId="0" applyFont="1" applyBorder="1" applyAlignment="1">
      <alignment vertical="center" wrapText="1"/>
    </xf>
    <xf numFmtId="0" fontId="32" fillId="0" borderId="38" xfId="0" applyFont="1" applyBorder="1" applyAlignment="1">
      <alignment vertical="center" wrapText="1"/>
    </xf>
    <xf numFmtId="0" fontId="32" fillId="0" borderId="68" xfId="0" applyFont="1" applyBorder="1" applyAlignment="1">
      <alignment vertical="center" wrapText="1"/>
    </xf>
    <xf numFmtId="0" fontId="32" fillId="0" borderId="35" xfId="0" applyFont="1" applyBorder="1" applyAlignment="1">
      <alignment vertical="center" wrapText="1"/>
    </xf>
    <xf numFmtId="0" fontId="32" fillId="0" borderId="69" xfId="0" applyFont="1" applyBorder="1" applyAlignment="1">
      <alignment vertical="center" wrapText="1"/>
    </xf>
    <xf numFmtId="0" fontId="32" fillId="0" borderId="30" xfId="0" applyFont="1" applyBorder="1" applyAlignment="1">
      <alignment vertical="center" wrapText="1"/>
    </xf>
    <xf numFmtId="0" fontId="32" fillId="0" borderId="59" xfId="0" applyFont="1" applyBorder="1" applyAlignment="1">
      <alignment vertical="center" wrapText="1"/>
    </xf>
    <xf numFmtId="15" fontId="32" fillId="0" borderId="0" xfId="0" applyNumberFormat="1" applyFont="1" applyAlignment="1">
      <alignment vertical="center" wrapText="1"/>
    </xf>
    <xf numFmtId="4" fontId="32" fillId="0" borderId="0" xfId="0" applyNumberFormat="1" applyFont="1" applyAlignment="1">
      <alignment vertical="center" wrapText="1"/>
    </xf>
    <xf numFmtId="0" fontId="32" fillId="0" borderId="70" xfId="0" applyFont="1" applyBorder="1" applyAlignment="1">
      <alignment vertical="center" wrapText="1"/>
    </xf>
    <xf numFmtId="0" fontId="32" fillId="0" borderId="7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32" fillId="0" borderId="72" xfId="0" applyFont="1" applyBorder="1" applyAlignment="1">
      <alignment vertical="center" wrapText="1"/>
    </xf>
    <xf numFmtId="0" fontId="32" fillId="0" borderId="17" xfId="0" applyFont="1" applyBorder="1" applyAlignment="1">
      <alignment vertical="center" wrapText="1"/>
    </xf>
    <xf numFmtId="0" fontId="32" fillId="0" borderId="73" xfId="0" applyFont="1" applyBorder="1" applyAlignment="1">
      <alignment vertical="center" wrapText="1"/>
    </xf>
    <xf numFmtId="0" fontId="32" fillId="0" borderId="74" xfId="0" applyFont="1" applyBorder="1" applyAlignment="1">
      <alignment vertical="center" wrapText="1"/>
    </xf>
    <xf numFmtId="0" fontId="32" fillId="0" borderId="75" xfId="0" applyFont="1" applyBorder="1" applyAlignment="1">
      <alignment vertical="center" wrapText="1"/>
    </xf>
    <xf numFmtId="0" fontId="32" fillId="0" borderId="25" xfId="0" applyFont="1" applyBorder="1" applyAlignment="1">
      <alignment vertical="center" wrapText="1"/>
    </xf>
    <xf numFmtId="0" fontId="32" fillId="0" borderId="76" xfId="0" applyFont="1" applyBorder="1" applyAlignment="1">
      <alignment vertical="center" wrapText="1"/>
    </xf>
    <xf numFmtId="0" fontId="32" fillId="0" borderId="77" xfId="0" applyFont="1" applyBorder="1" applyAlignment="1">
      <alignment vertical="center" wrapText="1"/>
    </xf>
    <xf numFmtId="0" fontId="32" fillId="0" borderId="46" xfId="0" applyFont="1" applyBorder="1" applyAlignment="1">
      <alignment vertical="center" wrapText="1"/>
    </xf>
    <xf numFmtId="0" fontId="32" fillId="0" borderId="67" xfId="0" applyFont="1" applyBorder="1" applyAlignment="1">
      <alignment vertical="center" wrapText="1"/>
    </xf>
    <xf numFmtId="0" fontId="32" fillId="0" borderId="86" xfId="0" applyFont="1" applyBorder="1" applyAlignment="1">
      <alignment vertical="center" wrapText="1"/>
    </xf>
    <xf numFmtId="0" fontId="32" fillId="0" borderId="87" xfId="0" applyFont="1" applyBorder="1" applyAlignment="1">
      <alignment vertical="center" wrapText="1"/>
    </xf>
    <xf numFmtId="0" fontId="32" fillId="0" borderId="88" xfId="0" applyFont="1" applyBorder="1" applyAlignment="1">
      <alignment vertical="center" wrapText="1"/>
    </xf>
    <xf numFmtId="0" fontId="40" fillId="0" borderId="9" xfId="0" applyFont="1" applyBorder="1" applyAlignment="1">
      <alignment horizontal="center" vertical="center" wrapText="1"/>
    </xf>
    <xf numFmtId="14" fontId="23" fillId="0" borderId="12" xfId="0" applyNumberFormat="1" applyFont="1" applyBorder="1" applyAlignment="1">
      <alignment horizontal="left" vertical="center"/>
    </xf>
    <xf numFmtId="0" fontId="3" fillId="0" borderId="13" xfId="0" applyFont="1" applyBorder="1" applyAlignment="1">
      <alignment horizontal="center"/>
    </xf>
    <xf numFmtId="14" fontId="15" fillId="3" borderId="12" xfId="0" applyNumberFormat="1" applyFont="1" applyFill="1" applyBorder="1" applyAlignment="1">
      <alignment horizontal="left" vertical="center"/>
    </xf>
    <xf numFmtId="15" fontId="19" fillId="0" borderId="13" xfId="0" applyNumberFormat="1" applyFont="1" applyBorder="1" applyAlignment="1">
      <alignment horizontal="center" vertical="center"/>
    </xf>
    <xf numFmtId="0" fontId="43" fillId="0" borderId="0" xfId="0" applyFont="1"/>
    <xf numFmtId="0" fontId="22" fillId="0" borderId="0" xfId="0" applyFont="1" applyAlignment="1">
      <alignment horizontal="center" vertical="center"/>
    </xf>
    <xf numFmtId="0" fontId="15" fillId="3" borderId="12" xfId="0" applyFont="1" applyFill="1" applyBorder="1" applyAlignment="1">
      <alignment horizontal="center"/>
    </xf>
    <xf numFmtId="0" fontId="44" fillId="0" borderId="13" xfId="0" applyFont="1" applyBorder="1" applyAlignment="1">
      <alignment horizontal="center" vertical="center"/>
    </xf>
    <xf numFmtId="0" fontId="15" fillId="3" borderId="13" xfId="0" applyFont="1" applyFill="1" applyBorder="1" applyAlignment="1">
      <alignment horizontal="center"/>
    </xf>
    <xf numFmtId="0" fontId="10" fillId="5" borderId="12" xfId="1" quotePrefix="1" applyFont="1" applyFill="1" applyBorder="1" applyAlignment="1">
      <alignment horizontal="left" vertical="center"/>
    </xf>
    <xf numFmtId="0" fontId="14" fillId="0" borderId="13" xfId="1" applyFont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14" fontId="14" fillId="0" borderId="12" xfId="0" applyNumberFormat="1" applyFont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7" fillId="2" borderId="89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/>
    </xf>
    <xf numFmtId="0" fontId="14" fillId="0" borderId="90" xfId="0" applyFont="1" applyBorder="1" applyAlignment="1">
      <alignment horizontal="center" vertical="center"/>
    </xf>
    <xf numFmtId="0" fontId="14" fillId="0" borderId="67" xfId="1" applyFont="1" applyBorder="1" applyAlignment="1">
      <alignment horizontal="center" vertical="center"/>
    </xf>
    <xf numFmtId="0" fontId="14" fillId="0" borderId="91" xfId="0" applyFont="1" applyBorder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0" fontId="22" fillId="10" borderId="0" xfId="0" applyFont="1" applyFill="1" applyAlignment="1">
      <alignment horizontal="left" vertical="center"/>
    </xf>
    <xf numFmtId="0" fontId="22" fillId="10" borderId="0" xfId="0" applyFont="1" applyFill="1" applyAlignment="1">
      <alignment vertical="center"/>
    </xf>
    <xf numFmtId="0" fontId="43" fillId="10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10" borderId="11" xfId="0" applyFont="1" applyFill="1" applyBorder="1" applyAlignment="1">
      <alignment horizontal="center" vertical="center"/>
    </xf>
    <xf numFmtId="0" fontId="22" fillId="10" borderId="12" xfId="0" applyFont="1" applyFill="1" applyBorder="1" applyAlignment="1">
      <alignment horizontal="center" vertical="center"/>
    </xf>
    <xf numFmtId="0" fontId="22" fillId="10" borderId="12" xfId="0" applyFont="1" applyFill="1" applyBorder="1" applyAlignment="1">
      <alignment horizontal="center" vertical="center" wrapText="1"/>
    </xf>
    <xf numFmtId="0" fontId="22" fillId="10" borderId="12" xfId="0" applyFont="1" applyFill="1" applyBorder="1" applyAlignment="1">
      <alignment vertical="center"/>
    </xf>
    <xf numFmtId="0" fontId="22" fillId="10" borderId="12" xfId="0" applyFont="1" applyFill="1" applyBorder="1" applyAlignment="1">
      <alignment vertical="center" wrapText="1"/>
    </xf>
    <xf numFmtId="0" fontId="22" fillId="10" borderId="12" xfId="0" applyFont="1" applyFill="1" applyBorder="1" applyAlignment="1">
      <alignment horizontal="center"/>
    </xf>
    <xf numFmtId="0" fontId="22" fillId="10" borderId="91" xfId="0" applyFont="1" applyFill="1" applyBorder="1" applyAlignment="1">
      <alignment horizontal="center" vertical="center"/>
    </xf>
    <xf numFmtId="0" fontId="22" fillId="10" borderId="13" xfId="0" applyFont="1" applyFill="1" applyBorder="1" applyAlignment="1">
      <alignment horizontal="center"/>
    </xf>
    <xf numFmtId="0" fontId="43" fillId="10" borderId="0" xfId="0" applyFont="1" applyFill="1"/>
    <xf numFmtId="0" fontId="4" fillId="10" borderId="12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 wrapText="1"/>
    </xf>
    <xf numFmtId="0" fontId="4" fillId="10" borderId="12" xfId="0" applyFont="1" applyFill="1" applyBorder="1" applyAlignment="1">
      <alignment vertical="center"/>
    </xf>
    <xf numFmtId="0" fontId="46" fillId="10" borderId="12" xfId="0" applyFont="1" applyFill="1" applyBorder="1" applyAlignment="1">
      <alignment horizontal="center" vertical="center"/>
    </xf>
    <xf numFmtId="0" fontId="46" fillId="10" borderId="91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/>
    </xf>
    <xf numFmtId="0" fontId="4" fillId="10" borderId="0" xfId="0" applyFont="1" applyFill="1" applyAlignment="1">
      <alignment vertical="center"/>
    </xf>
    <xf numFmtId="0" fontId="47" fillId="10" borderId="12" xfId="0" applyFont="1" applyFill="1" applyBorder="1" applyAlignment="1">
      <alignment horizontal="center" vertical="center"/>
    </xf>
    <xf numFmtId="0" fontId="47" fillId="10" borderId="12" xfId="0" applyFont="1" applyFill="1" applyBorder="1" applyAlignment="1">
      <alignment vertical="center"/>
    </xf>
    <xf numFmtId="0" fontId="48" fillId="3" borderId="12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 vertical="center"/>
    </xf>
    <xf numFmtId="0" fontId="32" fillId="4" borderId="0" xfId="0" applyFont="1" applyFill="1" applyAlignment="1">
      <alignment vertical="center" wrapText="1"/>
    </xf>
    <xf numFmtId="0" fontId="34" fillId="0" borderId="34" xfId="0" applyFont="1" applyBorder="1" applyAlignment="1">
      <alignment horizontal="center" vertical="center" wrapText="1"/>
    </xf>
    <xf numFmtId="0" fontId="34" fillId="0" borderId="35" xfId="0" applyFont="1" applyBorder="1" applyAlignment="1">
      <alignment horizontal="center" vertical="center" wrapText="1"/>
    </xf>
    <xf numFmtId="0" fontId="34" fillId="0" borderId="36" xfId="0" applyFont="1" applyBorder="1" applyAlignment="1">
      <alignment horizontal="center" vertical="center" wrapText="1"/>
    </xf>
    <xf numFmtId="0" fontId="34" fillId="0" borderId="38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0" borderId="39" xfId="0" applyFont="1" applyBorder="1" applyAlignment="1">
      <alignment horizontal="center" vertical="center" wrapText="1"/>
    </xf>
    <xf numFmtId="0" fontId="34" fillId="0" borderId="40" xfId="0" applyFont="1" applyBorder="1" applyAlignment="1">
      <alignment horizontal="center" vertical="center" wrapText="1"/>
    </xf>
    <xf numFmtId="0" fontId="34" fillId="0" borderId="41" xfId="0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5" fillId="0" borderId="63" xfId="0" applyFont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 wrapText="1"/>
    </xf>
    <xf numFmtId="0" fontId="32" fillId="0" borderId="12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2" fillId="0" borderId="37" xfId="0" applyFont="1" applyBorder="1" applyAlignment="1">
      <alignment horizontal="center" vertical="center" wrapText="1"/>
    </xf>
    <xf numFmtId="0" fontId="32" fillId="0" borderId="46" xfId="0" applyFont="1" applyBorder="1" applyAlignment="1">
      <alignment horizontal="center" vertical="center" wrapText="1"/>
    </xf>
    <xf numFmtId="0" fontId="32" fillId="0" borderId="47" xfId="0" applyFont="1" applyBorder="1" applyAlignment="1">
      <alignment horizontal="center" vertical="center" wrapText="1"/>
    </xf>
    <xf numFmtId="0" fontId="32" fillId="0" borderId="67" xfId="0" applyFont="1" applyBorder="1" applyAlignment="1">
      <alignment horizontal="center" vertical="center" wrapText="1"/>
    </xf>
    <xf numFmtId="0" fontId="32" fillId="4" borderId="6" xfId="0" applyFont="1" applyFill="1" applyBorder="1" applyAlignment="1">
      <alignment horizontal="center" vertical="center" wrapText="1"/>
    </xf>
    <xf numFmtId="0" fontId="32" fillId="4" borderId="30" xfId="0" applyFont="1" applyFill="1" applyBorder="1" applyAlignment="1">
      <alignment horizontal="center" vertical="center" wrapText="1"/>
    </xf>
    <xf numFmtId="0" fontId="32" fillId="4" borderId="31" xfId="0" applyFont="1" applyFill="1" applyBorder="1" applyAlignment="1">
      <alignment horizontal="center" vertical="center" wrapText="1"/>
    </xf>
    <xf numFmtId="0" fontId="32" fillId="4" borderId="33" xfId="0" applyFont="1" applyFill="1" applyBorder="1" applyAlignment="1">
      <alignment horizontal="center" vertical="center" wrapText="1"/>
    </xf>
    <xf numFmtId="0" fontId="32" fillId="4" borderId="0" xfId="0" applyFont="1" applyFill="1" applyAlignment="1">
      <alignment horizontal="center" vertical="center" wrapText="1"/>
    </xf>
    <xf numFmtId="0" fontId="32" fillId="4" borderId="37" xfId="0" applyFont="1" applyFill="1" applyBorder="1" applyAlignment="1">
      <alignment horizontal="center" vertical="center" wrapText="1"/>
    </xf>
    <xf numFmtId="0" fontId="32" fillId="4" borderId="46" xfId="0" applyFont="1" applyFill="1" applyBorder="1" applyAlignment="1">
      <alignment horizontal="center" vertical="center" wrapText="1"/>
    </xf>
    <xf numFmtId="0" fontId="32" fillId="4" borderId="47" xfId="0" applyFont="1" applyFill="1" applyBorder="1" applyAlignment="1">
      <alignment horizontal="center" vertical="center" wrapText="1"/>
    </xf>
    <xf numFmtId="0" fontId="32" fillId="4" borderId="67" xfId="0" applyFont="1" applyFill="1" applyBorder="1" applyAlignment="1">
      <alignment horizontal="center" vertical="center" wrapText="1"/>
    </xf>
    <xf numFmtId="0" fontId="36" fillId="0" borderId="56" xfId="0" applyFont="1" applyBorder="1" applyAlignment="1">
      <alignment horizontal="center" vertical="center" wrapText="1"/>
    </xf>
    <xf numFmtId="0" fontId="32" fillId="0" borderId="57" xfId="0" applyFont="1" applyBorder="1" applyAlignment="1">
      <alignment horizontal="center" vertical="center" wrapText="1"/>
    </xf>
    <xf numFmtId="0" fontId="32" fillId="0" borderId="58" xfId="0" applyFont="1" applyBorder="1" applyAlignment="1">
      <alignment horizontal="center" vertical="center" wrapText="1"/>
    </xf>
    <xf numFmtId="0" fontId="32" fillId="0" borderId="59" xfId="0" applyFont="1" applyBorder="1" applyAlignment="1">
      <alignment horizontal="center" vertical="center" wrapText="1"/>
    </xf>
    <xf numFmtId="0" fontId="32" fillId="0" borderId="45" xfId="0" applyFont="1" applyBorder="1" applyAlignment="1">
      <alignment horizontal="center" vertical="center" wrapText="1"/>
    </xf>
    <xf numFmtId="0" fontId="32" fillId="0" borderId="61" xfId="0" applyFont="1" applyBorder="1" applyAlignment="1">
      <alignment horizontal="center" vertical="center" wrapText="1"/>
    </xf>
    <xf numFmtId="0" fontId="32" fillId="0" borderId="62" xfId="0" applyFont="1" applyBorder="1" applyAlignment="1">
      <alignment horizontal="center" vertical="center" wrapText="1"/>
    </xf>
    <xf numFmtId="0" fontId="32" fillId="0" borderId="63" xfId="0" applyFont="1" applyBorder="1" applyAlignment="1">
      <alignment horizontal="center" vertical="center" wrapText="1"/>
    </xf>
    <xf numFmtId="0" fontId="32" fillId="0" borderId="44" xfId="0" applyFont="1" applyBorder="1" applyAlignment="1">
      <alignment horizontal="center" vertical="center" wrapText="1"/>
    </xf>
    <xf numFmtId="1" fontId="5" fillId="8" borderId="6" xfId="0" applyNumberFormat="1" applyFont="1" applyFill="1" applyBorder="1" applyAlignment="1">
      <alignment horizontal="center" vertical="center" wrapText="1"/>
    </xf>
    <xf numFmtId="1" fontId="5" fillId="8" borderId="30" xfId="0" applyNumberFormat="1" applyFont="1" applyFill="1" applyBorder="1" applyAlignment="1">
      <alignment horizontal="center" vertical="center" wrapText="1"/>
    </xf>
    <xf numFmtId="1" fontId="5" fillId="8" borderId="31" xfId="0" applyNumberFormat="1" applyFont="1" applyFill="1" applyBorder="1" applyAlignment="1">
      <alignment horizontal="center" vertical="center" wrapText="1"/>
    </xf>
    <xf numFmtId="1" fontId="5" fillId="8" borderId="33" xfId="0" applyNumberFormat="1" applyFont="1" applyFill="1" applyBorder="1" applyAlignment="1">
      <alignment horizontal="center" vertical="center" wrapText="1"/>
    </xf>
    <xf numFmtId="1" fontId="5" fillId="8" borderId="0" xfId="0" applyNumberFormat="1" applyFont="1" applyFill="1" applyAlignment="1">
      <alignment horizontal="center" vertical="center" wrapText="1"/>
    </xf>
    <xf numFmtId="1" fontId="5" fillId="8" borderId="37" xfId="0" applyNumberFormat="1" applyFont="1" applyFill="1" applyBorder="1" applyAlignment="1">
      <alignment horizontal="center" vertical="center" wrapText="1"/>
    </xf>
    <xf numFmtId="1" fontId="5" fillId="8" borderId="46" xfId="0" applyNumberFormat="1" applyFont="1" applyFill="1" applyBorder="1" applyAlignment="1">
      <alignment horizontal="center" vertical="center" wrapText="1"/>
    </xf>
    <xf numFmtId="1" fontId="5" fillId="8" borderId="47" xfId="0" applyNumberFormat="1" applyFont="1" applyFill="1" applyBorder="1" applyAlignment="1">
      <alignment horizontal="center" vertical="center" wrapText="1"/>
    </xf>
    <xf numFmtId="1" fontId="5" fillId="8" borderId="67" xfId="0" applyNumberFormat="1" applyFont="1" applyFill="1" applyBorder="1" applyAlignment="1">
      <alignment horizontal="center" vertical="center" wrapText="1"/>
    </xf>
    <xf numFmtId="0" fontId="32" fillId="0" borderId="43" xfId="0" applyFont="1" applyBorder="1" applyAlignment="1">
      <alignment horizontal="center" vertical="center" wrapText="1"/>
    </xf>
    <xf numFmtId="0" fontId="32" fillId="0" borderId="48" xfId="0" applyFont="1" applyBorder="1" applyAlignment="1">
      <alignment horizontal="center" vertical="center" wrapText="1"/>
    </xf>
    <xf numFmtId="0" fontId="32" fillId="0" borderId="56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67" xfId="0" applyFont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9" borderId="30" xfId="0" applyFont="1" applyFill="1" applyBorder="1" applyAlignment="1">
      <alignment horizontal="center" vertical="center" wrapText="1"/>
    </xf>
    <xf numFmtId="0" fontId="5" fillId="9" borderId="31" xfId="0" applyFont="1" applyFill="1" applyBorder="1" applyAlignment="1">
      <alignment horizontal="center" vertical="center" wrapText="1"/>
    </xf>
    <xf numFmtId="0" fontId="5" fillId="9" borderId="33" xfId="0" applyFont="1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5" fillId="9" borderId="37" xfId="0" applyFont="1" applyFill="1" applyBorder="1" applyAlignment="1">
      <alignment horizontal="center" vertical="center" wrapText="1"/>
    </xf>
    <xf numFmtId="0" fontId="5" fillId="9" borderId="46" xfId="0" applyFont="1" applyFill="1" applyBorder="1" applyAlignment="1">
      <alignment horizontal="center" vertical="center" wrapText="1"/>
    </xf>
    <xf numFmtId="0" fontId="5" fillId="9" borderId="47" xfId="0" applyFont="1" applyFill="1" applyBorder="1" applyAlignment="1">
      <alignment horizontal="center" vertical="center" wrapText="1"/>
    </xf>
    <xf numFmtId="0" fontId="5" fillId="9" borderId="67" xfId="0" applyFont="1" applyFill="1" applyBorder="1" applyAlignment="1">
      <alignment horizontal="center" vertical="center" wrapText="1"/>
    </xf>
    <xf numFmtId="0" fontId="32" fillId="10" borderId="6" xfId="0" applyFont="1" applyFill="1" applyBorder="1" applyAlignment="1">
      <alignment horizontal="center" vertical="center" wrapText="1"/>
    </xf>
    <xf numFmtId="0" fontId="32" fillId="10" borderId="30" xfId="0" applyFont="1" applyFill="1" applyBorder="1" applyAlignment="1">
      <alignment horizontal="center" vertical="center" wrapText="1"/>
    </xf>
    <xf numFmtId="0" fontId="32" fillId="10" borderId="31" xfId="0" applyFont="1" applyFill="1" applyBorder="1" applyAlignment="1">
      <alignment horizontal="center" vertical="center" wrapText="1"/>
    </xf>
    <xf numFmtId="0" fontId="32" fillId="10" borderId="33" xfId="0" applyFont="1" applyFill="1" applyBorder="1" applyAlignment="1">
      <alignment horizontal="center" vertical="center" wrapText="1"/>
    </xf>
    <xf numFmtId="0" fontId="32" fillId="10" borderId="0" xfId="0" applyFont="1" applyFill="1" applyAlignment="1">
      <alignment horizontal="center" vertical="center" wrapText="1"/>
    </xf>
    <xf numFmtId="0" fontId="32" fillId="10" borderId="37" xfId="0" applyFont="1" applyFill="1" applyBorder="1" applyAlignment="1">
      <alignment horizontal="center" vertical="center" wrapText="1"/>
    </xf>
    <xf numFmtId="0" fontId="32" fillId="10" borderId="46" xfId="0" applyFont="1" applyFill="1" applyBorder="1" applyAlignment="1">
      <alignment horizontal="center" vertical="center" wrapText="1"/>
    </xf>
    <xf numFmtId="0" fontId="32" fillId="10" borderId="47" xfId="0" applyFont="1" applyFill="1" applyBorder="1" applyAlignment="1">
      <alignment horizontal="center" vertical="center" wrapText="1"/>
    </xf>
    <xf numFmtId="0" fontId="32" fillId="10" borderId="67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5" fillId="10" borderId="30" xfId="0" applyFont="1" applyFill="1" applyBorder="1" applyAlignment="1">
      <alignment horizontal="center" vertical="center" wrapText="1"/>
    </xf>
    <xf numFmtId="0" fontId="5" fillId="10" borderId="31" xfId="0" applyFont="1" applyFill="1" applyBorder="1" applyAlignment="1">
      <alignment horizontal="center" vertical="center" wrapText="1"/>
    </xf>
    <xf numFmtId="0" fontId="5" fillId="10" borderId="33" xfId="0" applyFont="1" applyFill="1" applyBorder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0" fontId="5" fillId="10" borderId="37" xfId="0" applyFont="1" applyFill="1" applyBorder="1" applyAlignment="1">
      <alignment horizontal="center" vertical="center" wrapText="1"/>
    </xf>
    <xf numFmtId="0" fontId="5" fillId="10" borderId="46" xfId="0" applyFont="1" applyFill="1" applyBorder="1" applyAlignment="1">
      <alignment horizontal="center" vertical="center" wrapText="1"/>
    </xf>
    <xf numFmtId="0" fontId="5" fillId="10" borderId="47" xfId="0" applyFont="1" applyFill="1" applyBorder="1" applyAlignment="1">
      <alignment horizontal="center" vertical="center" wrapText="1"/>
    </xf>
    <xf numFmtId="0" fontId="5" fillId="10" borderId="67" xfId="0" applyFont="1" applyFill="1" applyBorder="1" applyAlignment="1">
      <alignment horizontal="center" vertical="center" wrapText="1"/>
    </xf>
    <xf numFmtId="0" fontId="40" fillId="0" borderId="51" xfId="0" applyFont="1" applyBorder="1" applyAlignment="1">
      <alignment horizontal="center" vertical="center" wrapText="1"/>
    </xf>
    <xf numFmtId="0" fontId="40" fillId="0" borderId="52" xfId="0" applyFont="1" applyBorder="1" applyAlignment="1">
      <alignment horizontal="center" vertical="center" wrapText="1"/>
    </xf>
    <xf numFmtId="0" fontId="40" fillId="0" borderId="53" xfId="0" applyFont="1" applyBorder="1" applyAlignment="1">
      <alignment horizontal="center" vertical="center" wrapText="1"/>
    </xf>
    <xf numFmtId="0" fontId="40" fillId="0" borderId="49" xfId="0" applyFont="1" applyBorder="1" applyAlignment="1">
      <alignment horizontal="center" vertical="center" wrapText="1"/>
    </xf>
    <xf numFmtId="0" fontId="40" fillId="0" borderId="50" xfId="0" applyFont="1" applyBorder="1" applyAlignment="1">
      <alignment horizontal="center" vertical="center" wrapText="1"/>
    </xf>
    <xf numFmtId="0" fontId="40" fillId="0" borderId="17" xfId="0" applyFont="1" applyBorder="1" applyAlignment="1">
      <alignment horizontal="center" vertical="center" wrapText="1"/>
    </xf>
    <xf numFmtId="0" fontId="40" fillId="0" borderId="18" xfId="0" applyFont="1" applyBorder="1" applyAlignment="1">
      <alignment horizontal="center" vertical="center" wrapText="1"/>
    </xf>
    <xf numFmtId="0" fontId="40" fillId="0" borderId="21" xfId="0" applyFont="1" applyBorder="1" applyAlignment="1">
      <alignment horizontal="center" vertical="center" wrapText="1"/>
    </xf>
    <xf numFmtId="0" fontId="41" fillId="11" borderId="78" xfId="0" applyFont="1" applyFill="1" applyBorder="1" applyAlignment="1">
      <alignment horizontal="center" vertical="center" wrapText="1"/>
    </xf>
    <xf numFmtId="0" fontId="41" fillId="11" borderId="79" xfId="0" applyFont="1" applyFill="1" applyBorder="1" applyAlignment="1">
      <alignment horizontal="center" vertical="center" wrapText="1"/>
    </xf>
    <xf numFmtId="0" fontId="41" fillId="11" borderId="80" xfId="0" applyFont="1" applyFill="1" applyBorder="1" applyAlignment="1">
      <alignment horizontal="center" vertical="center" wrapText="1"/>
    </xf>
    <xf numFmtId="0" fontId="41" fillId="11" borderId="81" xfId="0" applyFont="1" applyFill="1" applyBorder="1" applyAlignment="1">
      <alignment horizontal="center" vertical="center" wrapText="1"/>
    </xf>
    <xf numFmtId="0" fontId="41" fillId="11" borderId="0" xfId="0" applyFont="1" applyFill="1" applyAlignment="1">
      <alignment horizontal="center" vertical="center" wrapText="1"/>
    </xf>
    <xf numFmtId="0" fontId="41" fillId="11" borderId="82" xfId="0" applyFont="1" applyFill="1" applyBorder="1" applyAlignment="1">
      <alignment horizontal="center" vertical="center" wrapText="1"/>
    </xf>
    <xf numFmtId="0" fontId="41" fillId="11" borderId="83" xfId="0" applyFont="1" applyFill="1" applyBorder="1" applyAlignment="1">
      <alignment horizontal="center" vertical="center" wrapText="1"/>
    </xf>
    <xf numFmtId="0" fontId="41" fillId="11" borderId="84" xfId="0" applyFont="1" applyFill="1" applyBorder="1" applyAlignment="1">
      <alignment horizontal="center" vertical="center" wrapText="1"/>
    </xf>
    <xf numFmtId="0" fontId="41" fillId="11" borderId="85" xfId="0" applyFont="1" applyFill="1" applyBorder="1" applyAlignment="1">
      <alignment horizontal="center" vertical="center" wrapText="1"/>
    </xf>
    <xf numFmtId="1" fontId="42" fillId="12" borderId="78" xfId="0" applyNumberFormat="1" applyFont="1" applyFill="1" applyBorder="1" applyAlignment="1">
      <alignment horizontal="center" vertical="center" wrapText="1"/>
    </xf>
    <xf numFmtId="1" fontId="42" fillId="12" borderId="79" xfId="0" applyNumberFormat="1" applyFont="1" applyFill="1" applyBorder="1" applyAlignment="1">
      <alignment horizontal="center" vertical="center" wrapText="1"/>
    </xf>
    <xf numFmtId="1" fontId="42" fillId="12" borderId="80" xfId="0" applyNumberFormat="1" applyFont="1" applyFill="1" applyBorder="1" applyAlignment="1">
      <alignment horizontal="center" vertical="center" wrapText="1"/>
    </xf>
    <xf numFmtId="1" fontId="42" fillId="12" borderId="81" xfId="0" applyNumberFormat="1" applyFont="1" applyFill="1" applyBorder="1" applyAlignment="1">
      <alignment horizontal="center" vertical="center" wrapText="1"/>
    </xf>
    <xf numFmtId="1" fontId="42" fillId="12" borderId="0" xfId="0" applyNumberFormat="1" applyFont="1" applyFill="1" applyAlignment="1">
      <alignment horizontal="center" vertical="center" wrapText="1"/>
    </xf>
    <xf numFmtId="1" fontId="42" fillId="12" borderId="82" xfId="0" applyNumberFormat="1" applyFont="1" applyFill="1" applyBorder="1" applyAlignment="1">
      <alignment horizontal="center" vertical="center" wrapText="1"/>
    </xf>
    <xf numFmtId="1" fontId="42" fillId="12" borderId="83" xfId="0" applyNumberFormat="1" applyFont="1" applyFill="1" applyBorder="1" applyAlignment="1">
      <alignment horizontal="center" vertical="center" wrapText="1"/>
    </xf>
    <xf numFmtId="1" fontId="42" fillId="12" borderId="84" xfId="0" applyNumberFormat="1" applyFont="1" applyFill="1" applyBorder="1" applyAlignment="1">
      <alignment horizontal="center" vertical="center" wrapText="1"/>
    </xf>
    <xf numFmtId="1" fontId="42" fillId="12" borderId="85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</cellXfs>
  <cellStyles count="2">
    <cellStyle name="Normal" xfId="0" builtinId="0"/>
    <cellStyle name="Normal 4" xfId="1" xr:uid="{6DD52885-EA51-48B9-B4B9-86D88DDCCFC2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57149</xdr:colOff>
      <xdr:row>4</xdr:row>
      <xdr:rowOff>40821</xdr:rowOff>
    </xdr:from>
    <xdr:to>
      <xdr:col>27</xdr:col>
      <xdr:colOff>31749</xdr:colOff>
      <xdr:row>13</xdr:row>
      <xdr:rowOff>111578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6EA0B6-F672-459E-BE6A-17EB71E4C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9" y="269421"/>
          <a:ext cx="1285875" cy="10994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4"/>
  <sheetViews>
    <sheetView topLeftCell="A40" zoomScale="70" zoomScaleNormal="70" workbookViewId="0">
      <selection activeCell="E13" sqref="E13"/>
    </sheetView>
  </sheetViews>
  <sheetFormatPr defaultColWidth="9" defaultRowHeight="15.6" x14ac:dyDescent="0.3"/>
  <cols>
    <col min="1" max="1" width="9.5546875" style="131" bestFit="1" customWidth="1"/>
    <col min="2" max="2" width="11.5546875" style="131" customWidth="1"/>
    <col min="3" max="3" width="60.77734375" style="132" customWidth="1"/>
    <col min="4" max="4" width="16.77734375" style="131" customWidth="1"/>
    <col min="5" max="5" width="19.5546875" style="131" customWidth="1"/>
    <col min="6" max="6" width="21.77734375" style="131" customWidth="1"/>
    <col min="7" max="7" width="50.77734375" style="1" customWidth="1"/>
    <col min="8" max="8" width="19" style="131" bestFit="1" customWidth="1"/>
    <col min="9" max="9" width="31.5546875" style="131" customWidth="1"/>
    <col min="10" max="10" width="13.77734375" style="131" customWidth="1"/>
    <col min="11" max="12" width="21.77734375" style="131" customWidth="1"/>
    <col min="13" max="13" width="46" style="133" customWidth="1"/>
    <col min="14" max="16384" width="9" style="1"/>
  </cols>
  <sheetData>
    <row r="1" spans="1:13" ht="16.2" thickBot="1" x14ac:dyDescent="0.35">
      <c r="A1" s="372"/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3"/>
    </row>
    <row r="2" spans="1:13" ht="17.399999999999999" x14ac:dyDescent="0.3">
      <c r="A2" s="374" t="s">
        <v>0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6"/>
    </row>
    <row r="3" spans="1:13" ht="31.8" thickBot="1" x14ac:dyDescent="0.35">
      <c r="A3" s="2" t="s">
        <v>1</v>
      </c>
      <c r="B3" s="3" t="s">
        <v>2</v>
      </c>
      <c r="C3" s="4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5" t="s">
        <v>12</v>
      </c>
      <c r="M3" s="6" t="s">
        <v>13</v>
      </c>
    </row>
    <row r="4" spans="1:13" s="12" customFormat="1" x14ac:dyDescent="0.3">
      <c r="A4" s="7" t="s">
        <v>14</v>
      </c>
      <c r="B4" s="8">
        <f>SUM(B5:B19)</f>
        <v>13</v>
      </c>
      <c r="C4" s="9" t="s">
        <v>15</v>
      </c>
      <c r="D4" s="10"/>
      <c r="E4" s="10"/>
      <c r="F4" s="194"/>
      <c r="G4" s="10"/>
      <c r="H4" s="10"/>
      <c r="I4" s="10"/>
      <c r="J4" s="8">
        <f>SUM(J5:J19)</f>
        <v>15</v>
      </c>
      <c r="K4" s="8"/>
      <c r="L4" s="8"/>
      <c r="M4" s="11"/>
    </row>
    <row r="5" spans="1:13" s="21" customFormat="1" x14ac:dyDescent="0.3">
      <c r="A5" s="13">
        <v>1</v>
      </c>
      <c r="B5" s="14">
        <v>1</v>
      </c>
      <c r="C5" s="15" t="s">
        <v>16</v>
      </c>
      <c r="D5" s="16">
        <v>1755871</v>
      </c>
      <c r="E5" s="16">
        <v>1079482038</v>
      </c>
      <c r="F5" s="16">
        <v>8715773</v>
      </c>
      <c r="G5" s="17" t="s">
        <v>322</v>
      </c>
      <c r="H5" s="18" t="s">
        <v>17</v>
      </c>
      <c r="I5" s="19" t="s">
        <v>18</v>
      </c>
      <c r="J5" s="19">
        <v>1</v>
      </c>
      <c r="K5" s="19" t="s">
        <v>19</v>
      </c>
      <c r="L5" s="19" t="s">
        <v>20</v>
      </c>
      <c r="M5" s="20"/>
    </row>
    <row r="6" spans="1:13" s="21" customFormat="1" x14ac:dyDescent="0.3">
      <c r="A6" s="13">
        <f>A5+1</f>
        <v>2</v>
      </c>
      <c r="B6" s="19">
        <v>1</v>
      </c>
      <c r="C6" s="22" t="s">
        <v>21</v>
      </c>
      <c r="D6" s="19">
        <v>1755537</v>
      </c>
      <c r="E6" s="19">
        <v>2562390142</v>
      </c>
      <c r="F6" s="19">
        <v>8681657</v>
      </c>
      <c r="G6" s="23" t="s">
        <v>22</v>
      </c>
      <c r="H6" s="19" t="s">
        <v>23</v>
      </c>
      <c r="I6" s="24" t="s">
        <v>18</v>
      </c>
      <c r="J6" s="24">
        <v>1</v>
      </c>
      <c r="K6" s="24" t="s">
        <v>19</v>
      </c>
      <c r="L6" s="19" t="s">
        <v>20</v>
      </c>
      <c r="M6" s="25"/>
    </row>
    <row r="7" spans="1:13" s="21" customFormat="1" x14ac:dyDescent="0.3">
      <c r="A7" s="13">
        <f t="shared" ref="A7:A54" si="0">A6+1</f>
        <v>3</v>
      </c>
      <c r="B7" s="19">
        <v>1</v>
      </c>
      <c r="C7" s="195" t="s">
        <v>24</v>
      </c>
      <c r="D7" s="19">
        <v>1756509</v>
      </c>
      <c r="E7" s="19">
        <v>1101706016</v>
      </c>
      <c r="F7" s="19">
        <v>7228394</v>
      </c>
      <c r="G7" s="27" t="s">
        <v>323</v>
      </c>
      <c r="H7" s="18" t="s">
        <v>17</v>
      </c>
      <c r="I7" s="28" t="s">
        <v>18</v>
      </c>
      <c r="J7" s="28">
        <v>1</v>
      </c>
      <c r="K7" s="28" t="s">
        <v>19</v>
      </c>
      <c r="L7" s="19" t="s">
        <v>20</v>
      </c>
      <c r="M7" s="196"/>
    </row>
    <row r="8" spans="1:13" s="21" customFormat="1" x14ac:dyDescent="0.3">
      <c r="A8" s="41"/>
      <c r="B8" s="42"/>
      <c r="C8" s="197" t="s">
        <v>25</v>
      </c>
      <c r="D8" s="42">
        <v>9604216</v>
      </c>
      <c r="E8" s="42">
        <v>2558774101</v>
      </c>
      <c r="F8" s="42">
        <v>8647204</v>
      </c>
      <c r="G8" s="45" t="s">
        <v>26</v>
      </c>
      <c r="H8" s="42" t="s">
        <v>27</v>
      </c>
      <c r="I8" s="42" t="s">
        <v>28</v>
      </c>
      <c r="J8" s="42">
        <v>1</v>
      </c>
      <c r="K8" s="42" t="s">
        <v>19</v>
      </c>
      <c r="L8" s="42" t="s">
        <v>20</v>
      </c>
      <c r="M8" s="47"/>
    </row>
    <row r="9" spans="1:13" s="21" customFormat="1" x14ac:dyDescent="0.3">
      <c r="A9" s="13">
        <f>A7+1</f>
        <v>4</v>
      </c>
      <c r="B9" s="19">
        <v>1</v>
      </c>
      <c r="C9" s="26" t="s">
        <v>29</v>
      </c>
      <c r="D9" s="29">
        <v>1755100</v>
      </c>
      <c r="E9" s="19">
        <v>2431843784</v>
      </c>
      <c r="F9" s="19">
        <v>7298799</v>
      </c>
      <c r="G9" s="30" t="s">
        <v>30</v>
      </c>
      <c r="H9" s="29" t="s">
        <v>31</v>
      </c>
      <c r="I9" s="29" t="s">
        <v>18</v>
      </c>
      <c r="J9" s="29">
        <v>1</v>
      </c>
      <c r="K9" s="29" t="s">
        <v>19</v>
      </c>
      <c r="L9" s="19" t="s">
        <v>20</v>
      </c>
      <c r="M9" s="31"/>
    </row>
    <row r="10" spans="1:13" s="35" customFormat="1" x14ac:dyDescent="0.3">
      <c r="A10" s="13">
        <f t="shared" si="0"/>
        <v>5</v>
      </c>
      <c r="B10" s="19">
        <v>1</v>
      </c>
      <c r="C10" s="32" t="s">
        <v>32</v>
      </c>
      <c r="D10" s="16">
        <v>1753292</v>
      </c>
      <c r="E10" s="19">
        <v>2368186892</v>
      </c>
      <c r="F10" s="19">
        <v>7298796</v>
      </c>
      <c r="G10" s="32" t="s">
        <v>33</v>
      </c>
      <c r="H10" s="19" t="s">
        <v>31</v>
      </c>
      <c r="I10" s="33" t="s">
        <v>18</v>
      </c>
      <c r="J10" s="19">
        <v>1</v>
      </c>
      <c r="K10" s="29" t="s">
        <v>19</v>
      </c>
      <c r="L10" s="19" t="s">
        <v>20</v>
      </c>
      <c r="M10" s="34"/>
    </row>
    <row r="11" spans="1:13" s="35" customFormat="1" x14ac:dyDescent="0.3">
      <c r="A11" s="13">
        <f t="shared" si="0"/>
        <v>6</v>
      </c>
      <c r="B11" s="19">
        <v>1</v>
      </c>
      <c r="C11" s="32" t="s">
        <v>34</v>
      </c>
      <c r="D11" s="16">
        <v>1755946</v>
      </c>
      <c r="E11" s="19">
        <v>2583839564</v>
      </c>
      <c r="F11" s="19">
        <v>7211845</v>
      </c>
      <c r="G11" s="32" t="s">
        <v>35</v>
      </c>
      <c r="H11" s="19" t="s">
        <v>36</v>
      </c>
      <c r="I11" s="33" t="s">
        <v>18</v>
      </c>
      <c r="J11" s="19">
        <v>1</v>
      </c>
      <c r="K11" s="19" t="s">
        <v>37</v>
      </c>
      <c r="L11" s="19" t="s">
        <v>38</v>
      </c>
      <c r="M11" s="36"/>
    </row>
    <row r="12" spans="1:13" s="21" customFormat="1" x14ac:dyDescent="0.3">
      <c r="A12" s="13">
        <f t="shared" si="0"/>
        <v>7</v>
      </c>
      <c r="B12" s="19">
        <v>1</v>
      </c>
      <c r="C12" s="32" t="s">
        <v>39</v>
      </c>
      <c r="D12" s="19">
        <v>1755990</v>
      </c>
      <c r="E12" s="19">
        <v>1097893760</v>
      </c>
      <c r="F12" s="16">
        <v>7293298</v>
      </c>
      <c r="G12" s="32" t="s">
        <v>40</v>
      </c>
      <c r="H12" s="18" t="s">
        <v>17</v>
      </c>
      <c r="I12" s="19" t="s">
        <v>18</v>
      </c>
      <c r="J12" s="19">
        <v>1</v>
      </c>
      <c r="K12" s="19" t="s">
        <v>19</v>
      </c>
      <c r="L12" s="19" t="s">
        <v>20</v>
      </c>
      <c r="M12" s="36"/>
    </row>
    <row r="13" spans="1:13" s="21" customFormat="1" x14ac:dyDescent="0.3">
      <c r="A13" s="13">
        <f t="shared" si="0"/>
        <v>8</v>
      </c>
      <c r="B13" s="29">
        <v>1</v>
      </c>
      <c r="C13" s="37" t="s">
        <v>41</v>
      </c>
      <c r="D13" s="29">
        <v>1755606</v>
      </c>
      <c r="E13" s="19">
        <v>2566354631</v>
      </c>
      <c r="F13" s="38">
        <v>8681744</v>
      </c>
      <c r="G13" s="39" t="s">
        <v>42</v>
      </c>
      <c r="H13" s="29" t="s">
        <v>23</v>
      </c>
      <c r="I13" s="29" t="s">
        <v>18</v>
      </c>
      <c r="J13" s="29">
        <v>1</v>
      </c>
      <c r="K13" s="29" t="s">
        <v>19</v>
      </c>
      <c r="L13" s="19" t="s">
        <v>20</v>
      </c>
      <c r="M13" s="36" t="s">
        <v>324</v>
      </c>
    </row>
    <row r="14" spans="1:13" s="21" customFormat="1" x14ac:dyDescent="0.3">
      <c r="A14" s="41">
        <f t="shared" si="0"/>
        <v>9</v>
      </c>
      <c r="B14" s="42"/>
      <c r="C14" s="43" t="s">
        <v>43</v>
      </c>
      <c r="D14" s="44">
        <v>1755952</v>
      </c>
      <c r="E14" s="44">
        <v>1076470507</v>
      </c>
      <c r="F14" s="44">
        <v>8716984</v>
      </c>
      <c r="G14" s="45" t="s">
        <v>44</v>
      </c>
      <c r="H14" s="46" t="s">
        <v>17</v>
      </c>
      <c r="I14" s="42" t="s">
        <v>18</v>
      </c>
      <c r="J14" s="42">
        <v>1</v>
      </c>
      <c r="K14" s="42" t="s">
        <v>19</v>
      </c>
      <c r="L14" s="42" t="s">
        <v>38</v>
      </c>
      <c r="M14" s="47" t="s">
        <v>45</v>
      </c>
    </row>
    <row r="15" spans="1:13" s="35" customFormat="1" x14ac:dyDescent="0.3">
      <c r="A15" s="13">
        <f t="shared" si="0"/>
        <v>10</v>
      </c>
      <c r="B15" s="19">
        <v>1</v>
      </c>
      <c r="C15" s="32" t="s">
        <v>46</v>
      </c>
      <c r="D15" s="19">
        <v>1756443</v>
      </c>
      <c r="E15" s="19">
        <v>2617597675</v>
      </c>
      <c r="F15" s="16">
        <v>7211793</v>
      </c>
      <c r="G15" s="32" t="s">
        <v>47</v>
      </c>
      <c r="H15" s="29" t="s">
        <v>23</v>
      </c>
      <c r="I15" s="19" t="s">
        <v>18</v>
      </c>
      <c r="J15" s="19">
        <v>1</v>
      </c>
      <c r="K15" s="19" t="s">
        <v>19</v>
      </c>
      <c r="L15" s="19" t="s">
        <v>20</v>
      </c>
      <c r="M15" s="36"/>
    </row>
    <row r="16" spans="1:13" s="21" customFormat="1" x14ac:dyDescent="0.3">
      <c r="A16" s="13">
        <v>12</v>
      </c>
      <c r="B16" s="19">
        <v>1</v>
      </c>
      <c r="C16" s="32" t="s">
        <v>48</v>
      </c>
      <c r="D16" s="19">
        <v>1755609</v>
      </c>
      <c r="E16" s="19">
        <v>2566403214</v>
      </c>
      <c r="F16" s="19">
        <v>8706544</v>
      </c>
      <c r="G16" s="23" t="s">
        <v>49</v>
      </c>
      <c r="H16" s="19" t="s">
        <v>23</v>
      </c>
      <c r="I16" s="19" t="s">
        <v>18</v>
      </c>
      <c r="J16" s="19">
        <v>1</v>
      </c>
      <c r="K16" s="19" t="s">
        <v>19</v>
      </c>
      <c r="L16" s="19" t="s">
        <v>20</v>
      </c>
      <c r="M16" s="36" t="s">
        <v>325</v>
      </c>
    </row>
    <row r="17" spans="1:13" s="21" customFormat="1" x14ac:dyDescent="0.3">
      <c r="A17" s="13">
        <v>12</v>
      </c>
      <c r="B17" s="19">
        <v>1</v>
      </c>
      <c r="C17" s="32" t="s">
        <v>50</v>
      </c>
      <c r="D17" s="19">
        <v>1755355</v>
      </c>
      <c r="E17" s="19">
        <v>2538798873</v>
      </c>
      <c r="F17" s="19">
        <v>7306326</v>
      </c>
      <c r="G17" s="48" t="s">
        <v>51</v>
      </c>
      <c r="H17" s="19" t="s">
        <v>23</v>
      </c>
      <c r="I17" s="19" t="s">
        <v>18</v>
      </c>
      <c r="J17" s="19">
        <v>1</v>
      </c>
      <c r="K17" s="19" t="s">
        <v>19</v>
      </c>
      <c r="L17" s="19" t="s">
        <v>20</v>
      </c>
      <c r="M17" s="36"/>
    </row>
    <row r="18" spans="1:13" s="21" customFormat="1" x14ac:dyDescent="0.3">
      <c r="A18" s="13">
        <v>12</v>
      </c>
      <c r="B18" s="19">
        <v>1</v>
      </c>
      <c r="C18" s="15" t="s">
        <v>52</v>
      </c>
      <c r="D18" s="16">
        <v>1756015</v>
      </c>
      <c r="E18" s="16">
        <v>1110341029</v>
      </c>
      <c r="F18" s="38">
        <v>8642664</v>
      </c>
      <c r="G18" s="32" t="s">
        <v>326</v>
      </c>
      <c r="H18" s="18" t="s">
        <v>17</v>
      </c>
      <c r="I18" s="33" t="s">
        <v>18</v>
      </c>
      <c r="J18" s="19">
        <v>1</v>
      </c>
      <c r="K18" s="19" t="s">
        <v>19</v>
      </c>
      <c r="L18" s="19" t="s">
        <v>20</v>
      </c>
      <c r="M18" s="36"/>
    </row>
    <row r="19" spans="1:13" s="21" customFormat="1" x14ac:dyDescent="0.3">
      <c r="A19" s="49">
        <f t="shared" si="0"/>
        <v>13</v>
      </c>
      <c r="B19" s="50">
        <v>1</v>
      </c>
      <c r="C19" s="51" t="s">
        <v>53</v>
      </c>
      <c r="D19" s="52">
        <v>1752892</v>
      </c>
      <c r="E19" s="52">
        <v>2310792581</v>
      </c>
      <c r="F19" s="52">
        <v>7306329</v>
      </c>
      <c r="G19" s="53" t="s">
        <v>54</v>
      </c>
      <c r="H19" s="19" t="s">
        <v>31</v>
      </c>
      <c r="I19" s="50" t="s">
        <v>18</v>
      </c>
      <c r="J19" s="50">
        <v>1</v>
      </c>
      <c r="K19" s="50" t="s">
        <v>19</v>
      </c>
      <c r="L19" s="19" t="s">
        <v>20</v>
      </c>
      <c r="M19" s="54"/>
    </row>
    <row r="20" spans="1:13" s="12" customFormat="1" x14ac:dyDescent="0.3">
      <c r="A20" s="55" t="s">
        <v>55</v>
      </c>
      <c r="B20" s="56">
        <f>SUM(B21:B54)</f>
        <v>32</v>
      </c>
      <c r="C20" s="57" t="s">
        <v>56</v>
      </c>
      <c r="D20" s="19"/>
      <c r="E20" s="19"/>
      <c r="F20" s="19"/>
      <c r="G20" s="58"/>
      <c r="H20" s="58"/>
      <c r="I20" s="58"/>
      <c r="J20" s="59">
        <f>SUM(J21:J54)</f>
        <v>28</v>
      </c>
      <c r="K20" s="59"/>
      <c r="L20" s="59"/>
      <c r="M20" s="60"/>
    </row>
    <row r="21" spans="1:13" s="21" customFormat="1" x14ac:dyDescent="0.3">
      <c r="A21" s="13">
        <f>A19+1</f>
        <v>14</v>
      </c>
      <c r="B21" s="19">
        <v>1</v>
      </c>
      <c r="C21" s="15" t="s">
        <v>57</v>
      </c>
      <c r="D21" s="19">
        <v>1756441</v>
      </c>
      <c r="E21" s="19">
        <v>2615769870</v>
      </c>
      <c r="F21" s="19">
        <v>7211786</v>
      </c>
      <c r="G21" s="32" t="s">
        <v>58</v>
      </c>
      <c r="H21" s="19" t="s">
        <v>31</v>
      </c>
      <c r="I21" s="19" t="s">
        <v>18</v>
      </c>
      <c r="J21" s="19">
        <v>1</v>
      </c>
      <c r="K21" s="19" t="s">
        <v>59</v>
      </c>
      <c r="L21" s="19" t="s">
        <v>20</v>
      </c>
      <c r="M21" s="61"/>
    </row>
    <row r="22" spans="1:13" s="21" customFormat="1" x14ac:dyDescent="0.3">
      <c r="A22" s="13">
        <f t="shared" si="0"/>
        <v>15</v>
      </c>
      <c r="B22" s="62">
        <v>1</v>
      </c>
      <c r="C22" s="63" t="s">
        <v>60</v>
      </c>
      <c r="D22" s="64"/>
      <c r="E22" s="64"/>
      <c r="F22" s="64"/>
      <c r="G22" s="65" t="s">
        <v>61</v>
      </c>
      <c r="H22" s="66"/>
      <c r="I22" s="67"/>
      <c r="J22" s="62"/>
      <c r="K22" s="62" t="s">
        <v>19</v>
      </c>
      <c r="L22" s="62" t="s">
        <v>20</v>
      </c>
      <c r="M22" s="68"/>
    </row>
    <row r="23" spans="1:13" s="21" customFormat="1" x14ac:dyDescent="0.3">
      <c r="A23" s="13">
        <f t="shared" si="0"/>
        <v>16</v>
      </c>
      <c r="B23" s="19">
        <v>1</v>
      </c>
      <c r="C23" s="37" t="s">
        <v>62</v>
      </c>
      <c r="D23" s="19">
        <v>1756181</v>
      </c>
      <c r="E23" s="19">
        <v>2600159814</v>
      </c>
      <c r="F23" s="38">
        <v>7280983</v>
      </c>
      <c r="G23" s="32" t="s">
        <v>63</v>
      </c>
      <c r="H23" s="24" t="s">
        <v>36</v>
      </c>
      <c r="I23" s="33" t="s">
        <v>18</v>
      </c>
      <c r="J23" s="19">
        <v>1</v>
      </c>
      <c r="K23" s="19" t="s">
        <v>19</v>
      </c>
      <c r="L23" s="19" t="s">
        <v>20</v>
      </c>
      <c r="M23" s="34"/>
    </row>
    <row r="24" spans="1:13" s="21" customFormat="1" x14ac:dyDescent="0.3">
      <c r="A24" s="13">
        <f t="shared" si="0"/>
        <v>17</v>
      </c>
      <c r="B24" s="19">
        <v>1</v>
      </c>
      <c r="C24" s="37" t="s">
        <v>64</v>
      </c>
      <c r="D24" s="19">
        <v>1753840</v>
      </c>
      <c r="E24" s="16">
        <v>2237511734</v>
      </c>
      <c r="F24" s="16"/>
      <c r="G24" s="32" t="s">
        <v>327</v>
      </c>
      <c r="H24" s="19" t="s">
        <v>31</v>
      </c>
      <c r="I24" s="19" t="s">
        <v>18</v>
      </c>
      <c r="J24" s="19">
        <v>1</v>
      </c>
      <c r="K24" s="19" t="s">
        <v>59</v>
      </c>
      <c r="L24" s="19" t="s">
        <v>20</v>
      </c>
      <c r="M24" s="61" t="s">
        <v>328</v>
      </c>
    </row>
    <row r="25" spans="1:13" s="21" customFormat="1" x14ac:dyDescent="0.3">
      <c r="A25" s="13">
        <f t="shared" si="0"/>
        <v>18</v>
      </c>
      <c r="B25" s="19">
        <v>1</v>
      </c>
      <c r="C25" s="15" t="s">
        <v>65</v>
      </c>
      <c r="D25" s="29">
        <v>1756270</v>
      </c>
      <c r="E25" s="29">
        <v>2605357801</v>
      </c>
      <c r="F25" s="29">
        <v>7298794</v>
      </c>
      <c r="G25" s="39" t="s">
        <v>66</v>
      </c>
      <c r="H25" s="29" t="s">
        <v>23</v>
      </c>
      <c r="I25" s="29" t="s">
        <v>18</v>
      </c>
      <c r="J25" s="29">
        <v>1</v>
      </c>
      <c r="K25" s="29" t="s">
        <v>37</v>
      </c>
      <c r="L25" s="19" t="s">
        <v>20</v>
      </c>
      <c r="M25" s="61"/>
    </row>
    <row r="26" spans="1:13" x14ac:dyDescent="0.3">
      <c r="A26" s="13">
        <f t="shared" si="0"/>
        <v>19</v>
      </c>
      <c r="B26" s="19">
        <v>1</v>
      </c>
      <c r="C26" s="32" t="s">
        <v>67</v>
      </c>
      <c r="D26" s="19">
        <v>1755719</v>
      </c>
      <c r="E26" s="19">
        <v>2570348942</v>
      </c>
      <c r="F26" s="33">
        <v>8714799</v>
      </c>
      <c r="G26" s="32" t="s">
        <v>68</v>
      </c>
      <c r="H26" s="19" t="s">
        <v>23</v>
      </c>
      <c r="I26" s="19" t="s">
        <v>18</v>
      </c>
      <c r="J26" s="19">
        <v>1</v>
      </c>
      <c r="K26" s="19" t="s">
        <v>19</v>
      </c>
      <c r="L26" s="19" t="s">
        <v>20</v>
      </c>
      <c r="M26" s="61"/>
    </row>
    <row r="27" spans="1:13" s="21" customFormat="1" x14ac:dyDescent="0.3">
      <c r="A27" s="13">
        <f t="shared" si="0"/>
        <v>20</v>
      </c>
      <c r="B27" s="29">
        <v>1</v>
      </c>
      <c r="C27" s="39" t="s">
        <v>69</v>
      </c>
      <c r="D27" s="29">
        <v>1756125</v>
      </c>
      <c r="E27" s="29">
        <v>2595788460</v>
      </c>
      <c r="F27" s="38">
        <v>8769517</v>
      </c>
      <c r="G27" s="39" t="s">
        <v>70</v>
      </c>
      <c r="H27" s="29" t="s">
        <v>36</v>
      </c>
      <c r="I27" s="29" t="s">
        <v>18</v>
      </c>
      <c r="J27" s="29">
        <v>1</v>
      </c>
      <c r="K27" s="29" t="s">
        <v>19</v>
      </c>
      <c r="L27" s="29" t="s">
        <v>38</v>
      </c>
      <c r="M27" s="69"/>
    </row>
    <row r="28" spans="1:13" s="21" customFormat="1" x14ac:dyDescent="0.3">
      <c r="A28" s="13">
        <f>A27+1</f>
        <v>21</v>
      </c>
      <c r="B28" s="19">
        <v>1</v>
      </c>
      <c r="C28" s="39" t="s">
        <v>71</v>
      </c>
      <c r="D28" s="29">
        <v>1756117</v>
      </c>
      <c r="E28" s="29">
        <v>2595787587</v>
      </c>
      <c r="F28" s="38">
        <v>8736305</v>
      </c>
      <c r="G28" s="39" t="s">
        <v>72</v>
      </c>
      <c r="H28" s="29" t="s">
        <v>36</v>
      </c>
      <c r="I28" s="29" t="s">
        <v>18</v>
      </c>
      <c r="J28" s="29">
        <v>1</v>
      </c>
      <c r="K28" s="29" t="s">
        <v>19</v>
      </c>
      <c r="L28" s="29" t="s">
        <v>38</v>
      </c>
      <c r="M28" s="36" t="s">
        <v>329</v>
      </c>
    </row>
    <row r="29" spans="1:13" s="21" customFormat="1" x14ac:dyDescent="0.3">
      <c r="A29" s="13">
        <f t="shared" ref="A29:A30" si="1">A28+1</f>
        <v>22</v>
      </c>
      <c r="B29" s="19">
        <v>1</v>
      </c>
      <c r="C29" s="32" t="s">
        <v>73</v>
      </c>
      <c r="D29" s="19">
        <v>1755682</v>
      </c>
      <c r="E29" s="19">
        <v>1079908982</v>
      </c>
      <c r="F29" s="19">
        <v>8169464</v>
      </c>
      <c r="G29" s="22" t="s">
        <v>74</v>
      </c>
      <c r="H29" s="18" t="s">
        <v>17</v>
      </c>
      <c r="I29" s="19" t="s">
        <v>18</v>
      </c>
      <c r="J29" s="19">
        <v>1</v>
      </c>
      <c r="K29" s="19" t="s">
        <v>19</v>
      </c>
      <c r="L29" s="19" t="s">
        <v>20</v>
      </c>
      <c r="M29" s="36"/>
    </row>
    <row r="30" spans="1:13" s="21" customFormat="1" x14ac:dyDescent="0.3">
      <c r="A30" s="13">
        <f t="shared" si="1"/>
        <v>23</v>
      </c>
      <c r="B30" s="19">
        <v>1</v>
      </c>
      <c r="C30" s="32" t="s">
        <v>75</v>
      </c>
      <c r="D30" s="19">
        <v>1756061</v>
      </c>
      <c r="E30" s="19">
        <v>2593672500</v>
      </c>
      <c r="F30" s="19">
        <v>8736567</v>
      </c>
      <c r="G30" s="22" t="s">
        <v>76</v>
      </c>
      <c r="H30" s="19" t="s">
        <v>36</v>
      </c>
      <c r="I30" s="19" t="s">
        <v>18</v>
      </c>
      <c r="J30" s="19">
        <v>1</v>
      </c>
      <c r="K30" s="19" t="s">
        <v>19</v>
      </c>
      <c r="L30" s="19" t="s">
        <v>20</v>
      </c>
      <c r="M30" s="61"/>
    </row>
    <row r="31" spans="1:13" s="21" customFormat="1" x14ac:dyDescent="0.3">
      <c r="A31" s="13">
        <f t="shared" si="0"/>
        <v>24</v>
      </c>
      <c r="B31" s="19">
        <v>1</v>
      </c>
      <c r="C31" s="32" t="s">
        <v>77</v>
      </c>
      <c r="D31" s="19">
        <v>1755898</v>
      </c>
      <c r="E31" s="19">
        <v>2582636441</v>
      </c>
      <c r="F31" s="19">
        <v>8717015</v>
      </c>
      <c r="G31" s="22" t="s">
        <v>79</v>
      </c>
      <c r="H31" s="19" t="s">
        <v>23</v>
      </c>
      <c r="I31" s="19" t="s">
        <v>18</v>
      </c>
      <c r="J31" s="19">
        <v>1</v>
      </c>
      <c r="K31" s="19" t="s">
        <v>19</v>
      </c>
      <c r="L31" s="19" t="s">
        <v>20</v>
      </c>
      <c r="M31" s="70"/>
    </row>
    <row r="32" spans="1:13" s="199" customFormat="1" x14ac:dyDescent="0.3">
      <c r="A32" s="85">
        <f t="shared" si="0"/>
        <v>25</v>
      </c>
      <c r="B32" s="29">
        <v>1</v>
      </c>
      <c r="C32" s="39" t="s">
        <v>78</v>
      </c>
      <c r="D32" s="29">
        <v>1756180</v>
      </c>
      <c r="E32" s="29">
        <v>2600159418</v>
      </c>
      <c r="F32" s="92">
        <v>7284587</v>
      </c>
      <c r="G32" s="30" t="s">
        <v>80</v>
      </c>
      <c r="H32" s="29" t="s">
        <v>36</v>
      </c>
      <c r="I32" s="29" t="s">
        <v>18</v>
      </c>
      <c r="J32" s="29">
        <v>1</v>
      </c>
      <c r="K32" s="29" t="s">
        <v>19</v>
      </c>
      <c r="L32" s="29" t="s">
        <v>20</v>
      </c>
      <c r="M32" s="198"/>
    </row>
    <row r="33" spans="1:21" x14ac:dyDescent="0.3">
      <c r="A33" s="13">
        <f t="shared" si="0"/>
        <v>26</v>
      </c>
      <c r="B33" s="19">
        <v>1</v>
      </c>
      <c r="C33" s="48" t="s">
        <v>81</v>
      </c>
      <c r="D33" s="19">
        <v>1755568</v>
      </c>
      <c r="E33" s="19">
        <v>2563973375</v>
      </c>
      <c r="F33" s="19">
        <v>8666240</v>
      </c>
      <c r="G33" s="22" t="s">
        <v>82</v>
      </c>
      <c r="H33" s="24" t="s">
        <v>23</v>
      </c>
      <c r="I33" s="19" t="s">
        <v>18</v>
      </c>
      <c r="J33" s="24">
        <v>1</v>
      </c>
      <c r="K33" s="19" t="s">
        <v>19</v>
      </c>
      <c r="L33" s="19" t="s">
        <v>20</v>
      </c>
      <c r="M33" s="61"/>
      <c r="N33" s="21"/>
      <c r="O33" s="21"/>
      <c r="P33" s="21"/>
      <c r="Q33" s="21"/>
      <c r="R33" s="21"/>
      <c r="S33" s="21"/>
      <c r="T33" s="21"/>
      <c r="U33" s="21"/>
    </row>
    <row r="34" spans="1:21" x14ac:dyDescent="0.3">
      <c r="A34" s="13">
        <f t="shared" si="0"/>
        <v>27</v>
      </c>
      <c r="B34" s="19">
        <v>1</v>
      </c>
      <c r="C34" s="48" t="s">
        <v>83</v>
      </c>
      <c r="D34" s="19">
        <v>1754363</v>
      </c>
      <c r="E34" s="19">
        <v>2485692061</v>
      </c>
      <c r="F34" s="19">
        <v>8714169</v>
      </c>
      <c r="G34" s="22" t="s">
        <v>84</v>
      </c>
      <c r="H34" s="19" t="s">
        <v>31</v>
      </c>
      <c r="I34" s="19" t="s">
        <v>18</v>
      </c>
      <c r="J34" s="24">
        <v>1</v>
      </c>
      <c r="K34" s="19" t="s">
        <v>19</v>
      </c>
      <c r="L34" s="19" t="s">
        <v>38</v>
      </c>
      <c r="M34" s="61"/>
    </row>
    <row r="35" spans="1:21" x14ac:dyDescent="0.3">
      <c r="A35" s="13">
        <f t="shared" si="0"/>
        <v>28</v>
      </c>
      <c r="B35" s="19">
        <v>1</v>
      </c>
      <c r="C35" s="48" t="s">
        <v>85</v>
      </c>
      <c r="D35" s="19">
        <v>1754484</v>
      </c>
      <c r="E35" s="19">
        <v>2487212520</v>
      </c>
      <c r="F35" s="19">
        <v>8966715</v>
      </c>
      <c r="G35" s="22" t="s">
        <v>86</v>
      </c>
      <c r="H35" s="19" t="s">
        <v>31</v>
      </c>
      <c r="I35" s="19" t="s">
        <v>18</v>
      </c>
      <c r="J35" s="24">
        <v>1</v>
      </c>
      <c r="K35" s="19" t="s">
        <v>19</v>
      </c>
      <c r="L35" s="19" t="s">
        <v>20</v>
      </c>
      <c r="M35" s="36" t="s">
        <v>324</v>
      </c>
    </row>
    <row r="36" spans="1:21" x14ac:dyDescent="0.3">
      <c r="A36" s="13">
        <f t="shared" si="0"/>
        <v>29</v>
      </c>
      <c r="B36" s="19">
        <v>1</v>
      </c>
      <c r="C36" s="48" t="s">
        <v>87</v>
      </c>
      <c r="D36" s="19">
        <v>1754498</v>
      </c>
      <c r="E36" s="19">
        <v>2487745669</v>
      </c>
      <c r="F36" s="19"/>
      <c r="G36" s="22" t="s">
        <v>88</v>
      </c>
      <c r="H36" s="19" t="s">
        <v>31</v>
      </c>
      <c r="I36" s="19" t="s">
        <v>18</v>
      </c>
      <c r="J36" s="24">
        <v>1</v>
      </c>
      <c r="K36" s="19" t="s">
        <v>19</v>
      </c>
      <c r="L36" s="19" t="s">
        <v>20</v>
      </c>
      <c r="M36" s="61"/>
    </row>
    <row r="37" spans="1:21" x14ac:dyDescent="0.3">
      <c r="A37" s="13">
        <f t="shared" si="0"/>
        <v>30</v>
      </c>
      <c r="B37" s="200">
        <v>1</v>
      </c>
      <c r="C37" s="39" t="s">
        <v>330</v>
      </c>
      <c r="D37" s="29">
        <v>1755976</v>
      </c>
      <c r="E37" s="29">
        <v>2588282786</v>
      </c>
      <c r="F37" s="29">
        <v>8719214</v>
      </c>
      <c r="G37" s="39" t="s">
        <v>89</v>
      </c>
      <c r="H37" s="29" t="s">
        <v>36</v>
      </c>
      <c r="I37" s="29" t="s">
        <v>18</v>
      </c>
      <c r="J37" s="29">
        <v>1</v>
      </c>
      <c r="K37" s="29" t="s">
        <v>19</v>
      </c>
      <c r="L37" s="29" t="s">
        <v>20</v>
      </c>
      <c r="M37" s="69"/>
    </row>
    <row r="38" spans="1:21" x14ac:dyDescent="0.3">
      <c r="A38" s="13">
        <f t="shared" si="0"/>
        <v>31</v>
      </c>
      <c r="B38" s="42"/>
      <c r="C38" s="71" t="s">
        <v>90</v>
      </c>
      <c r="D38" s="42">
        <v>1756049</v>
      </c>
      <c r="E38" s="42">
        <v>2593672153</v>
      </c>
      <c r="F38" s="201">
        <v>8736541</v>
      </c>
      <c r="G38" s="71" t="s">
        <v>91</v>
      </c>
      <c r="H38" s="42" t="s">
        <v>36</v>
      </c>
      <c r="I38" s="42" t="s">
        <v>18</v>
      </c>
      <c r="J38" s="42"/>
      <c r="K38" s="42" t="s">
        <v>19</v>
      </c>
      <c r="L38" s="42" t="s">
        <v>20</v>
      </c>
      <c r="M38" s="47" t="s">
        <v>331</v>
      </c>
    </row>
    <row r="39" spans="1:21" x14ac:dyDescent="0.3">
      <c r="A39" s="13">
        <f t="shared" si="0"/>
        <v>32</v>
      </c>
      <c r="B39" s="62">
        <v>1</v>
      </c>
      <c r="C39" s="72" t="s">
        <v>90</v>
      </c>
      <c r="D39" s="62"/>
      <c r="E39" s="62"/>
      <c r="F39" s="62"/>
      <c r="G39" s="73" t="s">
        <v>61</v>
      </c>
      <c r="H39" s="62"/>
      <c r="I39" s="62"/>
      <c r="J39" s="62"/>
      <c r="K39" s="62"/>
      <c r="L39" s="62" t="s">
        <v>20</v>
      </c>
      <c r="M39" s="74"/>
    </row>
    <row r="40" spans="1:21" x14ac:dyDescent="0.3">
      <c r="A40" s="13">
        <f t="shared" si="0"/>
        <v>33</v>
      </c>
      <c r="B40" s="42"/>
      <c r="C40" s="71" t="s">
        <v>92</v>
      </c>
      <c r="D40" s="42">
        <v>1755703</v>
      </c>
      <c r="E40" s="42">
        <v>2569925759</v>
      </c>
      <c r="F40" s="201">
        <v>8693796</v>
      </c>
      <c r="G40" s="71" t="s">
        <v>93</v>
      </c>
      <c r="H40" s="42" t="s">
        <v>23</v>
      </c>
      <c r="I40" s="42" t="s">
        <v>18</v>
      </c>
      <c r="J40" s="42"/>
      <c r="K40" s="42" t="s">
        <v>19</v>
      </c>
      <c r="L40" s="42" t="s">
        <v>20</v>
      </c>
      <c r="M40" s="47" t="s">
        <v>332</v>
      </c>
    </row>
    <row r="41" spans="1:21" s="21" customFormat="1" x14ac:dyDescent="0.3">
      <c r="A41" s="13">
        <f t="shared" si="0"/>
        <v>34</v>
      </c>
      <c r="B41" s="19">
        <v>1</v>
      </c>
      <c r="C41" s="15" t="s">
        <v>92</v>
      </c>
      <c r="D41" s="19">
        <v>1756012</v>
      </c>
      <c r="E41" s="75">
        <v>2593671858</v>
      </c>
      <c r="F41" s="79">
        <v>8339079</v>
      </c>
      <c r="G41" s="76" t="s">
        <v>96</v>
      </c>
      <c r="H41" s="77" t="s">
        <v>31</v>
      </c>
      <c r="I41" s="77" t="s">
        <v>18</v>
      </c>
      <c r="J41" s="75">
        <v>1</v>
      </c>
      <c r="K41" s="75" t="s">
        <v>19</v>
      </c>
      <c r="L41" s="75" t="s">
        <v>20</v>
      </c>
      <c r="M41" s="78"/>
    </row>
    <row r="42" spans="1:21" s="21" customFormat="1" x14ac:dyDescent="0.3">
      <c r="A42" s="13">
        <f t="shared" si="0"/>
        <v>35</v>
      </c>
      <c r="B42" s="62">
        <v>1</v>
      </c>
      <c r="C42" s="72" t="s">
        <v>94</v>
      </c>
      <c r="D42" s="62"/>
      <c r="E42" s="62"/>
      <c r="F42" s="62"/>
      <c r="G42" s="73" t="s">
        <v>61</v>
      </c>
      <c r="H42" s="62"/>
      <c r="I42" s="62"/>
      <c r="J42" s="62"/>
      <c r="K42" s="62"/>
      <c r="L42" s="62"/>
      <c r="M42" s="74"/>
    </row>
    <row r="43" spans="1:21" s="21" customFormat="1" x14ac:dyDescent="0.3">
      <c r="A43" s="13">
        <f t="shared" si="0"/>
        <v>36</v>
      </c>
      <c r="B43" s="62">
        <v>1</v>
      </c>
      <c r="C43" s="72" t="s">
        <v>95</v>
      </c>
      <c r="D43" s="62"/>
      <c r="E43" s="62"/>
      <c r="F43" s="62"/>
      <c r="G43" s="73" t="s">
        <v>333</v>
      </c>
      <c r="H43" s="62"/>
      <c r="I43" s="62"/>
      <c r="J43" s="62"/>
      <c r="K43" s="62"/>
      <c r="L43" s="62"/>
      <c r="M43" s="74"/>
    </row>
    <row r="44" spans="1:21" s="21" customFormat="1" x14ac:dyDescent="0.3">
      <c r="A44" s="13">
        <f t="shared" si="0"/>
        <v>37</v>
      </c>
      <c r="B44" s="19">
        <v>1</v>
      </c>
      <c r="C44" s="32" t="s">
        <v>97</v>
      </c>
      <c r="D44" s="19">
        <v>1756316</v>
      </c>
      <c r="E44" s="19">
        <v>2608038382</v>
      </c>
      <c r="F44" s="19">
        <v>7301272</v>
      </c>
      <c r="G44" s="32" t="s">
        <v>98</v>
      </c>
      <c r="H44" s="19" t="s">
        <v>23</v>
      </c>
      <c r="I44" s="19" t="s">
        <v>18</v>
      </c>
      <c r="J44" s="19">
        <v>1</v>
      </c>
      <c r="K44" s="19" t="s">
        <v>59</v>
      </c>
      <c r="L44" s="19" t="s">
        <v>20</v>
      </c>
      <c r="M44" s="25"/>
    </row>
    <row r="45" spans="1:21" s="21" customFormat="1" x14ac:dyDescent="0.3">
      <c r="A45" s="13">
        <f t="shared" si="0"/>
        <v>38</v>
      </c>
      <c r="B45" s="19">
        <v>1</v>
      </c>
      <c r="C45" s="32" t="s">
        <v>99</v>
      </c>
      <c r="D45" s="19">
        <v>1756048</v>
      </c>
      <c r="E45" s="75">
        <v>2593672120</v>
      </c>
      <c r="F45" s="79">
        <v>7278909</v>
      </c>
      <c r="G45" s="76" t="s">
        <v>100</v>
      </c>
      <c r="H45" s="75" t="s">
        <v>36</v>
      </c>
      <c r="I45" s="77" t="s">
        <v>18</v>
      </c>
      <c r="J45" s="75">
        <v>1</v>
      </c>
      <c r="K45" s="75" t="s">
        <v>19</v>
      </c>
      <c r="L45" s="75" t="s">
        <v>38</v>
      </c>
      <c r="M45" s="36"/>
    </row>
    <row r="46" spans="1:21" s="21" customFormat="1" x14ac:dyDescent="0.3">
      <c r="A46" s="13">
        <f t="shared" si="0"/>
        <v>39</v>
      </c>
      <c r="B46" s="19">
        <v>1</v>
      </c>
      <c r="C46" s="32" t="s">
        <v>101</v>
      </c>
      <c r="D46" s="19">
        <v>1756086</v>
      </c>
      <c r="E46" s="75">
        <v>2593903830</v>
      </c>
      <c r="F46" s="19">
        <v>8745674</v>
      </c>
      <c r="G46" s="76" t="s">
        <v>102</v>
      </c>
      <c r="H46" s="75" t="s">
        <v>36</v>
      </c>
      <c r="I46" s="77" t="s">
        <v>18</v>
      </c>
      <c r="J46" s="75">
        <v>1</v>
      </c>
      <c r="K46" s="75" t="s">
        <v>19</v>
      </c>
      <c r="L46" s="75" t="s">
        <v>20</v>
      </c>
      <c r="M46" s="70"/>
    </row>
    <row r="47" spans="1:21" s="21" customFormat="1" x14ac:dyDescent="0.3">
      <c r="A47" s="13">
        <f t="shared" si="0"/>
        <v>40</v>
      </c>
      <c r="B47" s="19">
        <v>1</v>
      </c>
      <c r="C47" s="32" t="s">
        <v>103</v>
      </c>
      <c r="D47" s="19">
        <v>1756064</v>
      </c>
      <c r="E47" s="19">
        <v>2593672617</v>
      </c>
      <c r="F47" s="19">
        <v>8745706</v>
      </c>
      <c r="G47" s="76" t="s">
        <v>104</v>
      </c>
      <c r="H47" s="75" t="s">
        <v>36</v>
      </c>
      <c r="I47" s="77" t="s">
        <v>18</v>
      </c>
      <c r="J47" s="75">
        <v>1</v>
      </c>
      <c r="K47" s="75" t="s">
        <v>19</v>
      </c>
      <c r="L47" s="75" t="s">
        <v>38</v>
      </c>
      <c r="M47" s="70"/>
    </row>
    <row r="48" spans="1:21" s="21" customFormat="1" x14ac:dyDescent="0.3">
      <c r="A48" s="13">
        <f t="shared" si="0"/>
        <v>41</v>
      </c>
      <c r="B48" s="19">
        <v>1</v>
      </c>
      <c r="C48" s="32" t="s">
        <v>105</v>
      </c>
      <c r="D48" s="19">
        <v>1756066</v>
      </c>
      <c r="E48" s="19">
        <v>2593672674</v>
      </c>
      <c r="F48" s="19">
        <v>8745713</v>
      </c>
      <c r="G48" s="81" t="s">
        <v>106</v>
      </c>
      <c r="H48" s="75" t="s">
        <v>36</v>
      </c>
      <c r="I48" s="77" t="s">
        <v>18</v>
      </c>
      <c r="J48" s="75">
        <v>1</v>
      </c>
      <c r="K48" s="75" t="s">
        <v>19</v>
      </c>
      <c r="L48" s="75" t="s">
        <v>38</v>
      </c>
      <c r="M48" s="36" t="s">
        <v>334</v>
      </c>
    </row>
    <row r="49" spans="1:13" s="21" customFormat="1" x14ac:dyDescent="0.3">
      <c r="A49" s="13">
        <f t="shared" si="0"/>
        <v>42</v>
      </c>
      <c r="B49" s="19">
        <v>1</v>
      </c>
      <c r="C49" s="32" t="s">
        <v>107</v>
      </c>
      <c r="D49" s="19">
        <v>1756065</v>
      </c>
      <c r="E49" s="19">
        <v>2593672641</v>
      </c>
      <c r="F49" s="19">
        <v>7278940</v>
      </c>
      <c r="G49" s="76" t="s">
        <v>108</v>
      </c>
      <c r="H49" s="75" t="s">
        <v>36</v>
      </c>
      <c r="I49" s="77" t="s">
        <v>18</v>
      </c>
      <c r="J49" s="75">
        <v>1</v>
      </c>
      <c r="K49" s="75" t="s">
        <v>19</v>
      </c>
      <c r="L49" s="75" t="s">
        <v>38</v>
      </c>
      <c r="M49" s="36" t="s">
        <v>329</v>
      </c>
    </row>
    <row r="50" spans="1:13" s="21" customFormat="1" x14ac:dyDescent="0.3">
      <c r="A50" s="13">
        <f t="shared" si="0"/>
        <v>43</v>
      </c>
      <c r="B50" s="19">
        <v>1</v>
      </c>
      <c r="C50" s="32" t="s">
        <v>109</v>
      </c>
      <c r="D50" s="19">
        <v>1756273</v>
      </c>
      <c r="E50" s="19">
        <v>2605358064</v>
      </c>
      <c r="F50" s="19">
        <v>7298793</v>
      </c>
      <c r="G50" s="32" t="s">
        <v>110</v>
      </c>
      <c r="H50" s="19" t="s">
        <v>31</v>
      </c>
      <c r="I50" s="24" t="s">
        <v>18</v>
      </c>
      <c r="J50" s="19">
        <v>1</v>
      </c>
      <c r="K50" s="19" t="s">
        <v>37</v>
      </c>
      <c r="L50" s="19" t="s">
        <v>20</v>
      </c>
      <c r="M50" s="202"/>
    </row>
    <row r="51" spans="1:13" s="21" customFormat="1" x14ac:dyDescent="0.3">
      <c r="A51" s="13">
        <f t="shared" si="0"/>
        <v>44</v>
      </c>
      <c r="B51" s="19">
        <v>1</v>
      </c>
      <c r="C51" s="32" t="s">
        <v>111</v>
      </c>
      <c r="D51" s="19">
        <v>1755983</v>
      </c>
      <c r="E51" s="75">
        <v>2590292195</v>
      </c>
      <c r="F51" s="79">
        <v>8336386</v>
      </c>
      <c r="G51" s="76" t="s">
        <v>112</v>
      </c>
      <c r="H51" s="19" t="s">
        <v>31</v>
      </c>
      <c r="I51" s="77" t="s">
        <v>18</v>
      </c>
      <c r="J51" s="24">
        <v>1</v>
      </c>
      <c r="K51" s="75" t="s">
        <v>19</v>
      </c>
      <c r="L51" s="75" t="s">
        <v>38</v>
      </c>
      <c r="M51" s="82"/>
    </row>
    <row r="52" spans="1:13" s="21" customFormat="1" x14ac:dyDescent="0.3">
      <c r="A52" s="13">
        <f t="shared" si="0"/>
        <v>45</v>
      </c>
      <c r="B52" s="19">
        <v>1</v>
      </c>
      <c r="C52" s="32" t="s">
        <v>113</v>
      </c>
      <c r="D52" s="19">
        <v>1755555</v>
      </c>
      <c r="E52" s="19">
        <v>2562388344</v>
      </c>
      <c r="F52" s="19">
        <v>8666271</v>
      </c>
      <c r="G52" s="22" t="s">
        <v>114</v>
      </c>
      <c r="H52" s="24" t="s">
        <v>23</v>
      </c>
      <c r="I52" s="19" t="s">
        <v>18</v>
      </c>
      <c r="J52" s="24">
        <v>1</v>
      </c>
      <c r="K52" s="19" t="s">
        <v>19</v>
      </c>
      <c r="L52" s="19" t="s">
        <v>38</v>
      </c>
      <c r="M52" s="61"/>
    </row>
    <row r="53" spans="1:13" s="21" customFormat="1" x14ac:dyDescent="0.3">
      <c r="A53" s="13">
        <f t="shared" si="0"/>
        <v>46</v>
      </c>
      <c r="B53" s="83">
        <v>1</v>
      </c>
      <c r="C53" s="84" t="s">
        <v>115</v>
      </c>
      <c r="D53" s="83">
        <v>9604197</v>
      </c>
      <c r="E53" s="83">
        <v>2563049200</v>
      </c>
      <c r="F53" s="83"/>
      <c r="G53" s="84" t="s">
        <v>116</v>
      </c>
      <c r="H53" s="83" t="s">
        <v>117</v>
      </c>
      <c r="I53" s="83" t="s">
        <v>118</v>
      </c>
      <c r="J53" s="83">
        <v>1</v>
      </c>
      <c r="K53" s="83" t="s">
        <v>19</v>
      </c>
      <c r="L53" s="83" t="s">
        <v>20</v>
      </c>
      <c r="M53" s="36" t="s">
        <v>119</v>
      </c>
    </row>
    <row r="54" spans="1:13" s="35" customFormat="1" x14ac:dyDescent="0.3">
      <c r="A54" s="13">
        <f t="shared" si="0"/>
        <v>47</v>
      </c>
      <c r="B54" s="83">
        <v>1</v>
      </c>
      <c r="C54" s="84" t="s">
        <v>120</v>
      </c>
      <c r="D54" s="83">
        <v>9604373</v>
      </c>
      <c r="E54" s="83">
        <v>2619260967</v>
      </c>
      <c r="F54" s="83">
        <v>8689310</v>
      </c>
      <c r="G54" s="84" t="s">
        <v>121</v>
      </c>
      <c r="H54" s="83" t="s">
        <v>27</v>
      </c>
      <c r="I54" s="83" t="s">
        <v>122</v>
      </c>
      <c r="J54" s="83">
        <v>1</v>
      </c>
      <c r="K54" s="83" t="s">
        <v>19</v>
      </c>
      <c r="L54" s="83" t="s">
        <v>38</v>
      </c>
      <c r="M54" s="36" t="s">
        <v>335</v>
      </c>
    </row>
    <row r="55" spans="1:13" s="12" customFormat="1" x14ac:dyDescent="0.3">
      <c r="A55" s="86" t="s">
        <v>123</v>
      </c>
      <c r="B55" s="56">
        <f>SUM(B56:B115)</f>
        <v>55</v>
      </c>
      <c r="C55" s="57" t="s">
        <v>124</v>
      </c>
      <c r="D55" s="19"/>
      <c r="E55" s="19"/>
      <c r="F55" s="19"/>
      <c r="G55" s="58"/>
      <c r="H55" s="58"/>
      <c r="I55" s="58"/>
      <c r="J55" s="59">
        <f>SUM(J56:J115)</f>
        <v>55</v>
      </c>
      <c r="K55" s="59"/>
      <c r="L55" s="59"/>
      <c r="M55" s="60"/>
    </row>
    <row r="56" spans="1:13" s="21" customFormat="1" x14ac:dyDescent="0.3">
      <c r="A56" s="13">
        <f>A54+1</f>
        <v>48</v>
      </c>
      <c r="B56" s="19">
        <v>1</v>
      </c>
      <c r="C56" s="32" t="s">
        <v>125</v>
      </c>
      <c r="D56" s="19">
        <v>1756290</v>
      </c>
      <c r="E56" s="19">
        <v>2607344104</v>
      </c>
      <c r="F56" s="19">
        <v>7301263</v>
      </c>
      <c r="G56" s="32" t="s">
        <v>126</v>
      </c>
      <c r="H56" s="19" t="s">
        <v>23</v>
      </c>
      <c r="I56" s="19" t="s">
        <v>18</v>
      </c>
      <c r="J56" s="19">
        <v>1</v>
      </c>
      <c r="K56" s="19" t="s">
        <v>19</v>
      </c>
      <c r="L56" s="19" t="s">
        <v>20</v>
      </c>
      <c r="M56" s="61"/>
    </row>
    <row r="57" spans="1:13" s="21" customFormat="1" x14ac:dyDescent="0.3">
      <c r="A57" s="13">
        <f>A56+1</f>
        <v>49</v>
      </c>
      <c r="B57" s="19">
        <v>1</v>
      </c>
      <c r="C57" s="15" t="s">
        <v>127</v>
      </c>
      <c r="D57" s="19">
        <v>1756130</v>
      </c>
      <c r="E57" s="19">
        <v>2597990585</v>
      </c>
      <c r="F57" s="19">
        <v>7271481</v>
      </c>
      <c r="G57" s="32" t="s">
        <v>128</v>
      </c>
      <c r="H57" s="19" t="s">
        <v>36</v>
      </c>
      <c r="I57" s="19" t="s">
        <v>18</v>
      </c>
      <c r="J57" s="87">
        <v>1</v>
      </c>
      <c r="K57" s="75" t="s">
        <v>19</v>
      </c>
      <c r="L57" s="75" t="s">
        <v>38</v>
      </c>
      <c r="M57" s="36" t="s">
        <v>324</v>
      </c>
    </row>
    <row r="58" spans="1:13" s="21" customFormat="1" x14ac:dyDescent="0.3">
      <c r="A58" s="13">
        <f t="shared" ref="A58:A115" si="2">A57+1</f>
        <v>50</v>
      </c>
      <c r="B58" s="19">
        <v>1</v>
      </c>
      <c r="C58" s="15" t="s">
        <v>129</v>
      </c>
      <c r="D58" s="19">
        <v>1755974</v>
      </c>
      <c r="E58" s="16">
        <v>2587700291</v>
      </c>
      <c r="F58" s="16">
        <v>8720284</v>
      </c>
      <c r="G58" s="32" t="s">
        <v>130</v>
      </c>
      <c r="H58" s="19" t="s">
        <v>23</v>
      </c>
      <c r="I58" s="33" t="s">
        <v>18</v>
      </c>
      <c r="J58" s="19">
        <v>1</v>
      </c>
      <c r="K58" s="19" t="s">
        <v>19</v>
      </c>
      <c r="L58" s="19" t="s">
        <v>20</v>
      </c>
      <c r="M58" s="36"/>
    </row>
    <row r="59" spans="1:13" s="21" customFormat="1" x14ac:dyDescent="0.3">
      <c r="A59" s="13">
        <f t="shared" si="2"/>
        <v>51</v>
      </c>
      <c r="B59" s="83">
        <v>1</v>
      </c>
      <c r="C59" s="89" t="s">
        <v>131</v>
      </c>
      <c r="D59" s="83">
        <v>9604375</v>
      </c>
      <c r="E59" s="83">
        <v>2612017489</v>
      </c>
      <c r="F59" s="83"/>
      <c r="G59" s="84" t="s">
        <v>132</v>
      </c>
      <c r="H59" s="83" t="s">
        <v>27</v>
      </c>
      <c r="I59" s="83" t="s">
        <v>122</v>
      </c>
      <c r="J59" s="83">
        <v>1</v>
      </c>
      <c r="K59" s="83" t="s">
        <v>19</v>
      </c>
      <c r="L59" s="83" t="s">
        <v>20</v>
      </c>
      <c r="M59" s="36" t="s">
        <v>336</v>
      </c>
    </row>
    <row r="60" spans="1:13" s="21" customFormat="1" x14ac:dyDescent="0.3">
      <c r="A60" s="13">
        <f t="shared" si="2"/>
        <v>52</v>
      </c>
      <c r="B60" s="19">
        <v>1</v>
      </c>
      <c r="C60" s="32" t="s">
        <v>133</v>
      </c>
      <c r="D60" s="19">
        <v>1755813</v>
      </c>
      <c r="E60" s="19">
        <v>2574510166</v>
      </c>
      <c r="F60" s="19">
        <v>7291138</v>
      </c>
      <c r="G60" s="32" t="s">
        <v>134</v>
      </c>
      <c r="H60" s="19" t="s">
        <v>23</v>
      </c>
      <c r="I60" s="19" t="s">
        <v>18</v>
      </c>
      <c r="J60" s="19">
        <v>1</v>
      </c>
      <c r="K60" s="19" t="s">
        <v>19</v>
      </c>
      <c r="L60" s="19" t="s">
        <v>20</v>
      </c>
      <c r="M60" s="36"/>
    </row>
    <row r="61" spans="1:13" s="21" customFormat="1" x14ac:dyDescent="0.3">
      <c r="A61" s="13">
        <f t="shared" si="2"/>
        <v>53</v>
      </c>
      <c r="B61" s="29">
        <v>1</v>
      </c>
      <c r="C61" s="39" t="s">
        <v>135</v>
      </c>
      <c r="D61" s="29">
        <v>1755671</v>
      </c>
      <c r="E61" s="29">
        <v>2567947730</v>
      </c>
      <c r="F61" s="29">
        <v>8308948</v>
      </c>
      <c r="G61" s="39" t="s">
        <v>136</v>
      </c>
      <c r="H61" s="29" t="s">
        <v>23</v>
      </c>
      <c r="I61" s="29" t="s">
        <v>18</v>
      </c>
      <c r="J61" s="29">
        <v>1</v>
      </c>
      <c r="K61" s="29" t="s">
        <v>19</v>
      </c>
      <c r="L61" s="19" t="s">
        <v>20</v>
      </c>
      <c r="M61" s="36" t="s">
        <v>324</v>
      </c>
    </row>
    <row r="62" spans="1:13" s="21" customFormat="1" x14ac:dyDescent="0.3">
      <c r="A62" s="13">
        <f t="shared" si="2"/>
        <v>54</v>
      </c>
      <c r="B62" s="19">
        <v>1</v>
      </c>
      <c r="C62" s="32" t="s">
        <v>137</v>
      </c>
      <c r="D62" s="19">
        <v>1755818</v>
      </c>
      <c r="E62" s="19">
        <v>1121934473</v>
      </c>
      <c r="F62" s="19">
        <v>8714180</v>
      </c>
      <c r="G62" s="32" t="s">
        <v>138</v>
      </c>
      <c r="H62" s="18" t="s">
        <v>17</v>
      </c>
      <c r="I62" s="19" t="s">
        <v>18</v>
      </c>
      <c r="J62" s="19">
        <v>1</v>
      </c>
      <c r="K62" s="19" t="s">
        <v>19</v>
      </c>
      <c r="L62" s="19" t="s">
        <v>20</v>
      </c>
      <c r="M62" s="36"/>
    </row>
    <row r="63" spans="1:13" s="21" customFormat="1" x14ac:dyDescent="0.3">
      <c r="A63" s="13">
        <f t="shared" si="2"/>
        <v>55</v>
      </c>
      <c r="B63" s="19">
        <v>1</v>
      </c>
      <c r="C63" s="32" t="s">
        <v>139</v>
      </c>
      <c r="D63" s="19">
        <v>1756508</v>
      </c>
      <c r="E63" s="19">
        <v>1103140271</v>
      </c>
      <c r="F63" s="19"/>
      <c r="G63" s="32" t="s">
        <v>140</v>
      </c>
      <c r="H63" s="18" t="s">
        <v>17</v>
      </c>
      <c r="I63" s="33" t="s">
        <v>18</v>
      </c>
      <c r="J63" s="19">
        <v>1</v>
      </c>
      <c r="K63" s="19" t="s">
        <v>19</v>
      </c>
      <c r="L63" s="19" t="s">
        <v>20</v>
      </c>
      <c r="M63" s="36"/>
    </row>
    <row r="64" spans="1:13" s="21" customFormat="1" x14ac:dyDescent="0.3">
      <c r="A64" s="13">
        <f t="shared" si="2"/>
        <v>56</v>
      </c>
      <c r="B64" s="19">
        <v>1</v>
      </c>
      <c r="C64" s="32" t="s">
        <v>141</v>
      </c>
      <c r="D64" s="19">
        <v>1755836</v>
      </c>
      <c r="E64" s="19">
        <v>2575885351</v>
      </c>
      <c r="F64" s="19">
        <v>8714161</v>
      </c>
      <c r="G64" s="32" t="s">
        <v>142</v>
      </c>
      <c r="H64" s="19" t="s">
        <v>23</v>
      </c>
      <c r="I64" s="19" t="s">
        <v>18</v>
      </c>
      <c r="J64" s="19">
        <v>1</v>
      </c>
      <c r="K64" s="19" t="s">
        <v>19</v>
      </c>
      <c r="L64" s="19" t="s">
        <v>38</v>
      </c>
      <c r="M64" s="70"/>
    </row>
    <row r="65" spans="1:13" s="21" customFormat="1" x14ac:dyDescent="0.3">
      <c r="A65" s="13">
        <f t="shared" si="2"/>
        <v>57</v>
      </c>
      <c r="B65" s="19">
        <v>1</v>
      </c>
      <c r="C65" s="32" t="s">
        <v>143</v>
      </c>
      <c r="D65" s="19">
        <v>1755856</v>
      </c>
      <c r="E65" s="19">
        <v>2577685254</v>
      </c>
      <c r="F65" s="19">
        <v>8714182</v>
      </c>
      <c r="G65" s="32" t="s">
        <v>144</v>
      </c>
      <c r="H65" s="19" t="s">
        <v>23</v>
      </c>
      <c r="I65" s="19" t="s">
        <v>18</v>
      </c>
      <c r="J65" s="19">
        <v>1</v>
      </c>
      <c r="K65" s="19" t="s">
        <v>19</v>
      </c>
      <c r="L65" s="19" t="s">
        <v>20</v>
      </c>
      <c r="M65" s="70"/>
    </row>
    <row r="66" spans="1:13" s="21" customFormat="1" x14ac:dyDescent="0.3">
      <c r="A66" s="13">
        <f t="shared" si="2"/>
        <v>58</v>
      </c>
      <c r="B66" s="19">
        <v>1</v>
      </c>
      <c r="C66" s="32" t="s">
        <v>145</v>
      </c>
      <c r="D66" s="19">
        <v>1755729</v>
      </c>
      <c r="E66" s="19">
        <v>2570382172</v>
      </c>
      <c r="F66" s="19">
        <v>8714165</v>
      </c>
      <c r="G66" s="32" t="s">
        <v>146</v>
      </c>
      <c r="H66" s="19" t="s">
        <v>23</v>
      </c>
      <c r="I66" s="19" t="s">
        <v>18</v>
      </c>
      <c r="J66" s="19">
        <v>1</v>
      </c>
      <c r="K66" s="19" t="s">
        <v>19</v>
      </c>
      <c r="L66" s="19" t="s">
        <v>20</v>
      </c>
      <c r="M66" s="36" t="s">
        <v>324</v>
      </c>
    </row>
    <row r="67" spans="1:13" s="35" customFormat="1" x14ac:dyDescent="0.3">
      <c r="A67" s="13">
        <f t="shared" si="2"/>
        <v>59</v>
      </c>
      <c r="B67" s="19">
        <v>1</v>
      </c>
      <c r="C67" s="90" t="s">
        <v>147</v>
      </c>
      <c r="D67" s="19">
        <v>1755669</v>
      </c>
      <c r="E67" s="19">
        <v>2567947466</v>
      </c>
      <c r="F67" s="19">
        <v>8696286</v>
      </c>
      <c r="G67" s="32" t="s">
        <v>148</v>
      </c>
      <c r="H67" s="19" t="s">
        <v>23</v>
      </c>
      <c r="I67" s="19" t="s">
        <v>18</v>
      </c>
      <c r="J67" s="19">
        <v>1</v>
      </c>
      <c r="K67" s="19" t="s">
        <v>19</v>
      </c>
      <c r="L67" s="19" t="s">
        <v>20</v>
      </c>
      <c r="M67" s="36" t="s">
        <v>324</v>
      </c>
    </row>
    <row r="68" spans="1:13" s="35" customFormat="1" x14ac:dyDescent="0.3">
      <c r="A68" s="13">
        <f t="shared" si="2"/>
        <v>60</v>
      </c>
      <c r="B68" s="19">
        <v>1</v>
      </c>
      <c r="C68" s="90" t="s">
        <v>149</v>
      </c>
      <c r="D68" s="19">
        <v>1755701</v>
      </c>
      <c r="E68" s="19">
        <v>2569925437</v>
      </c>
      <c r="F68" s="19">
        <v>8696271</v>
      </c>
      <c r="G68" s="32" t="s">
        <v>150</v>
      </c>
      <c r="H68" s="19" t="s">
        <v>23</v>
      </c>
      <c r="I68" s="19" t="s">
        <v>18</v>
      </c>
      <c r="J68" s="19">
        <v>1</v>
      </c>
      <c r="K68" s="19" t="s">
        <v>19</v>
      </c>
      <c r="L68" s="19" t="s">
        <v>20</v>
      </c>
      <c r="M68" s="70"/>
    </row>
    <row r="69" spans="1:13" s="35" customFormat="1" x14ac:dyDescent="0.3">
      <c r="A69" s="13">
        <f t="shared" si="2"/>
        <v>61</v>
      </c>
      <c r="B69" s="19">
        <v>1</v>
      </c>
      <c r="C69" s="90" t="s">
        <v>151</v>
      </c>
      <c r="D69" s="19">
        <v>1755681</v>
      </c>
      <c r="E69" s="19">
        <v>2569617968</v>
      </c>
      <c r="F69" s="19">
        <v>8714176</v>
      </c>
      <c r="G69" s="32" t="s">
        <v>152</v>
      </c>
      <c r="H69" s="19" t="s">
        <v>23</v>
      </c>
      <c r="I69" s="33" t="s">
        <v>18</v>
      </c>
      <c r="J69" s="19">
        <v>1</v>
      </c>
      <c r="K69" s="19" t="s">
        <v>19</v>
      </c>
      <c r="L69" s="19" t="s">
        <v>20</v>
      </c>
      <c r="M69" s="36" t="s">
        <v>337</v>
      </c>
    </row>
    <row r="70" spans="1:13" s="21" customFormat="1" x14ac:dyDescent="0.3">
      <c r="A70" s="13">
        <f t="shared" si="2"/>
        <v>62</v>
      </c>
      <c r="B70" s="42"/>
      <c r="C70" s="43" t="s">
        <v>291</v>
      </c>
      <c r="D70" s="201">
        <v>1755705</v>
      </c>
      <c r="E70" s="44">
        <v>2569926401</v>
      </c>
      <c r="F70" s="44">
        <v>8718492</v>
      </c>
      <c r="G70" s="71" t="s">
        <v>154</v>
      </c>
      <c r="H70" s="42" t="s">
        <v>23</v>
      </c>
      <c r="I70" s="42" t="s">
        <v>18</v>
      </c>
      <c r="J70" s="42"/>
      <c r="K70" s="42" t="s">
        <v>19</v>
      </c>
      <c r="L70" s="42" t="s">
        <v>20</v>
      </c>
      <c r="M70" s="203" t="s">
        <v>332</v>
      </c>
    </row>
    <row r="71" spans="1:13" s="21" customFormat="1" x14ac:dyDescent="0.3">
      <c r="A71" s="13">
        <f t="shared" si="2"/>
        <v>63</v>
      </c>
      <c r="B71" s="19">
        <v>1</v>
      </c>
      <c r="C71" s="90" t="s">
        <v>153</v>
      </c>
      <c r="D71" s="19">
        <v>1755736</v>
      </c>
      <c r="E71" s="19">
        <v>2571806534</v>
      </c>
      <c r="F71" s="19">
        <v>8714166</v>
      </c>
      <c r="G71" s="32" t="s">
        <v>156</v>
      </c>
      <c r="H71" s="19" t="s">
        <v>157</v>
      </c>
      <c r="I71" s="19" t="s">
        <v>18</v>
      </c>
      <c r="J71" s="19">
        <v>1</v>
      </c>
      <c r="K71" s="19" t="s">
        <v>19</v>
      </c>
      <c r="L71" s="19" t="s">
        <v>20</v>
      </c>
      <c r="M71" s="36" t="s">
        <v>324</v>
      </c>
    </row>
    <row r="72" spans="1:13" s="21" customFormat="1" x14ac:dyDescent="0.3">
      <c r="A72" s="13">
        <f t="shared" si="2"/>
        <v>64</v>
      </c>
      <c r="B72" s="19">
        <v>1</v>
      </c>
      <c r="C72" s="90" t="s">
        <v>155</v>
      </c>
      <c r="D72" s="19">
        <v>1756132</v>
      </c>
      <c r="E72" s="19">
        <v>2597990759</v>
      </c>
      <c r="F72" s="19">
        <v>7271462</v>
      </c>
      <c r="G72" s="32" t="s">
        <v>159</v>
      </c>
      <c r="H72" s="19" t="s">
        <v>23</v>
      </c>
      <c r="I72" s="19" t="s">
        <v>18</v>
      </c>
      <c r="J72" s="19">
        <v>1</v>
      </c>
      <c r="K72" s="19" t="s">
        <v>19</v>
      </c>
      <c r="L72" s="19" t="s">
        <v>20</v>
      </c>
      <c r="M72" s="70"/>
    </row>
    <row r="73" spans="1:13" s="21" customFormat="1" x14ac:dyDescent="0.3">
      <c r="A73" s="13">
        <f t="shared" si="2"/>
        <v>65</v>
      </c>
      <c r="B73" s="19">
        <v>1</v>
      </c>
      <c r="C73" s="90" t="s">
        <v>158</v>
      </c>
      <c r="D73" s="19">
        <v>1756133</v>
      </c>
      <c r="E73" s="19">
        <v>2597991583</v>
      </c>
      <c r="F73" s="19">
        <v>7271896</v>
      </c>
      <c r="G73" s="32" t="s">
        <v>161</v>
      </c>
      <c r="H73" s="19" t="s">
        <v>23</v>
      </c>
      <c r="I73" s="19" t="s">
        <v>18</v>
      </c>
      <c r="J73" s="19">
        <v>1</v>
      </c>
      <c r="K73" s="19" t="s">
        <v>19</v>
      </c>
      <c r="L73" s="19" t="s">
        <v>20</v>
      </c>
      <c r="M73" s="70"/>
    </row>
    <row r="74" spans="1:13" s="21" customFormat="1" x14ac:dyDescent="0.3">
      <c r="A74" s="13">
        <f t="shared" si="2"/>
        <v>66</v>
      </c>
      <c r="B74" s="19">
        <v>1</v>
      </c>
      <c r="C74" s="90" t="s">
        <v>160</v>
      </c>
      <c r="D74" s="19">
        <v>1756342</v>
      </c>
      <c r="E74" s="16">
        <v>2609952110</v>
      </c>
      <c r="F74" s="16">
        <v>7306358</v>
      </c>
      <c r="G74" s="32" t="s">
        <v>163</v>
      </c>
      <c r="H74" s="19" t="s">
        <v>23</v>
      </c>
      <c r="I74" s="33" t="s">
        <v>18</v>
      </c>
      <c r="J74" s="19">
        <v>1</v>
      </c>
      <c r="K74" s="19" t="s">
        <v>59</v>
      </c>
      <c r="L74" s="19" t="s">
        <v>20</v>
      </c>
      <c r="M74" s="36"/>
    </row>
    <row r="75" spans="1:13" s="21" customFormat="1" x14ac:dyDescent="0.3">
      <c r="A75" s="13">
        <f t="shared" si="2"/>
        <v>67</v>
      </c>
      <c r="B75" s="19">
        <v>1</v>
      </c>
      <c r="C75" s="90" t="s">
        <v>162</v>
      </c>
      <c r="D75" s="29">
        <v>1756365</v>
      </c>
      <c r="E75" s="16">
        <v>2611808185</v>
      </c>
      <c r="F75" s="88">
        <v>7306346</v>
      </c>
      <c r="G75" s="39" t="s">
        <v>165</v>
      </c>
      <c r="H75" s="29" t="s">
        <v>23</v>
      </c>
      <c r="I75" s="29" t="s">
        <v>18</v>
      </c>
      <c r="J75" s="29">
        <v>1</v>
      </c>
      <c r="K75" s="19" t="s">
        <v>59</v>
      </c>
      <c r="L75" s="19" t="s">
        <v>20</v>
      </c>
      <c r="M75" s="69"/>
    </row>
    <row r="76" spans="1:13" s="21" customFormat="1" x14ac:dyDescent="0.3">
      <c r="A76" s="13">
        <f t="shared" si="2"/>
        <v>68</v>
      </c>
      <c r="B76" s="19">
        <v>1</v>
      </c>
      <c r="C76" s="90" t="s">
        <v>164</v>
      </c>
      <c r="D76" s="88">
        <v>1756395</v>
      </c>
      <c r="E76" s="16">
        <v>2613442397</v>
      </c>
      <c r="F76" s="88">
        <v>7306356</v>
      </c>
      <c r="G76" s="39" t="s">
        <v>167</v>
      </c>
      <c r="H76" s="29" t="s">
        <v>157</v>
      </c>
      <c r="I76" s="29" t="s">
        <v>18</v>
      </c>
      <c r="J76" s="29">
        <v>1</v>
      </c>
      <c r="K76" s="19" t="s">
        <v>19</v>
      </c>
      <c r="L76" s="19" t="s">
        <v>20</v>
      </c>
      <c r="M76" s="69"/>
    </row>
    <row r="77" spans="1:13" s="21" customFormat="1" x14ac:dyDescent="0.3">
      <c r="A77" s="13">
        <f t="shared" si="2"/>
        <v>69</v>
      </c>
      <c r="B77" s="19">
        <v>1</v>
      </c>
      <c r="C77" s="90" t="s">
        <v>166</v>
      </c>
      <c r="D77" s="88">
        <v>1756396</v>
      </c>
      <c r="E77" s="16">
        <v>2613442496</v>
      </c>
      <c r="F77" s="88">
        <v>7306365</v>
      </c>
      <c r="G77" s="39" t="s">
        <v>169</v>
      </c>
      <c r="H77" s="29" t="s">
        <v>157</v>
      </c>
      <c r="I77" s="29" t="s">
        <v>18</v>
      </c>
      <c r="J77" s="29">
        <v>1</v>
      </c>
      <c r="K77" s="19" t="s">
        <v>19</v>
      </c>
      <c r="L77" s="19" t="s">
        <v>20</v>
      </c>
      <c r="M77" s="69"/>
    </row>
    <row r="78" spans="1:13" s="21" customFormat="1" x14ac:dyDescent="0.3">
      <c r="A78" s="13">
        <f t="shared" si="2"/>
        <v>70</v>
      </c>
      <c r="B78" s="19">
        <v>1</v>
      </c>
      <c r="C78" s="90" t="s">
        <v>168</v>
      </c>
      <c r="D78" s="88">
        <v>1755771</v>
      </c>
      <c r="E78" s="16">
        <v>2572763908</v>
      </c>
      <c r="F78" s="88">
        <v>8714174</v>
      </c>
      <c r="G78" s="39" t="s">
        <v>171</v>
      </c>
      <c r="H78" s="29" t="s">
        <v>23</v>
      </c>
      <c r="I78" s="29" t="s">
        <v>18</v>
      </c>
      <c r="J78" s="29">
        <v>1</v>
      </c>
      <c r="K78" s="19" t="s">
        <v>19</v>
      </c>
      <c r="L78" s="19" t="s">
        <v>20</v>
      </c>
      <c r="M78" s="69"/>
    </row>
    <row r="79" spans="1:13" s="21" customFormat="1" x14ac:dyDescent="0.3">
      <c r="A79" s="13">
        <f t="shared" si="2"/>
        <v>71</v>
      </c>
      <c r="B79" s="19">
        <v>1</v>
      </c>
      <c r="C79" s="204" t="s">
        <v>170</v>
      </c>
      <c r="D79" s="62"/>
      <c r="E79" s="62"/>
      <c r="F79" s="62"/>
      <c r="G79" s="73" t="s">
        <v>61</v>
      </c>
      <c r="H79" s="62"/>
      <c r="I79" s="62"/>
      <c r="J79" s="62"/>
      <c r="K79" s="62"/>
      <c r="L79" s="62" t="s">
        <v>20</v>
      </c>
      <c r="M79" s="74"/>
    </row>
    <row r="80" spans="1:13" s="21" customFormat="1" x14ac:dyDescent="0.3">
      <c r="A80" s="13">
        <f t="shared" si="2"/>
        <v>72</v>
      </c>
      <c r="B80" s="19">
        <v>1</v>
      </c>
      <c r="C80" s="37" t="s">
        <v>172</v>
      </c>
      <c r="D80" s="50">
        <v>1756405</v>
      </c>
      <c r="E80" s="16">
        <v>2581210412</v>
      </c>
      <c r="F80" s="88">
        <v>7306349</v>
      </c>
      <c r="G80" s="39" t="s">
        <v>173</v>
      </c>
      <c r="H80" s="50" t="s">
        <v>27</v>
      </c>
      <c r="I80" s="29" t="s">
        <v>18</v>
      </c>
      <c r="J80" s="50">
        <v>1</v>
      </c>
      <c r="K80" s="50" t="s">
        <v>19</v>
      </c>
      <c r="L80" s="19" t="s">
        <v>20</v>
      </c>
      <c r="M80" s="205"/>
    </row>
    <row r="81" spans="1:14" s="21" customFormat="1" x14ac:dyDescent="0.3">
      <c r="A81" s="13">
        <f t="shared" si="2"/>
        <v>73</v>
      </c>
      <c r="B81" s="19">
        <v>1</v>
      </c>
      <c r="C81" s="15" t="s">
        <v>174</v>
      </c>
      <c r="D81" s="19">
        <v>1756000</v>
      </c>
      <c r="E81" s="16">
        <v>2591744368</v>
      </c>
      <c r="F81" s="88">
        <v>7271918</v>
      </c>
      <c r="G81" s="91" t="s">
        <v>175</v>
      </c>
      <c r="H81" s="19" t="s">
        <v>176</v>
      </c>
      <c r="I81" s="33" t="s">
        <v>18</v>
      </c>
      <c r="J81" s="33">
        <v>1</v>
      </c>
      <c r="K81" s="75" t="s">
        <v>19</v>
      </c>
      <c r="L81" s="29" t="s">
        <v>38</v>
      </c>
      <c r="M81" s="70"/>
    </row>
    <row r="82" spans="1:14" s="21" customFormat="1" x14ac:dyDescent="0.3">
      <c r="A82" s="13">
        <f t="shared" si="2"/>
        <v>74</v>
      </c>
      <c r="B82" s="42"/>
      <c r="C82" s="43" t="s">
        <v>177</v>
      </c>
      <c r="D82" s="201">
        <v>1756397</v>
      </c>
      <c r="E82" s="44">
        <v>2613442678</v>
      </c>
      <c r="F82" s="44">
        <v>7306370</v>
      </c>
      <c r="G82" s="71" t="s">
        <v>178</v>
      </c>
      <c r="H82" s="42" t="s">
        <v>157</v>
      </c>
      <c r="I82" s="42" t="s">
        <v>18</v>
      </c>
      <c r="J82" s="42"/>
      <c r="K82" s="42" t="s">
        <v>59</v>
      </c>
      <c r="L82" s="42" t="s">
        <v>38</v>
      </c>
      <c r="M82" s="203" t="s">
        <v>338</v>
      </c>
    </row>
    <row r="83" spans="1:14" s="21" customFormat="1" x14ac:dyDescent="0.3">
      <c r="A83" s="13">
        <f t="shared" si="2"/>
        <v>75</v>
      </c>
      <c r="B83" s="19">
        <v>1</v>
      </c>
      <c r="C83" s="89" t="s">
        <v>177</v>
      </c>
      <c r="D83" s="93">
        <v>9604301</v>
      </c>
      <c r="E83" s="206">
        <v>2559055104</v>
      </c>
      <c r="F83" s="206"/>
      <c r="G83" s="84" t="s">
        <v>180</v>
      </c>
      <c r="H83" s="93" t="s">
        <v>157</v>
      </c>
      <c r="I83" s="83" t="s">
        <v>122</v>
      </c>
      <c r="J83" s="93">
        <v>1</v>
      </c>
      <c r="K83" s="93" t="s">
        <v>19</v>
      </c>
      <c r="L83" s="93" t="s">
        <v>20</v>
      </c>
      <c r="M83" s="36"/>
    </row>
    <row r="84" spans="1:14" s="21" customFormat="1" x14ac:dyDescent="0.3">
      <c r="A84" s="13">
        <f t="shared" si="2"/>
        <v>76</v>
      </c>
      <c r="B84" s="19">
        <v>1</v>
      </c>
      <c r="C84" s="89" t="s">
        <v>179</v>
      </c>
      <c r="D84" s="93">
        <v>9604302</v>
      </c>
      <c r="E84" s="206">
        <v>2562095386</v>
      </c>
      <c r="F84" s="206"/>
      <c r="G84" s="84" t="s">
        <v>182</v>
      </c>
      <c r="H84" s="93" t="s">
        <v>157</v>
      </c>
      <c r="I84" s="83" t="s">
        <v>122</v>
      </c>
      <c r="J84" s="93">
        <v>1</v>
      </c>
      <c r="K84" s="93" t="s">
        <v>19</v>
      </c>
      <c r="L84" s="93" t="s">
        <v>20</v>
      </c>
      <c r="M84" s="36"/>
    </row>
    <row r="85" spans="1:14" s="21" customFormat="1" x14ac:dyDescent="0.3">
      <c r="A85" s="13">
        <f t="shared" si="2"/>
        <v>77</v>
      </c>
      <c r="B85" s="19">
        <v>1</v>
      </c>
      <c r="C85" s="89" t="s">
        <v>181</v>
      </c>
      <c r="D85" s="93">
        <v>9604303</v>
      </c>
      <c r="E85" s="206">
        <v>2579788015</v>
      </c>
      <c r="F85" s="206">
        <v>8720274</v>
      </c>
      <c r="G85" s="84" t="s">
        <v>184</v>
      </c>
      <c r="H85" s="93" t="s">
        <v>185</v>
      </c>
      <c r="I85" s="83" t="s">
        <v>339</v>
      </c>
      <c r="J85" s="93">
        <v>1</v>
      </c>
      <c r="K85" s="93" t="s">
        <v>19</v>
      </c>
      <c r="L85" s="93" t="s">
        <v>38</v>
      </c>
      <c r="M85" s="36"/>
    </row>
    <row r="86" spans="1:14" s="21" customFormat="1" x14ac:dyDescent="0.3">
      <c r="A86" s="13">
        <f t="shared" si="2"/>
        <v>78</v>
      </c>
      <c r="B86" s="19">
        <v>1</v>
      </c>
      <c r="C86" s="72" t="s">
        <v>183</v>
      </c>
      <c r="D86" s="62"/>
      <c r="E86" s="62"/>
      <c r="F86" s="62"/>
      <c r="G86" s="73" t="s">
        <v>61</v>
      </c>
      <c r="H86" s="62"/>
      <c r="I86" s="62"/>
      <c r="J86" s="62"/>
      <c r="K86" s="62"/>
      <c r="L86" s="62" t="s">
        <v>20</v>
      </c>
      <c r="M86" s="74"/>
    </row>
    <row r="87" spans="1:14" s="21" customFormat="1" x14ac:dyDescent="0.3">
      <c r="A87" s="13">
        <f t="shared" si="2"/>
        <v>79</v>
      </c>
      <c r="B87" s="29">
        <v>1</v>
      </c>
      <c r="C87" s="94" t="s">
        <v>186</v>
      </c>
      <c r="D87" s="29">
        <v>1756361</v>
      </c>
      <c r="E87" s="29">
        <v>2611808078</v>
      </c>
      <c r="F87" s="92">
        <v>7306359</v>
      </c>
      <c r="G87" s="39" t="s">
        <v>187</v>
      </c>
      <c r="H87" s="29" t="s">
        <v>157</v>
      </c>
      <c r="I87" s="29" t="s">
        <v>18</v>
      </c>
      <c r="J87" s="29">
        <v>1</v>
      </c>
      <c r="K87" s="29" t="s">
        <v>19</v>
      </c>
      <c r="L87" s="29" t="s">
        <v>38</v>
      </c>
      <c r="M87" s="69"/>
    </row>
    <row r="88" spans="1:14" s="21" customFormat="1" x14ac:dyDescent="0.3">
      <c r="A88" s="13">
        <f t="shared" si="2"/>
        <v>80</v>
      </c>
      <c r="B88" s="29">
        <v>1</v>
      </c>
      <c r="C88" s="94" t="s">
        <v>188</v>
      </c>
      <c r="D88" s="29">
        <v>1755932</v>
      </c>
      <c r="E88" s="29">
        <v>2583838095</v>
      </c>
      <c r="F88" s="92">
        <v>8712947</v>
      </c>
      <c r="G88" s="39" t="s">
        <v>189</v>
      </c>
      <c r="H88" s="29" t="s">
        <v>157</v>
      </c>
      <c r="I88" s="29" t="s">
        <v>18</v>
      </c>
      <c r="J88" s="29">
        <v>1</v>
      </c>
      <c r="K88" s="29" t="s">
        <v>19</v>
      </c>
      <c r="L88" s="29" t="s">
        <v>38</v>
      </c>
      <c r="M88" s="69"/>
    </row>
    <row r="89" spans="1:14" s="21" customFormat="1" x14ac:dyDescent="0.3">
      <c r="A89" s="13">
        <f t="shared" si="2"/>
        <v>81</v>
      </c>
      <c r="B89" s="29">
        <v>1</v>
      </c>
      <c r="C89" s="94" t="s">
        <v>190</v>
      </c>
      <c r="D89" s="29">
        <v>1755737</v>
      </c>
      <c r="E89" s="29">
        <v>2571806609</v>
      </c>
      <c r="F89" s="29">
        <v>8714163</v>
      </c>
      <c r="G89" s="95" t="s">
        <v>191</v>
      </c>
      <c r="H89" s="29" t="s">
        <v>157</v>
      </c>
      <c r="I89" s="29" t="s">
        <v>18</v>
      </c>
      <c r="J89" s="29">
        <v>1</v>
      </c>
      <c r="K89" s="29" t="s">
        <v>19</v>
      </c>
      <c r="L89" s="29" t="s">
        <v>38</v>
      </c>
      <c r="M89" s="36" t="s">
        <v>324</v>
      </c>
    </row>
    <row r="90" spans="1:14" s="21" customFormat="1" x14ac:dyDescent="0.3">
      <c r="A90" s="13">
        <f t="shared" si="2"/>
        <v>82</v>
      </c>
      <c r="B90" s="29">
        <v>1</v>
      </c>
      <c r="C90" s="94" t="s">
        <v>192</v>
      </c>
      <c r="D90" s="88">
        <v>1755931</v>
      </c>
      <c r="E90" s="29">
        <v>2583838020</v>
      </c>
      <c r="F90" s="29">
        <v>8712951</v>
      </c>
      <c r="G90" s="95" t="s">
        <v>193</v>
      </c>
      <c r="H90" s="29" t="s">
        <v>157</v>
      </c>
      <c r="I90" s="29" t="s">
        <v>18</v>
      </c>
      <c r="J90" s="29">
        <v>1</v>
      </c>
      <c r="K90" s="29" t="s">
        <v>19</v>
      </c>
      <c r="L90" s="29" t="s">
        <v>38</v>
      </c>
      <c r="M90" s="69"/>
    </row>
    <row r="91" spans="1:14" s="21" customFormat="1" x14ac:dyDescent="0.3">
      <c r="A91" s="13">
        <f t="shared" si="2"/>
        <v>83</v>
      </c>
      <c r="B91" s="42"/>
      <c r="C91" s="71" t="s">
        <v>194</v>
      </c>
      <c r="D91" s="44">
        <v>1755738</v>
      </c>
      <c r="E91" s="42">
        <v>2571806633</v>
      </c>
      <c r="F91" s="42">
        <v>8745694</v>
      </c>
      <c r="G91" s="80" t="s">
        <v>228</v>
      </c>
      <c r="H91" s="42" t="s">
        <v>157</v>
      </c>
      <c r="I91" s="42" t="s">
        <v>18</v>
      </c>
      <c r="J91" s="42">
        <v>1</v>
      </c>
      <c r="K91" s="42" t="s">
        <v>19</v>
      </c>
      <c r="L91" s="42" t="s">
        <v>20</v>
      </c>
      <c r="M91" s="47" t="s">
        <v>340</v>
      </c>
    </row>
    <row r="92" spans="1:14" s="21" customFormat="1" x14ac:dyDescent="0.3">
      <c r="A92" s="13">
        <f t="shared" si="2"/>
        <v>84</v>
      </c>
      <c r="B92" s="42"/>
      <c r="C92" s="71" t="s">
        <v>196</v>
      </c>
      <c r="D92" s="42">
        <v>1756041</v>
      </c>
      <c r="E92" s="96">
        <v>2593672427</v>
      </c>
      <c r="F92" s="42">
        <v>7271894</v>
      </c>
      <c r="G92" s="80" t="s">
        <v>197</v>
      </c>
      <c r="H92" s="42" t="s">
        <v>157</v>
      </c>
      <c r="I92" s="42" t="s">
        <v>18</v>
      </c>
      <c r="J92" s="42">
        <v>1</v>
      </c>
      <c r="K92" s="42" t="s">
        <v>19</v>
      </c>
      <c r="L92" s="42" t="s">
        <v>38</v>
      </c>
      <c r="M92" s="47"/>
    </row>
    <row r="93" spans="1:14" s="21" customFormat="1" x14ac:dyDescent="0.3">
      <c r="A93" s="13">
        <f t="shared" si="2"/>
        <v>85</v>
      </c>
      <c r="B93" s="42"/>
      <c r="C93" s="71" t="s">
        <v>198</v>
      </c>
      <c r="D93" s="42">
        <v>1755694</v>
      </c>
      <c r="E93" s="42">
        <v>2569619667</v>
      </c>
      <c r="F93" s="44">
        <v>8696295</v>
      </c>
      <c r="G93" s="80" t="s">
        <v>199</v>
      </c>
      <c r="H93" s="42" t="s">
        <v>176</v>
      </c>
      <c r="I93" s="42" t="s">
        <v>18</v>
      </c>
      <c r="J93" s="42"/>
      <c r="K93" s="42" t="s">
        <v>19</v>
      </c>
      <c r="L93" s="42" t="s">
        <v>38</v>
      </c>
      <c r="M93" s="47" t="s">
        <v>341</v>
      </c>
    </row>
    <row r="94" spans="1:14" s="35" customFormat="1" x14ac:dyDescent="0.3">
      <c r="A94" s="13">
        <f t="shared" si="2"/>
        <v>86</v>
      </c>
      <c r="B94" s="19">
        <v>1</v>
      </c>
      <c r="C94" s="32" t="s">
        <v>200</v>
      </c>
      <c r="D94" s="19">
        <v>1756040</v>
      </c>
      <c r="E94" s="97">
        <v>2593672393</v>
      </c>
      <c r="F94" s="19">
        <v>7282718</v>
      </c>
      <c r="G94" s="98" t="s">
        <v>201</v>
      </c>
      <c r="H94" s="24" t="s">
        <v>157</v>
      </c>
      <c r="I94" s="33" t="s">
        <v>18</v>
      </c>
      <c r="J94" s="19">
        <v>1</v>
      </c>
      <c r="K94" s="19" t="s">
        <v>202</v>
      </c>
      <c r="L94" s="19" t="s">
        <v>38</v>
      </c>
      <c r="M94" s="99"/>
    </row>
    <row r="95" spans="1:14" s="21" customFormat="1" x14ac:dyDescent="0.3">
      <c r="A95" s="13">
        <f t="shared" si="2"/>
        <v>87</v>
      </c>
      <c r="B95" s="19">
        <v>1</v>
      </c>
      <c r="C95" s="32" t="s">
        <v>203</v>
      </c>
      <c r="D95" s="19">
        <v>1755739</v>
      </c>
      <c r="E95" s="19">
        <v>2571806666</v>
      </c>
      <c r="F95" s="19">
        <v>8719215</v>
      </c>
      <c r="G95" s="98" t="s">
        <v>204</v>
      </c>
      <c r="H95" s="24" t="s">
        <v>157</v>
      </c>
      <c r="I95" s="19" t="s">
        <v>18</v>
      </c>
      <c r="J95" s="19">
        <v>1</v>
      </c>
      <c r="K95" s="19" t="s">
        <v>19</v>
      </c>
      <c r="L95" s="19" t="s">
        <v>20</v>
      </c>
      <c r="M95" s="36" t="s">
        <v>324</v>
      </c>
      <c r="N95" s="35"/>
    </row>
    <row r="96" spans="1:14" s="21" customFormat="1" x14ac:dyDescent="0.3">
      <c r="A96" s="13">
        <f t="shared" si="2"/>
        <v>88</v>
      </c>
      <c r="B96" s="19">
        <v>1</v>
      </c>
      <c r="C96" s="32" t="s">
        <v>205</v>
      </c>
      <c r="D96" s="19">
        <v>1756044</v>
      </c>
      <c r="E96" s="97">
        <v>2593672518</v>
      </c>
      <c r="F96" s="19">
        <v>7271924</v>
      </c>
      <c r="G96" s="98" t="s">
        <v>206</v>
      </c>
      <c r="H96" s="24" t="s">
        <v>157</v>
      </c>
      <c r="I96" s="33" t="s">
        <v>18</v>
      </c>
      <c r="J96" s="19">
        <v>1</v>
      </c>
      <c r="K96" s="19" t="s">
        <v>19</v>
      </c>
      <c r="L96" s="19" t="s">
        <v>38</v>
      </c>
      <c r="M96" s="99"/>
    </row>
    <row r="97" spans="1:13" s="21" customFormat="1" x14ac:dyDescent="0.3">
      <c r="A97" s="13">
        <f t="shared" si="2"/>
        <v>89</v>
      </c>
      <c r="B97" s="19">
        <v>1</v>
      </c>
      <c r="C97" s="32" t="s">
        <v>207</v>
      </c>
      <c r="D97" s="16">
        <v>1755956</v>
      </c>
      <c r="E97" s="19">
        <v>2585953215</v>
      </c>
      <c r="F97" s="19">
        <v>8719211</v>
      </c>
      <c r="G97" s="98" t="s">
        <v>208</v>
      </c>
      <c r="H97" s="19" t="s">
        <v>23</v>
      </c>
      <c r="I97" s="33" t="s">
        <v>18</v>
      </c>
      <c r="J97" s="19">
        <v>1</v>
      </c>
      <c r="K97" s="19" t="s">
        <v>19</v>
      </c>
      <c r="L97" s="19" t="s">
        <v>38</v>
      </c>
      <c r="M97" s="70"/>
    </row>
    <row r="98" spans="1:13" s="21" customFormat="1" x14ac:dyDescent="0.3">
      <c r="A98" s="13">
        <f t="shared" si="2"/>
        <v>90</v>
      </c>
      <c r="B98" s="19">
        <v>1</v>
      </c>
      <c r="C98" s="32" t="s">
        <v>209</v>
      </c>
      <c r="D98" s="19">
        <v>1756242</v>
      </c>
      <c r="E98" s="19">
        <v>2604639530</v>
      </c>
      <c r="F98" s="19">
        <v>7301257</v>
      </c>
      <c r="G98" s="22" t="s">
        <v>210</v>
      </c>
      <c r="H98" s="24" t="s">
        <v>176</v>
      </c>
      <c r="I98" s="19" t="s">
        <v>18</v>
      </c>
      <c r="J98" s="24">
        <v>1</v>
      </c>
      <c r="K98" s="19" t="s">
        <v>19</v>
      </c>
      <c r="L98" s="19" t="s">
        <v>20</v>
      </c>
      <c r="M98" s="61"/>
    </row>
    <row r="99" spans="1:13" s="21" customFormat="1" x14ac:dyDescent="0.3">
      <c r="A99" s="13">
        <f t="shared" si="2"/>
        <v>91</v>
      </c>
      <c r="B99" s="19">
        <v>1</v>
      </c>
      <c r="C99" s="32" t="s">
        <v>211</v>
      </c>
      <c r="D99" s="16">
        <v>1756093</v>
      </c>
      <c r="E99" s="19">
        <v>2595787389</v>
      </c>
      <c r="F99" s="19">
        <v>7271917</v>
      </c>
      <c r="G99" s="98" t="s">
        <v>212</v>
      </c>
      <c r="H99" s="19" t="s">
        <v>176</v>
      </c>
      <c r="I99" s="33" t="s">
        <v>18</v>
      </c>
      <c r="J99" s="19">
        <v>1</v>
      </c>
      <c r="K99" s="19" t="s">
        <v>19</v>
      </c>
      <c r="L99" s="19" t="s">
        <v>38</v>
      </c>
      <c r="M99" s="70"/>
    </row>
    <row r="100" spans="1:13" s="21" customFormat="1" x14ac:dyDescent="0.3">
      <c r="A100" s="13">
        <f t="shared" si="2"/>
        <v>92</v>
      </c>
      <c r="B100" s="19">
        <v>1</v>
      </c>
      <c r="C100" s="32" t="s">
        <v>213</v>
      </c>
      <c r="D100" s="88">
        <v>1756045</v>
      </c>
      <c r="E100" s="19">
        <v>2593672559</v>
      </c>
      <c r="F100" s="19">
        <v>7271926</v>
      </c>
      <c r="G100" s="95" t="s">
        <v>214</v>
      </c>
      <c r="H100" s="29" t="s">
        <v>157</v>
      </c>
      <c r="I100" s="29" t="s">
        <v>18</v>
      </c>
      <c r="J100" s="29">
        <v>1</v>
      </c>
      <c r="K100" s="19" t="s">
        <v>19</v>
      </c>
      <c r="L100" s="19" t="s">
        <v>20</v>
      </c>
      <c r="M100" s="69"/>
    </row>
    <row r="101" spans="1:13" s="21" customFormat="1" x14ac:dyDescent="0.3">
      <c r="A101" s="13">
        <f t="shared" si="2"/>
        <v>93</v>
      </c>
      <c r="B101" s="19">
        <v>1</v>
      </c>
      <c r="C101" s="32" t="s">
        <v>215</v>
      </c>
      <c r="D101" s="19">
        <v>1756289</v>
      </c>
      <c r="E101" s="19">
        <v>2607343916</v>
      </c>
      <c r="F101" s="19">
        <v>7306361</v>
      </c>
      <c r="G101" s="22" t="s">
        <v>216</v>
      </c>
      <c r="H101" s="24" t="s">
        <v>157</v>
      </c>
      <c r="I101" s="19" t="s">
        <v>18</v>
      </c>
      <c r="J101" s="24">
        <v>1</v>
      </c>
      <c r="K101" s="19" t="s">
        <v>19</v>
      </c>
      <c r="L101" s="19" t="s">
        <v>20</v>
      </c>
      <c r="M101" s="61"/>
    </row>
    <row r="102" spans="1:13" s="21" customFormat="1" x14ac:dyDescent="0.3">
      <c r="A102" s="13">
        <f t="shared" si="2"/>
        <v>94</v>
      </c>
      <c r="B102" s="19">
        <v>1</v>
      </c>
      <c r="C102" s="32" t="s">
        <v>217</v>
      </c>
      <c r="D102" s="19">
        <v>1756315</v>
      </c>
      <c r="E102" s="19">
        <v>2608038366</v>
      </c>
      <c r="F102" s="19">
        <v>7301261</v>
      </c>
      <c r="G102" s="22" t="s">
        <v>218</v>
      </c>
      <c r="H102" s="24" t="s">
        <v>157</v>
      </c>
      <c r="I102" s="19" t="s">
        <v>18</v>
      </c>
      <c r="J102" s="24">
        <v>1</v>
      </c>
      <c r="K102" s="19" t="s">
        <v>37</v>
      </c>
      <c r="L102" s="19" t="s">
        <v>38</v>
      </c>
      <c r="M102" s="61"/>
    </row>
    <row r="103" spans="1:13" s="21" customFormat="1" x14ac:dyDescent="0.3">
      <c r="A103" s="13">
        <f t="shared" si="2"/>
        <v>95</v>
      </c>
      <c r="B103" s="19">
        <v>1</v>
      </c>
      <c r="C103" s="39" t="s">
        <v>219</v>
      </c>
      <c r="D103" s="29">
        <v>1756159</v>
      </c>
      <c r="E103" s="19">
        <v>2598998082</v>
      </c>
      <c r="F103" s="19">
        <v>7271461</v>
      </c>
      <c r="G103" s="39" t="s">
        <v>220</v>
      </c>
      <c r="H103" s="29" t="s">
        <v>157</v>
      </c>
      <c r="I103" s="29" t="s">
        <v>18</v>
      </c>
      <c r="J103" s="29">
        <v>1</v>
      </c>
      <c r="K103" s="29" t="s">
        <v>19</v>
      </c>
      <c r="L103" s="29" t="s">
        <v>20</v>
      </c>
      <c r="M103" s="40"/>
    </row>
    <row r="104" spans="1:13" s="21" customFormat="1" x14ac:dyDescent="0.3">
      <c r="A104" s="13">
        <f t="shared" si="2"/>
        <v>96</v>
      </c>
      <c r="B104" s="19">
        <v>1</v>
      </c>
      <c r="C104" s="39" t="s">
        <v>221</v>
      </c>
      <c r="D104" s="88">
        <v>1756150</v>
      </c>
      <c r="E104" s="19">
        <v>2598989081</v>
      </c>
      <c r="F104" s="19">
        <v>7279548</v>
      </c>
      <c r="G104" s="95" t="s">
        <v>222</v>
      </c>
      <c r="H104" s="29" t="s">
        <v>157</v>
      </c>
      <c r="I104" s="29" t="s">
        <v>18</v>
      </c>
      <c r="J104" s="29">
        <v>1</v>
      </c>
      <c r="K104" s="29" t="s">
        <v>59</v>
      </c>
      <c r="L104" s="29" t="s">
        <v>20</v>
      </c>
      <c r="M104" s="69"/>
    </row>
    <row r="105" spans="1:13" s="21" customFormat="1" x14ac:dyDescent="0.3">
      <c r="A105" s="13">
        <f t="shared" si="2"/>
        <v>97</v>
      </c>
      <c r="B105" s="19">
        <v>1</v>
      </c>
      <c r="C105" s="39" t="s">
        <v>223</v>
      </c>
      <c r="D105" s="29">
        <v>1756240</v>
      </c>
      <c r="E105" s="19">
        <v>2604639282</v>
      </c>
      <c r="F105" s="19">
        <v>7298801</v>
      </c>
      <c r="G105" s="39" t="s">
        <v>224</v>
      </c>
      <c r="H105" s="29" t="s">
        <v>176</v>
      </c>
      <c r="I105" s="29" t="s">
        <v>18</v>
      </c>
      <c r="J105" s="29">
        <v>1</v>
      </c>
      <c r="K105" s="29" t="s">
        <v>19</v>
      </c>
      <c r="L105" s="29" t="s">
        <v>20</v>
      </c>
      <c r="M105" s="69"/>
    </row>
    <row r="106" spans="1:13" s="21" customFormat="1" x14ac:dyDescent="0.3">
      <c r="A106" s="13">
        <f t="shared" si="2"/>
        <v>98</v>
      </c>
      <c r="B106" s="19">
        <v>1</v>
      </c>
      <c r="C106" s="39" t="s">
        <v>225</v>
      </c>
      <c r="D106" s="29">
        <v>1756241</v>
      </c>
      <c r="E106" s="19">
        <v>2604639381</v>
      </c>
      <c r="F106" s="19">
        <v>7298798</v>
      </c>
      <c r="G106" s="39" t="s">
        <v>226</v>
      </c>
      <c r="H106" s="29" t="s">
        <v>176</v>
      </c>
      <c r="I106" s="29" t="s">
        <v>18</v>
      </c>
      <c r="J106" s="29">
        <v>1</v>
      </c>
      <c r="K106" s="29" t="s">
        <v>19</v>
      </c>
      <c r="L106" s="29" t="s">
        <v>20</v>
      </c>
      <c r="M106" s="69"/>
    </row>
    <row r="107" spans="1:13" s="21" customFormat="1" x14ac:dyDescent="0.3">
      <c r="A107" s="13">
        <f t="shared" si="2"/>
        <v>99</v>
      </c>
      <c r="B107" s="19">
        <v>1</v>
      </c>
      <c r="C107" s="32" t="s">
        <v>227</v>
      </c>
      <c r="D107" s="19">
        <v>1755933</v>
      </c>
      <c r="E107" s="19">
        <v>2583838343</v>
      </c>
      <c r="F107" s="19">
        <v>8712946</v>
      </c>
      <c r="G107" s="98" t="s">
        <v>195</v>
      </c>
      <c r="H107" s="24" t="s">
        <v>157</v>
      </c>
      <c r="I107" s="19" t="s">
        <v>18</v>
      </c>
      <c r="J107" s="19">
        <v>1</v>
      </c>
      <c r="K107" s="19" t="s">
        <v>19</v>
      </c>
      <c r="L107" s="19" t="s">
        <v>38</v>
      </c>
      <c r="M107" s="70"/>
    </row>
    <row r="108" spans="1:13" s="21" customFormat="1" x14ac:dyDescent="0.3">
      <c r="A108" s="13">
        <f t="shared" si="2"/>
        <v>100</v>
      </c>
      <c r="B108" s="19">
        <v>1</v>
      </c>
      <c r="C108" s="32" t="s">
        <v>229</v>
      </c>
      <c r="D108" s="19">
        <v>1755740</v>
      </c>
      <c r="E108" s="19">
        <v>2571806708</v>
      </c>
      <c r="F108" s="19">
        <v>8719207</v>
      </c>
      <c r="G108" s="98" t="s">
        <v>230</v>
      </c>
      <c r="H108" s="24" t="s">
        <v>157</v>
      </c>
      <c r="I108" s="19" t="s">
        <v>18</v>
      </c>
      <c r="J108" s="19">
        <v>1</v>
      </c>
      <c r="K108" s="19" t="s">
        <v>19</v>
      </c>
      <c r="L108" s="19" t="s">
        <v>20</v>
      </c>
      <c r="M108" s="70"/>
    </row>
    <row r="109" spans="1:13" s="21" customFormat="1" x14ac:dyDescent="0.3">
      <c r="A109" s="13">
        <f t="shared" si="2"/>
        <v>101</v>
      </c>
      <c r="B109" s="19">
        <v>1</v>
      </c>
      <c r="C109" s="22" t="s">
        <v>231</v>
      </c>
      <c r="D109" s="19">
        <v>1755676</v>
      </c>
      <c r="E109" s="75">
        <v>1099318352</v>
      </c>
      <c r="F109" s="19">
        <v>8714070</v>
      </c>
      <c r="G109" s="22" t="s">
        <v>232</v>
      </c>
      <c r="H109" s="18" t="s">
        <v>17</v>
      </c>
      <c r="I109" s="19" t="s">
        <v>18</v>
      </c>
      <c r="J109" s="19">
        <v>1</v>
      </c>
      <c r="K109" s="19" t="s">
        <v>19</v>
      </c>
      <c r="L109" s="75" t="s">
        <v>20</v>
      </c>
      <c r="M109" s="61"/>
    </row>
    <row r="110" spans="1:13" s="21" customFormat="1" x14ac:dyDescent="0.3">
      <c r="A110" s="13">
        <f t="shared" si="2"/>
        <v>102</v>
      </c>
      <c r="B110" s="19">
        <v>1</v>
      </c>
      <c r="C110" s="15" t="s">
        <v>233</v>
      </c>
      <c r="D110" s="16">
        <v>1755054</v>
      </c>
      <c r="E110" s="19">
        <v>2509318099</v>
      </c>
      <c r="F110" s="19">
        <v>8731982</v>
      </c>
      <c r="G110" s="76" t="s">
        <v>234</v>
      </c>
      <c r="H110" s="19" t="s">
        <v>36</v>
      </c>
      <c r="I110" s="33" t="s">
        <v>18</v>
      </c>
      <c r="J110" s="19">
        <v>1</v>
      </c>
      <c r="K110" s="19" t="s">
        <v>19</v>
      </c>
      <c r="L110" s="75" t="s">
        <v>20</v>
      </c>
      <c r="M110" s="69"/>
    </row>
    <row r="111" spans="1:13" s="21" customFormat="1" x14ac:dyDescent="0.3">
      <c r="A111" s="13">
        <f t="shared" si="2"/>
        <v>103</v>
      </c>
      <c r="B111" s="29">
        <v>1</v>
      </c>
      <c r="C111" s="22" t="s">
        <v>235</v>
      </c>
      <c r="D111" s="16">
        <v>1756360</v>
      </c>
      <c r="E111" s="19">
        <v>2611808003</v>
      </c>
      <c r="F111" s="19">
        <v>7306350</v>
      </c>
      <c r="G111" s="32" t="s">
        <v>236</v>
      </c>
      <c r="H111" s="19" t="s">
        <v>23</v>
      </c>
      <c r="I111" s="33" t="s">
        <v>18</v>
      </c>
      <c r="J111" s="19">
        <v>1</v>
      </c>
      <c r="K111" s="19" t="s">
        <v>19</v>
      </c>
      <c r="L111" s="75" t="s">
        <v>20</v>
      </c>
      <c r="M111" s="100"/>
    </row>
    <row r="112" spans="1:13" s="21" customFormat="1" x14ac:dyDescent="0.3">
      <c r="A112" s="13">
        <f t="shared" si="2"/>
        <v>104</v>
      </c>
      <c r="B112" s="19">
        <v>1</v>
      </c>
      <c r="C112" s="15" t="s">
        <v>237</v>
      </c>
      <c r="D112" s="19">
        <v>1755131</v>
      </c>
      <c r="E112" s="19">
        <v>2345542308</v>
      </c>
      <c r="F112" s="19">
        <v>8719209</v>
      </c>
      <c r="G112" s="22" t="s">
        <v>238</v>
      </c>
      <c r="H112" s="77" t="s">
        <v>239</v>
      </c>
      <c r="I112" s="19" t="s">
        <v>18</v>
      </c>
      <c r="J112" s="75">
        <v>1</v>
      </c>
      <c r="K112" s="75" t="s">
        <v>19</v>
      </c>
      <c r="L112" s="75" t="s">
        <v>38</v>
      </c>
      <c r="M112" s="101"/>
    </row>
    <row r="113" spans="1:13" s="21" customFormat="1" x14ac:dyDescent="0.3">
      <c r="A113" s="13">
        <f t="shared" si="2"/>
        <v>105</v>
      </c>
      <c r="B113" s="19">
        <v>1</v>
      </c>
      <c r="C113" s="39" t="s">
        <v>240</v>
      </c>
      <c r="D113" s="88">
        <v>1756293</v>
      </c>
      <c r="E113" s="50">
        <v>2535472050</v>
      </c>
      <c r="F113" s="19"/>
      <c r="G113" s="39" t="s">
        <v>241</v>
      </c>
      <c r="H113" s="29" t="s">
        <v>239</v>
      </c>
      <c r="I113" s="29" t="s">
        <v>18</v>
      </c>
      <c r="J113" s="29">
        <v>1</v>
      </c>
      <c r="K113" s="29" t="s">
        <v>19</v>
      </c>
      <c r="L113" s="29" t="s">
        <v>20</v>
      </c>
      <c r="M113" s="69"/>
    </row>
    <row r="114" spans="1:13" s="21" customFormat="1" x14ac:dyDescent="0.3">
      <c r="A114" s="13">
        <f t="shared" si="2"/>
        <v>106</v>
      </c>
      <c r="B114" s="19">
        <v>1</v>
      </c>
      <c r="C114" s="39" t="s">
        <v>242</v>
      </c>
      <c r="D114" s="88">
        <v>1756526</v>
      </c>
      <c r="E114" s="29">
        <v>2610600237</v>
      </c>
      <c r="F114" s="207"/>
      <c r="G114" s="39" t="s">
        <v>342</v>
      </c>
      <c r="H114" s="29" t="s">
        <v>239</v>
      </c>
      <c r="I114" s="29" t="s">
        <v>18</v>
      </c>
      <c r="J114" s="29">
        <v>1</v>
      </c>
      <c r="K114" s="29" t="s">
        <v>19</v>
      </c>
      <c r="L114" s="29" t="s">
        <v>20</v>
      </c>
      <c r="M114" s="61" t="s">
        <v>328</v>
      </c>
    </row>
    <row r="115" spans="1:13" s="21" customFormat="1" x14ac:dyDescent="0.3">
      <c r="A115" s="13">
        <f t="shared" si="2"/>
        <v>107</v>
      </c>
      <c r="B115" s="29">
        <v>1</v>
      </c>
      <c r="C115" s="39" t="s">
        <v>243</v>
      </c>
      <c r="D115" s="19">
        <v>1756131</v>
      </c>
      <c r="E115" s="19">
        <v>2597990650</v>
      </c>
      <c r="F115" s="19">
        <v>7279546</v>
      </c>
      <c r="G115" s="32" t="s">
        <v>244</v>
      </c>
      <c r="H115" s="19" t="s">
        <v>23</v>
      </c>
      <c r="I115" s="19" t="s">
        <v>18</v>
      </c>
      <c r="J115" s="19">
        <v>1</v>
      </c>
      <c r="K115" s="19" t="s">
        <v>19</v>
      </c>
      <c r="L115" s="19" t="s">
        <v>20</v>
      </c>
      <c r="M115" s="70"/>
    </row>
    <row r="116" spans="1:13" s="21" customFormat="1" ht="18.600000000000001" thickBot="1" x14ac:dyDescent="0.35">
      <c r="A116" s="102"/>
      <c r="B116" s="103">
        <f>SUM(B4,B20,B55)</f>
        <v>100</v>
      </c>
      <c r="C116" s="104"/>
      <c r="D116" s="105"/>
      <c r="E116" s="104"/>
      <c r="F116" s="104"/>
      <c r="G116" s="105"/>
      <c r="H116" s="104"/>
      <c r="I116" s="106"/>
      <c r="J116" s="103">
        <f>SUM(J4,J20,J55)</f>
        <v>98</v>
      </c>
      <c r="K116" s="103"/>
      <c r="L116" s="103"/>
      <c r="M116" s="107"/>
    </row>
    <row r="117" spans="1:13" ht="18" thickBot="1" x14ac:dyDescent="0.35">
      <c r="A117" s="108" t="str">
        <f>"Total: " &amp; J116 &amp; "/" &amp; B116</f>
        <v>Total: 98/100</v>
      </c>
      <c r="B117" s="109"/>
      <c r="C117" s="110" t="s">
        <v>245</v>
      </c>
      <c r="D117" s="111">
        <f>COUNTIF(H4:H115, "Saudi")</f>
        <v>9</v>
      </c>
      <c r="E117" s="112"/>
      <c r="F117" s="112"/>
      <c r="G117" s="113" t="s">
        <v>246</v>
      </c>
      <c r="H117" s="114">
        <f>D117/J116*100</f>
        <v>9.183673469387756</v>
      </c>
      <c r="I117" s="112"/>
      <c r="J117" s="112"/>
      <c r="K117" s="112"/>
      <c r="L117" s="112"/>
      <c r="M117" s="208"/>
    </row>
    <row r="119" spans="1:13" ht="24" thickBot="1" x14ac:dyDescent="0.35">
      <c r="A119" s="377" t="s">
        <v>247</v>
      </c>
      <c r="B119" s="377"/>
      <c r="C119" s="377"/>
      <c r="D119" s="377"/>
      <c r="E119" s="377"/>
      <c r="F119" s="377"/>
      <c r="G119" s="377"/>
      <c r="H119" s="377"/>
      <c r="I119" s="377"/>
      <c r="J119" s="377"/>
      <c r="K119" s="377"/>
      <c r="L119" s="377"/>
      <c r="M119" s="377"/>
    </row>
    <row r="120" spans="1:13" ht="31.8" thickBot="1" x14ac:dyDescent="0.35">
      <c r="A120" s="115" t="s">
        <v>1</v>
      </c>
      <c r="B120" s="116" t="s">
        <v>2</v>
      </c>
      <c r="C120" s="116" t="s">
        <v>3</v>
      </c>
      <c r="D120" s="116" t="s">
        <v>248</v>
      </c>
      <c r="E120" s="116" t="s">
        <v>249</v>
      </c>
      <c r="F120" s="116" t="s">
        <v>250</v>
      </c>
      <c r="G120" s="116" t="s">
        <v>7</v>
      </c>
      <c r="H120" s="116" t="s">
        <v>8</v>
      </c>
      <c r="I120" s="116" t="s">
        <v>9</v>
      </c>
      <c r="J120" s="116" t="s">
        <v>10</v>
      </c>
      <c r="K120" s="116" t="s">
        <v>251</v>
      </c>
      <c r="L120" s="117"/>
      <c r="M120" s="118" t="s">
        <v>13</v>
      </c>
    </row>
    <row r="121" spans="1:13" x14ac:dyDescent="0.3">
      <c r="A121" s="119">
        <v>1</v>
      </c>
      <c r="B121" s="120"/>
      <c r="C121" s="121" t="s">
        <v>252</v>
      </c>
      <c r="D121" s="122">
        <v>1756216</v>
      </c>
      <c r="E121" s="122"/>
      <c r="F121" s="122"/>
      <c r="G121" s="123" t="s">
        <v>253</v>
      </c>
      <c r="H121" s="124" t="s">
        <v>17</v>
      </c>
      <c r="I121" s="120" t="s">
        <v>18</v>
      </c>
      <c r="J121" s="120">
        <v>1</v>
      </c>
      <c r="K121" s="120" t="s">
        <v>59</v>
      </c>
      <c r="L121" s="120"/>
      <c r="M121" s="125"/>
    </row>
    <row r="122" spans="1:13" x14ac:dyDescent="0.3">
      <c r="A122" s="13">
        <v>2</v>
      </c>
      <c r="B122" s="29"/>
      <c r="C122" s="39" t="s">
        <v>254</v>
      </c>
      <c r="D122" s="88">
        <v>1756215</v>
      </c>
      <c r="E122" s="88"/>
      <c r="F122" s="88"/>
      <c r="G122" s="30" t="s">
        <v>255</v>
      </c>
      <c r="H122" s="126" t="s">
        <v>17</v>
      </c>
      <c r="I122" s="29" t="s">
        <v>18</v>
      </c>
      <c r="J122" s="29">
        <v>1</v>
      </c>
      <c r="K122" s="29" t="s">
        <v>19</v>
      </c>
      <c r="L122" s="29"/>
      <c r="M122" s="69"/>
    </row>
    <row r="123" spans="1:13" x14ac:dyDescent="0.3">
      <c r="A123" s="13">
        <v>3</v>
      </c>
      <c r="B123" s="29"/>
      <c r="C123" s="39" t="s">
        <v>256</v>
      </c>
      <c r="D123" s="29">
        <v>1756470</v>
      </c>
      <c r="E123" s="29">
        <v>2620710844</v>
      </c>
      <c r="F123" s="92">
        <v>7211807</v>
      </c>
      <c r="G123" s="39" t="s">
        <v>257</v>
      </c>
      <c r="H123" s="29" t="s">
        <v>258</v>
      </c>
      <c r="I123" s="29" t="s">
        <v>18</v>
      </c>
      <c r="J123" s="29">
        <v>1</v>
      </c>
      <c r="K123" s="29" t="s">
        <v>19</v>
      </c>
      <c r="L123" s="29" t="s">
        <v>20</v>
      </c>
      <c r="M123" s="69"/>
    </row>
    <row r="124" spans="1:13" ht="16.2" thickBot="1" x14ac:dyDescent="0.35">
      <c r="A124" s="127">
        <v>4</v>
      </c>
      <c r="B124" s="128"/>
      <c r="C124" s="129" t="s">
        <v>259</v>
      </c>
      <c r="D124" s="130"/>
      <c r="E124" s="130"/>
      <c r="F124" s="130"/>
      <c r="G124" s="130"/>
      <c r="H124" s="130"/>
      <c r="I124" s="130"/>
      <c r="J124" s="130"/>
      <c r="K124" s="130"/>
      <c r="L124" s="130"/>
      <c r="M124" s="209"/>
    </row>
    <row r="127" spans="1:13" ht="31.2" x14ac:dyDescent="0.3">
      <c r="A127" s="210" t="s">
        <v>1</v>
      </c>
      <c r="B127" s="211" t="s">
        <v>2</v>
      </c>
      <c r="C127" s="211" t="s">
        <v>3</v>
      </c>
      <c r="D127" s="211" t="s">
        <v>248</v>
      </c>
      <c r="E127" s="211" t="s">
        <v>249</v>
      </c>
      <c r="F127" s="211" t="s">
        <v>250</v>
      </c>
      <c r="G127" s="211" t="s">
        <v>7</v>
      </c>
      <c r="H127" s="211" t="s">
        <v>8</v>
      </c>
      <c r="I127" s="211" t="s">
        <v>9</v>
      </c>
      <c r="J127" s="211" t="s">
        <v>10</v>
      </c>
      <c r="K127" s="211" t="s">
        <v>251</v>
      </c>
      <c r="L127" s="211"/>
      <c r="M127" s="211" t="s">
        <v>13</v>
      </c>
    </row>
    <row r="128" spans="1:13" x14ac:dyDescent="0.3">
      <c r="A128" s="14">
        <v>1</v>
      </c>
      <c r="B128" s="14"/>
      <c r="C128" s="32" t="s">
        <v>343</v>
      </c>
      <c r="D128" s="16">
        <v>1756080</v>
      </c>
      <c r="E128" s="16">
        <v>2593673110</v>
      </c>
      <c r="F128" s="16">
        <v>7279546</v>
      </c>
      <c r="G128" s="76" t="s">
        <v>344</v>
      </c>
      <c r="H128" s="75" t="s">
        <v>23</v>
      </c>
      <c r="I128" s="33" t="s">
        <v>18</v>
      </c>
      <c r="J128" s="19">
        <v>1</v>
      </c>
      <c r="K128" s="19" t="s">
        <v>19</v>
      </c>
      <c r="L128" s="19" t="s">
        <v>38</v>
      </c>
      <c r="M128" s="212" t="s">
        <v>345</v>
      </c>
    </row>
    <row r="129" spans="1:14" s="21" customFormat="1" x14ac:dyDescent="0.3">
      <c r="A129" s="85">
        <f t="shared" ref="A129" si="3">A128+1</f>
        <v>2</v>
      </c>
      <c r="B129" s="213"/>
      <c r="C129" s="39" t="s">
        <v>346</v>
      </c>
      <c r="D129" s="29">
        <v>1755830</v>
      </c>
      <c r="E129" s="214"/>
      <c r="F129" s="214"/>
      <c r="G129" s="39" t="s">
        <v>347</v>
      </c>
      <c r="H129" s="18" t="s">
        <v>17</v>
      </c>
      <c r="I129" s="29" t="s">
        <v>18</v>
      </c>
      <c r="J129" s="215">
        <v>1</v>
      </c>
      <c r="K129" s="215" t="s">
        <v>19</v>
      </c>
      <c r="L129" s="215"/>
      <c r="M129" s="69"/>
    </row>
    <row r="130" spans="1:14" x14ac:dyDescent="0.3">
      <c r="D130"/>
      <c r="G130" s="134"/>
    </row>
    <row r="131" spans="1:14" x14ac:dyDescent="0.3">
      <c r="D131"/>
      <c r="G131" s="134"/>
    </row>
    <row r="132" spans="1:14" s="218" customFormat="1" hidden="1" x14ac:dyDescent="0.3">
      <c r="A132" s="216"/>
      <c r="B132" s="216"/>
      <c r="C132" s="217"/>
      <c r="D132" s="216"/>
      <c r="E132" s="216"/>
      <c r="F132" s="216"/>
      <c r="H132" s="216"/>
      <c r="I132" s="216"/>
      <c r="J132" s="216"/>
      <c r="K132" s="216"/>
      <c r="L132" s="216"/>
      <c r="M132" s="219"/>
      <c r="N132" s="220"/>
    </row>
    <row r="133" spans="1:14" s="218" customFormat="1" hidden="1" x14ac:dyDescent="0.3">
      <c r="A133" s="221">
        <v>1</v>
      </c>
      <c r="B133" s="222"/>
      <c r="C133" s="222" t="s">
        <v>348</v>
      </c>
      <c r="D133" s="223">
        <v>9604335</v>
      </c>
      <c r="E133" s="222">
        <v>2579356367</v>
      </c>
      <c r="F133" s="224"/>
      <c r="G133" s="225" t="s">
        <v>349</v>
      </c>
      <c r="H133" s="226" t="s">
        <v>117</v>
      </c>
      <c r="I133" s="222" t="s">
        <v>122</v>
      </c>
      <c r="J133" s="222">
        <v>1</v>
      </c>
      <c r="K133" s="222" t="s">
        <v>19</v>
      </c>
      <c r="L133" s="227" t="s">
        <v>20</v>
      </c>
      <c r="M133" s="228" t="s">
        <v>350</v>
      </c>
      <c r="N133" s="220"/>
    </row>
    <row r="134" spans="1:14" s="218" customFormat="1" hidden="1" x14ac:dyDescent="0.3">
      <c r="A134" s="221">
        <v>2</v>
      </c>
      <c r="B134" s="222"/>
      <c r="C134" s="222" t="s">
        <v>348</v>
      </c>
      <c r="D134" s="223">
        <v>9604334</v>
      </c>
      <c r="E134" s="222">
        <v>2564009153</v>
      </c>
      <c r="F134" s="224"/>
      <c r="G134" s="225" t="s">
        <v>351</v>
      </c>
      <c r="H134" s="226" t="s">
        <v>117</v>
      </c>
      <c r="I134" s="222" t="s">
        <v>122</v>
      </c>
      <c r="J134" s="222">
        <v>1</v>
      </c>
      <c r="K134" s="222" t="s">
        <v>19</v>
      </c>
      <c r="L134" s="227" t="s">
        <v>20</v>
      </c>
      <c r="M134" s="228" t="s">
        <v>350</v>
      </c>
      <c r="N134" s="220"/>
    </row>
    <row r="135" spans="1:14" s="218" customFormat="1" hidden="1" x14ac:dyDescent="0.3">
      <c r="A135" s="221">
        <v>3</v>
      </c>
      <c r="B135" s="222"/>
      <c r="C135" s="222" t="s">
        <v>348</v>
      </c>
      <c r="D135" s="223">
        <v>9604357</v>
      </c>
      <c r="E135" s="222">
        <v>2563259502</v>
      </c>
      <c r="F135" s="224"/>
      <c r="G135" s="225" t="s">
        <v>352</v>
      </c>
      <c r="H135" s="226" t="s">
        <v>117</v>
      </c>
      <c r="I135" s="222" t="s">
        <v>122</v>
      </c>
      <c r="J135" s="222">
        <v>1</v>
      </c>
      <c r="K135" s="222" t="s">
        <v>19</v>
      </c>
      <c r="L135" s="227" t="s">
        <v>20</v>
      </c>
      <c r="M135" s="228" t="s">
        <v>350</v>
      </c>
      <c r="N135" s="220"/>
    </row>
    <row r="136" spans="1:14" s="218" customFormat="1" hidden="1" x14ac:dyDescent="0.3">
      <c r="A136" s="221">
        <v>4</v>
      </c>
      <c r="B136" s="222"/>
      <c r="C136" s="222" t="s">
        <v>348</v>
      </c>
      <c r="D136" s="223">
        <v>9604358</v>
      </c>
      <c r="E136" s="222">
        <v>2592739383</v>
      </c>
      <c r="F136" s="224"/>
      <c r="G136" s="225" t="s">
        <v>353</v>
      </c>
      <c r="H136" s="226" t="s">
        <v>117</v>
      </c>
      <c r="I136" s="222" t="s">
        <v>122</v>
      </c>
      <c r="J136" s="222">
        <v>1</v>
      </c>
      <c r="K136" s="222" t="s">
        <v>19</v>
      </c>
      <c r="L136" s="227" t="s">
        <v>20</v>
      </c>
      <c r="M136" s="228" t="s">
        <v>350</v>
      </c>
      <c r="N136" s="220"/>
    </row>
    <row r="137" spans="1:14" s="218" customFormat="1" hidden="1" x14ac:dyDescent="0.3">
      <c r="A137" s="221">
        <v>5</v>
      </c>
      <c r="B137" s="222"/>
      <c r="C137" s="222" t="s">
        <v>348</v>
      </c>
      <c r="D137" s="223">
        <v>9604360</v>
      </c>
      <c r="E137" s="222">
        <v>2593781723</v>
      </c>
      <c r="F137" s="224"/>
      <c r="G137" s="225" t="s">
        <v>354</v>
      </c>
      <c r="H137" s="226" t="s">
        <v>117</v>
      </c>
      <c r="I137" s="222" t="s">
        <v>122</v>
      </c>
      <c r="J137" s="222">
        <v>1</v>
      </c>
      <c r="K137" s="222" t="s">
        <v>19</v>
      </c>
      <c r="L137" s="227" t="s">
        <v>20</v>
      </c>
      <c r="M137" s="228" t="s">
        <v>350</v>
      </c>
      <c r="N137" s="220"/>
    </row>
    <row r="138" spans="1:14" s="218" customFormat="1" hidden="1" x14ac:dyDescent="0.3">
      <c r="A138" s="221">
        <v>6</v>
      </c>
      <c r="B138" s="222"/>
      <c r="C138" s="222" t="s">
        <v>355</v>
      </c>
      <c r="D138" s="223">
        <v>9604122</v>
      </c>
      <c r="E138" s="222">
        <v>2487157907</v>
      </c>
      <c r="F138" s="224">
        <v>7306348</v>
      </c>
      <c r="G138" s="225" t="s">
        <v>356</v>
      </c>
      <c r="H138" s="226" t="s">
        <v>23</v>
      </c>
      <c r="I138" s="222" t="s">
        <v>118</v>
      </c>
      <c r="J138" s="222">
        <v>1</v>
      </c>
      <c r="K138" s="222" t="s">
        <v>19</v>
      </c>
      <c r="L138" s="227" t="s">
        <v>38</v>
      </c>
      <c r="M138" s="228" t="s">
        <v>350</v>
      </c>
      <c r="N138" s="220"/>
    </row>
    <row r="139" spans="1:14" s="218" customFormat="1" hidden="1" x14ac:dyDescent="0.3">
      <c r="A139" s="221">
        <v>7</v>
      </c>
      <c r="B139" s="222"/>
      <c r="C139" s="222" t="s">
        <v>355</v>
      </c>
      <c r="D139" s="223">
        <v>9603363</v>
      </c>
      <c r="E139" s="222">
        <v>2513117222</v>
      </c>
      <c r="F139" s="224">
        <v>7309067</v>
      </c>
      <c r="G139" s="225" t="s">
        <v>357</v>
      </c>
      <c r="H139" s="226" t="s">
        <v>358</v>
      </c>
      <c r="I139" s="222" t="s">
        <v>359</v>
      </c>
      <c r="J139" s="222">
        <v>1</v>
      </c>
      <c r="K139" s="222" t="s">
        <v>19</v>
      </c>
      <c r="L139" s="227" t="s">
        <v>38</v>
      </c>
      <c r="M139" s="228" t="s">
        <v>350</v>
      </c>
      <c r="N139" s="220"/>
    </row>
    <row r="140" spans="1:14" s="218" customFormat="1" hidden="1" x14ac:dyDescent="0.3">
      <c r="A140" s="221">
        <v>8</v>
      </c>
      <c r="B140" s="222"/>
      <c r="C140" s="222" t="s">
        <v>360</v>
      </c>
      <c r="D140" s="223">
        <v>9601796</v>
      </c>
      <c r="E140" s="222">
        <v>2481188452</v>
      </c>
      <c r="F140" s="224">
        <v>7306360</v>
      </c>
      <c r="G140" s="225" t="s">
        <v>361</v>
      </c>
      <c r="H140" s="226" t="s">
        <v>23</v>
      </c>
      <c r="I140" s="222" t="s">
        <v>362</v>
      </c>
      <c r="J140" s="222">
        <v>1</v>
      </c>
      <c r="K140" s="222" t="s">
        <v>19</v>
      </c>
      <c r="L140" s="227" t="s">
        <v>20</v>
      </c>
      <c r="M140" s="228" t="s">
        <v>350</v>
      </c>
      <c r="N140" s="220"/>
    </row>
    <row r="141" spans="1:14" s="218" customFormat="1" hidden="1" x14ac:dyDescent="0.3">
      <c r="A141" s="221">
        <v>9</v>
      </c>
      <c r="B141" s="222"/>
      <c r="C141" s="222" t="s">
        <v>363</v>
      </c>
      <c r="D141" s="223">
        <v>9603626</v>
      </c>
      <c r="E141" s="222">
        <v>2543211300</v>
      </c>
      <c r="F141" s="224">
        <v>7306354</v>
      </c>
      <c r="G141" s="225" t="s">
        <v>364</v>
      </c>
      <c r="H141" s="226" t="s">
        <v>365</v>
      </c>
      <c r="I141" s="222" t="s">
        <v>359</v>
      </c>
      <c r="J141" s="222">
        <v>1</v>
      </c>
      <c r="K141" s="222" t="s">
        <v>19</v>
      </c>
      <c r="L141" s="227" t="s">
        <v>38</v>
      </c>
      <c r="M141" s="228" t="s">
        <v>350</v>
      </c>
      <c r="N141" s="220"/>
    </row>
    <row r="142" spans="1:14" s="218" customFormat="1" hidden="1" x14ac:dyDescent="0.3">
      <c r="A142" s="221">
        <v>10</v>
      </c>
      <c r="B142" s="222"/>
      <c r="C142" s="222" t="s">
        <v>305</v>
      </c>
      <c r="D142" s="223">
        <v>9603507</v>
      </c>
      <c r="E142" s="222">
        <v>2391382864</v>
      </c>
      <c r="F142" s="224"/>
      <c r="G142" s="225" t="s">
        <v>366</v>
      </c>
      <c r="H142" s="226" t="s">
        <v>365</v>
      </c>
      <c r="I142" s="222" t="s">
        <v>118</v>
      </c>
      <c r="J142" s="222">
        <v>1</v>
      </c>
      <c r="K142" s="222" t="s">
        <v>19</v>
      </c>
      <c r="L142" s="227" t="s">
        <v>20</v>
      </c>
      <c r="M142" s="228" t="s">
        <v>350</v>
      </c>
      <c r="N142" s="220"/>
    </row>
    <row r="143" spans="1:14" s="229" customFormat="1" hidden="1" x14ac:dyDescent="0.3">
      <c r="A143" s="221">
        <v>11</v>
      </c>
      <c r="B143" s="222"/>
      <c r="C143" s="222" t="s">
        <v>367</v>
      </c>
      <c r="D143" s="223">
        <v>1756336</v>
      </c>
      <c r="E143" s="222">
        <v>2609951245</v>
      </c>
      <c r="F143" s="224">
        <v>7318574</v>
      </c>
      <c r="G143" s="225" t="s">
        <v>368</v>
      </c>
      <c r="H143" s="226" t="s">
        <v>23</v>
      </c>
      <c r="I143" s="222" t="s">
        <v>18</v>
      </c>
      <c r="J143" s="222"/>
      <c r="K143" s="222" t="s">
        <v>19</v>
      </c>
      <c r="L143" s="227" t="s">
        <v>20</v>
      </c>
      <c r="M143" s="228" t="s">
        <v>369</v>
      </c>
      <c r="N143" s="199"/>
    </row>
    <row r="144" spans="1:14" s="218" customFormat="1" hidden="1" x14ac:dyDescent="0.3">
      <c r="A144" s="221">
        <v>12</v>
      </c>
      <c r="B144" s="222"/>
      <c r="C144" s="222" t="s">
        <v>348</v>
      </c>
      <c r="D144" s="223">
        <v>9604353</v>
      </c>
      <c r="E144" s="222">
        <v>2602941730</v>
      </c>
      <c r="F144" s="224"/>
      <c r="G144" s="225" t="s">
        <v>370</v>
      </c>
      <c r="H144" s="226" t="s">
        <v>117</v>
      </c>
      <c r="I144" s="222" t="s">
        <v>122</v>
      </c>
      <c r="J144" s="222">
        <v>1</v>
      </c>
      <c r="K144" s="222" t="s">
        <v>19</v>
      </c>
      <c r="L144" s="227" t="s">
        <v>20</v>
      </c>
      <c r="M144" s="228" t="s">
        <v>371</v>
      </c>
      <c r="N144" s="220"/>
    </row>
    <row r="145" spans="1:14" s="218" customFormat="1" hidden="1" x14ac:dyDescent="0.3">
      <c r="A145" s="221">
        <v>13</v>
      </c>
      <c r="B145" s="222"/>
      <c r="C145" s="222" t="s">
        <v>348</v>
      </c>
      <c r="D145" s="223">
        <v>9604354</v>
      </c>
      <c r="E145" s="222">
        <v>2585940915</v>
      </c>
      <c r="F145" s="224"/>
      <c r="G145" s="225" t="s">
        <v>372</v>
      </c>
      <c r="H145" s="226" t="s">
        <v>117</v>
      </c>
      <c r="I145" s="222" t="s">
        <v>122</v>
      </c>
      <c r="J145" s="222">
        <v>1</v>
      </c>
      <c r="K145" s="222" t="s">
        <v>19</v>
      </c>
      <c r="L145" s="227" t="s">
        <v>20</v>
      </c>
      <c r="M145" s="228" t="s">
        <v>371</v>
      </c>
      <c r="N145" s="220"/>
    </row>
    <row r="146" spans="1:14" s="218" customFormat="1" hidden="1" x14ac:dyDescent="0.3">
      <c r="A146" s="221">
        <v>14</v>
      </c>
      <c r="B146" s="222"/>
      <c r="C146" s="222" t="s">
        <v>348</v>
      </c>
      <c r="D146" s="223">
        <v>9604356</v>
      </c>
      <c r="E146" s="222">
        <v>2577011527</v>
      </c>
      <c r="F146" s="224"/>
      <c r="G146" s="225" t="s">
        <v>373</v>
      </c>
      <c r="H146" s="226" t="s">
        <v>117</v>
      </c>
      <c r="I146" s="222" t="s">
        <v>122</v>
      </c>
      <c r="J146" s="222">
        <v>1</v>
      </c>
      <c r="K146" s="222" t="s">
        <v>19</v>
      </c>
      <c r="L146" s="227" t="s">
        <v>20</v>
      </c>
      <c r="M146" s="228" t="s">
        <v>371</v>
      </c>
      <c r="N146" s="220"/>
    </row>
    <row r="147" spans="1:14" s="218" customFormat="1" hidden="1" x14ac:dyDescent="0.3">
      <c r="A147" s="221">
        <v>15</v>
      </c>
      <c r="B147" s="222"/>
      <c r="C147" s="222" t="s">
        <v>348</v>
      </c>
      <c r="D147" s="223">
        <v>9604361</v>
      </c>
      <c r="E147" s="222">
        <v>2593781269</v>
      </c>
      <c r="F147" s="224"/>
      <c r="G147" s="225" t="s">
        <v>374</v>
      </c>
      <c r="H147" s="226" t="s">
        <v>117</v>
      </c>
      <c r="I147" s="222" t="s">
        <v>122</v>
      </c>
      <c r="J147" s="222">
        <v>1</v>
      </c>
      <c r="K147" s="222" t="s">
        <v>19</v>
      </c>
      <c r="L147" s="227" t="s">
        <v>20</v>
      </c>
      <c r="M147" s="228" t="s">
        <v>371</v>
      </c>
      <c r="N147" s="220"/>
    </row>
    <row r="148" spans="1:14" s="218" customFormat="1" hidden="1" x14ac:dyDescent="0.3">
      <c r="A148" s="221">
        <v>16</v>
      </c>
      <c r="B148" s="222"/>
      <c r="C148" s="222" t="s">
        <v>375</v>
      </c>
      <c r="D148" s="223">
        <v>9604082</v>
      </c>
      <c r="E148" s="222">
        <v>2529950616</v>
      </c>
      <c r="F148" s="224">
        <v>7306337</v>
      </c>
      <c r="G148" s="225" t="s">
        <v>376</v>
      </c>
      <c r="H148" s="226" t="s">
        <v>365</v>
      </c>
      <c r="I148" s="222" t="s">
        <v>118</v>
      </c>
      <c r="J148" s="222">
        <v>1</v>
      </c>
      <c r="K148" s="222" t="s">
        <v>19</v>
      </c>
      <c r="L148" s="227" t="s">
        <v>20</v>
      </c>
      <c r="M148" s="228" t="s">
        <v>371</v>
      </c>
      <c r="N148" s="220"/>
    </row>
    <row r="149" spans="1:14" s="218" customFormat="1" hidden="1" x14ac:dyDescent="0.3">
      <c r="A149" s="221">
        <v>17</v>
      </c>
      <c r="B149" s="222"/>
      <c r="C149" s="222" t="s">
        <v>305</v>
      </c>
      <c r="D149" s="223">
        <v>9600377</v>
      </c>
      <c r="E149" s="222">
        <v>2330676632</v>
      </c>
      <c r="F149" s="224"/>
      <c r="G149" s="225" t="s">
        <v>377</v>
      </c>
      <c r="H149" s="226" t="s">
        <v>365</v>
      </c>
      <c r="I149" s="222" t="s">
        <v>362</v>
      </c>
      <c r="J149" s="222">
        <v>1</v>
      </c>
      <c r="K149" s="222" t="s">
        <v>19</v>
      </c>
      <c r="L149" s="227" t="s">
        <v>20</v>
      </c>
      <c r="M149" s="228" t="s">
        <v>371</v>
      </c>
      <c r="N149" s="220"/>
    </row>
    <row r="150" spans="1:14" s="218" customFormat="1" hidden="1" x14ac:dyDescent="0.3">
      <c r="A150" s="221">
        <v>18</v>
      </c>
      <c r="B150" s="222"/>
      <c r="C150" s="222" t="s">
        <v>378</v>
      </c>
      <c r="D150" s="223">
        <v>1755573</v>
      </c>
      <c r="E150" s="222">
        <v>2563974761</v>
      </c>
      <c r="F150" s="224">
        <v>8666258</v>
      </c>
      <c r="G150" s="225" t="s">
        <v>379</v>
      </c>
      <c r="H150" s="226" t="s">
        <v>23</v>
      </c>
      <c r="I150" s="222" t="s">
        <v>18</v>
      </c>
      <c r="J150" s="222"/>
      <c r="K150" s="222" t="s">
        <v>19</v>
      </c>
      <c r="L150" s="227" t="s">
        <v>38</v>
      </c>
      <c r="M150" s="228" t="s">
        <v>380</v>
      </c>
      <c r="N150" s="220"/>
    </row>
    <row r="151" spans="1:14" s="236" customFormat="1" hidden="1" x14ac:dyDescent="0.3">
      <c r="A151" s="221">
        <v>19</v>
      </c>
      <c r="B151" s="230"/>
      <c r="C151" s="230" t="s">
        <v>348</v>
      </c>
      <c r="D151" s="231">
        <v>9604359</v>
      </c>
      <c r="E151" s="230">
        <v>2597136411</v>
      </c>
      <c r="F151" s="232"/>
      <c r="G151" s="225" t="s">
        <v>381</v>
      </c>
      <c r="H151" s="226" t="s">
        <v>117</v>
      </c>
      <c r="I151" s="233" t="s">
        <v>122</v>
      </c>
      <c r="J151" s="233">
        <v>1</v>
      </c>
      <c r="K151" s="233" t="s">
        <v>19</v>
      </c>
      <c r="L151" s="234" t="s">
        <v>20</v>
      </c>
      <c r="M151" s="235" t="s">
        <v>382</v>
      </c>
      <c r="N151" s="1"/>
    </row>
    <row r="152" spans="1:14" s="236" customFormat="1" hidden="1" x14ac:dyDescent="0.3">
      <c r="A152" s="221">
        <v>20</v>
      </c>
      <c r="B152" s="230"/>
      <c r="C152" s="237" t="s">
        <v>363</v>
      </c>
      <c r="D152" s="237">
        <v>9603627</v>
      </c>
      <c r="E152" s="230">
        <v>2543210856</v>
      </c>
      <c r="F152" s="230">
        <v>7306355</v>
      </c>
      <c r="G152" s="238" t="s">
        <v>383</v>
      </c>
      <c r="H152" s="237" t="s">
        <v>365</v>
      </c>
      <c r="I152" s="237" t="s">
        <v>359</v>
      </c>
      <c r="J152" s="233">
        <v>1</v>
      </c>
      <c r="K152" s="233" t="s">
        <v>19</v>
      </c>
      <c r="L152" s="234" t="s">
        <v>38</v>
      </c>
      <c r="M152" s="235" t="s">
        <v>382</v>
      </c>
      <c r="N152" s="1"/>
    </row>
    <row r="153" spans="1:14" s="21" customFormat="1" hidden="1" x14ac:dyDescent="0.3">
      <c r="A153" s="13">
        <f t="shared" ref="A153" si="4">A152+1</f>
        <v>21</v>
      </c>
      <c r="B153" s="239"/>
      <c r="C153" s="71" t="s">
        <v>384</v>
      </c>
      <c r="D153" s="44">
        <v>9604347</v>
      </c>
      <c r="E153" s="42">
        <v>2509480774</v>
      </c>
      <c r="F153" s="201">
        <v>7306357</v>
      </c>
      <c r="G153" s="71" t="s">
        <v>385</v>
      </c>
      <c r="H153" s="42" t="s">
        <v>27</v>
      </c>
      <c r="I153" s="42" t="s">
        <v>122</v>
      </c>
      <c r="J153" s="42">
        <v>1</v>
      </c>
      <c r="K153" s="42" t="s">
        <v>59</v>
      </c>
      <c r="L153" s="42" t="s">
        <v>38</v>
      </c>
      <c r="M153" s="240" t="s">
        <v>386</v>
      </c>
    </row>
    <row r="154" spans="1:14" hidden="1" x14ac:dyDescent="0.3"/>
  </sheetData>
  <mergeCells count="3">
    <mergeCell ref="A1:M1"/>
    <mergeCell ref="A2:M2"/>
    <mergeCell ref="A119:M119"/>
  </mergeCells>
  <conditionalFormatting sqref="D7">
    <cfRule type="duplicateValues" dxfId="18" priority="17"/>
  </conditionalFormatting>
  <conditionalFormatting sqref="D39">
    <cfRule type="duplicateValues" dxfId="17" priority="7"/>
  </conditionalFormatting>
  <conditionalFormatting sqref="D40">
    <cfRule type="duplicateValues" dxfId="16" priority="6"/>
  </conditionalFormatting>
  <conditionalFormatting sqref="D41">
    <cfRule type="duplicateValues" dxfId="15" priority="5"/>
  </conditionalFormatting>
  <conditionalFormatting sqref="D42">
    <cfRule type="duplicateValues" dxfId="14" priority="18"/>
  </conditionalFormatting>
  <conditionalFormatting sqref="D43">
    <cfRule type="duplicateValues" dxfId="13" priority="4"/>
  </conditionalFormatting>
  <conditionalFormatting sqref="D53">
    <cfRule type="duplicateValues" dxfId="12" priority="1"/>
  </conditionalFormatting>
  <conditionalFormatting sqref="D70">
    <cfRule type="duplicateValues" dxfId="11" priority="3"/>
  </conditionalFormatting>
  <conditionalFormatting sqref="D79">
    <cfRule type="duplicateValues" dxfId="10" priority="2"/>
  </conditionalFormatting>
  <conditionalFormatting sqref="D86">
    <cfRule type="duplicateValues" dxfId="9" priority="8"/>
  </conditionalFormatting>
  <conditionalFormatting sqref="D88">
    <cfRule type="duplicateValues" dxfId="8" priority="16"/>
  </conditionalFormatting>
  <conditionalFormatting sqref="D127:D128">
    <cfRule type="duplicateValues" dxfId="7" priority="15"/>
  </conditionalFormatting>
  <conditionalFormatting sqref="D129">
    <cfRule type="duplicateValues" dxfId="6" priority="14"/>
  </conditionalFormatting>
  <conditionalFormatting sqref="D130:D131 D44:D52 D1:D6 D154:D1048576 D8:D38 D54:D69 D87 D71:D78 D80:D85 D89:D126">
    <cfRule type="duplicateValues" dxfId="5" priority="19"/>
  </conditionalFormatting>
  <conditionalFormatting sqref="D132">
    <cfRule type="duplicateValues" dxfId="4" priority="13"/>
  </conditionalFormatting>
  <conditionalFormatting sqref="D133">
    <cfRule type="duplicateValues" dxfId="3" priority="12"/>
  </conditionalFormatting>
  <conditionalFormatting sqref="D134:D150">
    <cfRule type="duplicateValues" dxfId="2" priority="11"/>
  </conditionalFormatting>
  <conditionalFormatting sqref="D151:D152">
    <cfRule type="duplicateValues" dxfId="1" priority="10"/>
  </conditionalFormatting>
  <conditionalFormatting sqref="D153">
    <cfRule type="duplicateValues" dxfId="0" priority="9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5513A-2872-4775-81A0-B55873474B95}">
  <dimension ref="C2:RP328"/>
  <sheetViews>
    <sheetView showGridLines="0" tabSelected="1" zoomScale="41" zoomScaleNormal="55" workbookViewId="0">
      <selection activeCell="QT162" sqref="QT162"/>
    </sheetView>
  </sheetViews>
  <sheetFormatPr defaultColWidth="0.77734375" defaultRowHeight="5.0999999999999996" customHeight="1" x14ac:dyDescent="0.3"/>
  <cols>
    <col min="1" max="16384" width="0.77734375" style="135"/>
  </cols>
  <sheetData>
    <row r="2" spans="3:484" ht="5.0999999999999996" customHeight="1" thickBot="1" x14ac:dyDescent="0.35"/>
    <row r="3" spans="3:484" s="139" customFormat="1" ht="5.0999999999999996" customHeight="1" thickTop="1" x14ac:dyDescent="0.3">
      <c r="C3" s="136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7"/>
      <c r="BF3" s="137"/>
      <c r="BG3" s="137"/>
      <c r="BH3" s="137"/>
      <c r="BI3" s="137"/>
      <c r="BJ3" s="137"/>
      <c r="BK3" s="137"/>
      <c r="BL3" s="137"/>
      <c r="BM3" s="137"/>
      <c r="BN3" s="137"/>
      <c r="BO3" s="137"/>
      <c r="BP3" s="137"/>
      <c r="BQ3" s="137"/>
      <c r="BR3" s="137"/>
      <c r="BS3" s="137"/>
      <c r="BT3" s="137"/>
      <c r="BU3" s="137"/>
      <c r="BV3" s="137"/>
      <c r="BW3" s="137"/>
      <c r="BX3" s="137"/>
      <c r="BY3" s="137"/>
      <c r="BZ3" s="137"/>
      <c r="CA3" s="137"/>
      <c r="CB3" s="137"/>
      <c r="CC3" s="137"/>
      <c r="CD3" s="137"/>
      <c r="CE3" s="137"/>
      <c r="CF3" s="137"/>
      <c r="CG3" s="137"/>
      <c r="CH3" s="137"/>
      <c r="CI3" s="137"/>
      <c r="CJ3" s="137"/>
      <c r="CK3" s="137"/>
      <c r="CL3" s="137"/>
      <c r="CM3" s="137"/>
      <c r="CN3" s="137"/>
      <c r="CO3" s="137"/>
      <c r="CP3" s="137"/>
      <c r="CQ3" s="137"/>
      <c r="CR3" s="137"/>
      <c r="CS3" s="137"/>
      <c r="CT3" s="137"/>
      <c r="CU3" s="137"/>
      <c r="CV3" s="137"/>
      <c r="CW3" s="137"/>
      <c r="CX3" s="137"/>
      <c r="CY3" s="137"/>
      <c r="CZ3" s="137"/>
      <c r="DA3" s="137"/>
      <c r="DB3" s="137"/>
      <c r="DC3" s="137"/>
      <c r="DD3" s="137"/>
      <c r="DE3" s="137"/>
      <c r="DF3" s="137"/>
      <c r="DG3" s="137"/>
      <c r="DH3" s="137"/>
      <c r="DI3" s="137"/>
      <c r="DJ3" s="137"/>
      <c r="DK3" s="137"/>
      <c r="DL3" s="137"/>
      <c r="DM3" s="137"/>
      <c r="DN3" s="137"/>
      <c r="DO3" s="137"/>
      <c r="DP3" s="137"/>
      <c r="DQ3" s="137"/>
      <c r="DR3" s="137"/>
      <c r="DS3" s="137"/>
      <c r="DT3" s="137"/>
      <c r="DU3" s="137"/>
      <c r="DV3" s="137"/>
      <c r="DW3" s="137"/>
      <c r="DX3" s="137"/>
      <c r="DY3" s="137"/>
      <c r="DZ3" s="137"/>
      <c r="EA3" s="137"/>
      <c r="EB3" s="137"/>
      <c r="EC3" s="137"/>
      <c r="ED3" s="137"/>
      <c r="EE3" s="137"/>
      <c r="EF3" s="137"/>
      <c r="EG3" s="137"/>
      <c r="EH3" s="137"/>
      <c r="EI3" s="137"/>
      <c r="EJ3" s="137"/>
      <c r="EK3" s="137"/>
      <c r="EL3" s="137"/>
      <c r="EM3" s="137"/>
      <c r="EN3" s="137"/>
      <c r="EO3" s="137"/>
      <c r="EP3" s="137"/>
      <c r="EQ3" s="137"/>
      <c r="ER3" s="137"/>
      <c r="ES3" s="137"/>
      <c r="ET3" s="137"/>
      <c r="EU3" s="137"/>
      <c r="EV3" s="137"/>
      <c r="EW3" s="137"/>
      <c r="EX3" s="137"/>
      <c r="EY3" s="137"/>
      <c r="EZ3" s="137"/>
      <c r="FA3" s="137"/>
      <c r="FB3" s="137"/>
      <c r="FC3" s="137"/>
      <c r="FD3" s="137"/>
      <c r="FE3" s="137"/>
      <c r="FF3" s="137"/>
      <c r="FG3" s="137"/>
      <c r="FH3" s="137"/>
      <c r="FI3" s="137"/>
      <c r="FJ3" s="137"/>
      <c r="FK3" s="137"/>
      <c r="FL3" s="137"/>
      <c r="FM3" s="137"/>
      <c r="FN3" s="137"/>
      <c r="FO3" s="137"/>
      <c r="FP3" s="137"/>
      <c r="FQ3" s="137"/>
      <c r="FR3" s="137"/>
      <c r="FS3" s="137"/>
      <c r="FT3" s="137"/>
      <c r="FU3" s="137"/>
      <c r="FV3" s="137"/>
      <c r="FW3" s="137"/>
      <c r="FX3" s="137"/>
      <c r="FY3" s="137"/>
      <c r="FZ3" s="137"/>
      <c r="GA3" s="137"/>
      <c r="GB3" s="137"/>
      <c r="GC3" s="137"/>
      <c r="GD3" s="137"/>
      <c r="GE3" s="137"/>
      <c r="GF3" s="137"/>
      <c r="GG3" s="137"/>
      <c r="GH3" s="137"/>
      <c r="GI3" s="137"/>
      <c r="GJ3" s="137"/>
      <c r="GK3" s="137"/>
      <c r="GL3" s="137"/>
      <c r="GM3" s="137"/>
      <c r="GN3" s="137"/>
      <c r="GO3" s="137"/>
      <c r="GP3" s="137"/>
      <c r="GQ3" s="137"/>
      <c r="GR3" s="137"/>
      <c r="GS3" s="137"/>
      <c r="GT3" s="137"/>
      <c r="GU3" s="137"/>
      <c r="GV3" s="137"/>
      <c r="GW3" s="137"/>
      <c r="GX3" s="137"/>
      <c r="GY3" s="137"/>
      <c r="GZ3" s="137"/>
      <c r="HA3" s="137"/>
      <c r="HB3" s="137"/>
      <c r="HC3" s="137"/>
      <c r="HD3" s="137"/>
      <c r="HE3" s="137"/>
      <c r="HF3" s="137"/>
      <c r="HG3" s="137"/>
      <c r="HH3" s="137"/>
      <c r="HI3" s="137"/>
      <c r="HJ3" s="137"/>
      <c r="HK3" s="137"/>
      <c r="HL3" s="137"/>
      <c r="HM3" s="137"/>
      <c r="HN3" s="137"/>
      <c r="HO3" s="137"/>
      <c r="HP3" s="137"/>
      <c r="HQ3" s="137"/>
      <c r="HR3" s="137"/>
      <c r="HS3" s="137"/>
      <c r="HT3" s="137"/>
      <c r="HU3" s="137"/>
      <c r="HV3" s="137"/>
      <c r="HW3" s="137"/>
      <c r="HX3" s="137"/>
      <c r="HY3" s="137"/>
      <c r="HZ3" s="137"/>
      <c r="IA3" s="137"/>
      <c r="IB3" s="137"/>
      <c r="IC3" s="137"/>
      <c r="ID3" s="137"/>
      <c r="IE3" s="137"/>
      <c r="IF3" s="137"/>
      <c r="IG3" s="137"/>
      <c r="IH3" s="137"/>
      <c r="II3" s="137"/>
      <c r="IJ3" s="137"/>
      <c r="IK3" s="137"/>
      <c r="IL3" s="137"/>
      <c r="IM3" s="137"/>
      <c r="IN3" s="137"/>
      <c r="IO3" s="137"/>
      <c r="IP3" s="137"/>
      <c r="IQ3" s="137"/>
      <c r="IR3" s="137"/>
      <c r="IS3" s="137"/>
      <c r="IT3" s="137"/>
      <c r="IU3" s="137"/>
      <c r="IV3" s="137"/>
      <c r="IW3" s="137"/>
      <c r="IX3" s="137"/>
      <c r="IY3" s="137"/>
      <c r="IZ3" s="137"/>
      <c r="JA3" s="137"/>
      <c r="JB3" s="137"/>
      <c r="JC3" s="137"/>
      <c r="JD3" s="137"/>
      <c r="JE3" s="137"/>
      <c r="JF3" s="137"/>
      <c r="JG3" s="137"/>
      <c r="JH3" s="137"/>
      <c r="JI3" s="137"/>
      <c r="JJ3" s="137"/>
      <c r="JK3" s="137"/>
      <c r="JL3" s="137"/>
      <c r="JM3" s="137"/>
      <c r="JN3" s="137"/>
      <c r="JO3" s="137"/>
      <c r="JP3" s="137"/>
      <c r="JQ3" s="137"/>
      <c r="JR3" s="137"/>
      <c r="JS3" s="137"/>
      <c r="JT3" s="137"/>
      <c r="JU3" s="137"/>
      <c r="JV3" s="137"/>
      <c r="JW3" s="137"/>
      <c r="JX3" s="137"/>
      <c r="JY3" s="137"/>
      <c r="JZ3" s="137"/>
      <c r="KA3" s="137"/>
      <c r="KB3" s="137"/>
      <c r="KC3" s="137"/>
      <c r="KD3" s="137"/>
      <c r="KE3" s="137"/>
      <c r="KF3" s="137"/>
      <c r="KG3" s="137"/>
      <c r="KH3" s="137"/>
      <c r="KI3" s="137"/>
      <c r="KJ3" s="137"/>
      <c r="KK3" s="137"/>
      <c r="KL3" s="137"/>
      <c r="KM3" s="137"/>
      <c r="KN3" s="137"/>
      <c r="KO3" s="137"/>
      <c r="KP3" s="137"/>
      <c r="KQ3" s="137"/>
      <c r="KR3" s="137"/>
      <c r="KS3" s="137"/>
      <c r="KT3" s="137"/>
      <c r="KU3" s="137"/>
      <c r="KV3" s="137"/>
      <c r="KW3" s="137"/>
      <c r="KX3" s="137"/>
      <c r="KY3" s="137"/>
      <c r="KZ3" s="137"/>
      <c r="LA3" s="137"/>
      <c r="LB3" s="137"/>
      <c r="LC3" s="137"/>
      <c r="LD3" s="137"/>
      <c r="LE3" s="137"/>
      <c r="LF3" s="137"/>
      <c r="LG3" s="137"/>
      <c r="LH3" s="137"/>
      <c r="LI3" s="137"/>
      <c r="LJ3" s="137"/>
      <c r="LK3" s="137"/>
      <c r="LL3" s="137"/>
      <c r="LM3" s="137"/>
      <c r="LN3" s="137"/>
      <c r="LO3" s="137"/>
      <c r="LP3" s="137"/>
      <c r="LQ3" s="137"/>
      <c r="LR3" s="137"/>
      <c r="LS3" s="137"/>
      <c r="LT3" s="137"/>
      <c r="LU3" s="137"/>
      <c r="LV3" s="137"/>
      <c r="LW3" s="137"/>
      <c r="LX3" s="137"/>
      <c r="LY3" s="137"/>
      <c r="LZ3" s="137"/>
      <c r="MA3" s="137"/>
      <c r="MB3" s="137"/>
      <c r="MC3" s="137"/>
      <c r="MD3" s="137"/>
      <c r="ME3" s="137"/>
      <c r="MF3" s="137"/>
      <c r="MG3" s="137"/>
      <c r="MH3" s="137"/>
      <c r="MI3" s="137"/>
      <c r="MJ3" s="137"/>
      <c r="MK3" s="137"/>
      <c r="ML3" s="137"/>
      <c r="MM3" s="137"/>
      <c r="MN3" s="137"/>
      <c r="MO3" s="137"/>
      <c r="MP3" s="137"/>
      <c r="MQ3" s="137"/>
      <c r="MR3" s="137"/>
      <c r="MS3" s="137"/>
      <c r="MT3" s="137"/>
      <c r="MU3" s="137"/>
      <c r="MV3" s="137"/>
      <c r="MW3" s="137"/>
      <c r="MX3" s="137"/>
      <c r="MY3" s="137"/>
      <c r="MZ3" s="137"/>
      <c r="NA3" s="137"/>
      <c r="NB3" s="137"/>
      <c r="NC3" s="137"/>
      <c r="ND3" s="137"/>
      <c r="NE3" s="137"/>
      <c r="NF3" s="137"/>
      <c r="NG3" s="137"/>
      <c r="NH3" s="137"/>
      <c r="NI3" s="137"/>
      <c r="NJ3" s="137"/>
      <c r="NK3" s="137"/>
      <c r="NL3" s="137"/>
      <c r="NM3" s="137"/>
      <c r="NN3" s="137"/>
      <c r="NO3" s="137"/>
      <c r="NP3" s="137"/>
      <c r="NQ3" s="137"/>
      <c r="NR3" s="137"/>
      <c r="NS3" s="137"/>
      <c r="NT3" s="137"/>
      <c r="NU3" s="137"/>
      <c r="NV3" s="137"/>
      <c r="NW3" s="137"/>
      <c r="NX3" s="137"/>
      <c r="NY3" s="137"/>
      <c r="NZ3" s="137"/>
      <c r="OA3" s="137"/>
      <c r="OB3" s="137"/>
      <c r="OC3" s="137"/>
      <c r="OD3" s="137"/>
      <c r="OE3" s="137"/>
      <c r="OF3" s="137"/>
      <c r="OG3" s="137"/>
      <c r="OH3" s="137"/>
      <c r="OI3" s="137"/>
      <c r="OJ3" s="137"/>
      <c r="OK3" s="137"/>
      <c r="OL3" s="137"/>
      <c r="OM3" s="137"/>
      <c r="ON3" s="137"/>
      <c r="OO3" s="137"/>
      <c r="OP3" s="137"/>
      <c r="OQ3" s="137"/>
      <c r="OR3" s="137"/>
      <c r="OS3" s="137"/>
      <c r="OT3" s="137"/>
      <c r="OU3" s="137"/>
      <c r="OV3" s="137"/>
      <c r="OW3" s="137"/>
      <c r="OX3" s="137"/>
      <c r="OY3" s="137"/>
      <c r="OZ3" s="137"/>
      <c r="PA3" s="137"/>
      <c r="PB3" s="137"/>
      <c r="PC3" s="137"/>
      <c r="PD3" s="137"/>
      <c r="PE3" s="137"/>
      <c r="PF3" s="137"/>
      <c r="PG3" s="137"/>
      <c r="PH3" s="137"/>
      <c r="PI3" s="137"/>
      <c r="PJ3" s="137"/>
      <c r="PK3" s="137"/>
      <c r="PL3" s="137"/>
      <c r="PM3" s="137"/>
      <c r="PN3" s="137"/>
      <c r="PO3" s="137"/>
      <c r="PP3" s="137"/>
      <c r="PQ3" s="137"/>
      <c r="PR3" s="137"/>
      <c r="PS3" s="137"/>
      <c r="PT3" s="137"/>
      <c r="PU3" s="137"/>
      <c r="PV3" s="137"/>
      <c r="PW3" s="137"/>
      <c r="PX3" s="137"/>
      <c r="PY3" s="137"/>
      <c r="PZ3" s="137"/>
      <c r="QA3" s="137"/>
      <c r="QB3" s="137"/>
      <c r="QC3" s="137"/>
      <c r="QD3" s="137"/>
      <c r="QE3" s="137"/>
      <c r="QF3" s="137"/>
      <c r="QG3" s="137"/>
      <c r="QH3" s="137"/>
      <c r="QI3" s="137"/>
      <c r="QJ3" s="137"/>
      <c r="QK3" s="137"/>
      <c r="QL3" s="137"/>
      <c r="QM3" s="137"/>
      <c r="QN3" s="137"/>
      <c r="QO3" s="137"/>
      <c r="QP3" s="137"/>
      <c r="QQ3" s="137"/>
      <c r="QR3" s="138"/>
    </row>
    <row r="4" spans="3:484" s="139" customFormat="1" ht="5.0999999999999996" customHeight="1" thickBot="1" x14ac:dyDescent="0.35">
      <c r="C4" s="140"/>
      <c r="D4" s="141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2"/>
      <c r="BE4" s="142"/>
      <c r="BF4" s="142"/>
      <c r="BG4" s="142"/>
      <c r="BH4" s="142"/>
      <c r="BI4" s="142"/>
      <c r="BJ4" s="142"/>
      <c r="BK4" s="142"/>
      <c r="BL4" s="142"/>
      <c r="BM4" s="142"/>
      <c r="BN4" s="142"/>
      <c r="BO4" s="142"/>
      <c r="BP4" s="142"/>
      <c r="BQ4" s="142"/>
      <c r="BR4" s="142"/>
      <c r="BS4" s="142"/>
      <c r="BT4" s="142"/>
      <c r="BU4" s="142"/>
      <c r="BV4" s="142"/>
      <c r="BW4" s="142"/>
      <c r="BX4" s="142"/>
      <c r="BY4" s="142"/>
      <c r="BZ4" s="142"/>
      <c r="CA4" s="142"/>
      <c r="CB4" s="142"/>
      <c r="CC4" s="142"/>
      <c r="CD4" s="142"/>
      <c r="CE4" s="142"/>
      <c r="CF4" s="142"/>
      <c r="CG4" s="142"/>
      <c r="CH4" s="142"/>
      <c r="CI4" s="142"/>
      <c r="CJ4" s="142"/>
      <c r="CK4" s="142"/>
      <c r="CL4" s="142"/>
      <c r="CM4" s="142"/>
      <c r="CN4" s="142"/>
      <c r="CO4" s="142"/>
      <c r="CP4" s="142"/>
      <c r="CQ4" s="142"/>
      <c r="CR4" s="142"/>
      <c r="CS4" s="142"/>
      <c r="CT4" s="142"/>
      <c r="CU4" s="142"/>
      <c r="CV4" s="142"/>
      <c r="CW4" s="142"/>
      <c r="CX4" s="142"/>
      <c r="CY4" s="142"/>
      <c r="CZ4" s="142"/>
      <c r="DA4" s="142"/>
      <c r="DB4" s="142"/>
      <c r="DC4" s="142"/>
      <c r="DD4" s="142"/>
      <c r="DE4" s="142"/>
      <c r="DF4" s="142"/>
      <c r="DG4" s="142"/>
      <c r="DH4" s="142"/>
      <c r="DI4" s="142"/>
      <c r="DJ4" s="142"/>
      <c r="DK4" s="142"/>
      <c r="DL4" s="142"/>
      <c r="DM4" s="142"/>
      <c r="DN4" s="142"/>
      <c r="DO4" s="142"/>
      <c r="DP4" s="142"/>
      <c r="DQ4" s="142"/>
      <c r="DR4" s="142"/>
      <c r="DS4" s="142"/>
      <c r="DT4" s="142"/>
      <c r="DU4" s="142"/>
      <c r="DV4" s="142"/>
      <c r="DW4" s="142"/>
      <c r="DX4" s="142"/>
      <c r="DY4" s="142"/>
      <c r="DZ4" s="142"/>
      <c r="EA4" s="142"/>
      <c r="EB4" s="142"/>
      <c r="EC4" s="142"/>
      <c r="ED4" s="142"/>
      <c r="EE4" s="142"/>
      <c r="EF4" s="142"/>
      <c r="EG4" s="142"/>
      <c r="EH4" s="142"/>
      <c r="EI4" s="142"/>
      <c r="EJ4" s="142"/>
      <c r="EK4" s="142"/>
      <c r="EL4" s="142"/>
      <c r="EM4" s="142"/>
      <c r="EN4" s="142"/>
      <c r="EO4" s="142"/>
      <c r="EP4" s="142"/>
      <c r="EQ4" s="142"/>
      <c r="ER4" s="142"/>
      <c r="ES4" s="142"/>
      <c r="ET4" s="142"/>
      <c r="EU4" s="142"/>
      <c r="EV4" s="142"/>
      <c r="EW4" s="142"/>
      <c r="EX4" s="142"/>
      <c r="EY4" s="142"/>
      <c r="EZ4" s="142"/>
      <c r="FA4" s="142"/>
      <c r="FB4" s="142"/>
      <c r="FC4" s="142"/>
      <c r="FD4" s="142"/>
      <c r="FE4" s="142"/>
      <c r="FF4" s="142"/>
      <c r="FG4" s="142"/>
      <c r="FH4" s="142"/>
      <c r="FI4" s="142"/>
      <c r="FJ4" s="142"/>
      <c r="FK4" s="142"/>
      <c r="FL4" s="142"/>
      <c r="FM4" s="142"/>
      <c r="FN4" s="142"/>
      <c r="FO4" s="142"/>
      <c r="FP4" s="142"/>
      <c r="FQ4" s="142"/>
      <c r="FR4" s="142"/>
      <c r="FS4" s="142"/>
      <c r="FT4" s="142"/>
      <c r="FU4" s="142"/>
      <c r="FV4" s="142"/>
      <c r="FW4" s="142"/>
      <c r="FX4" s="142"/>
      <c r="FY4" s="142"/>
      <c r="FZ4" s="142"/>
      <c r="GA4" s="142"/>
      <c r="GB4" s="142"/>
      <c r="GC4" s="142"/>
      <c r="GD4" s="142"/>
      <c r="GE4" s="142"/>
      <c r="GF4" s="142"/>
      <c r="GG4" s="142"/>
      <c r="GH4" s="142"/>
      <c r="GI4" s="142"/>
      <c r="GJ4" s="142"/>
      <c r="GK4" s="142"/>
      <c r="GL4" s="142"/>
      <c r="GM4" s="142"/>
      <c r="GN4" s="142"/>
      <c r="GO4" s="142"/>
      <c r="GP4" s="142"/>
      <c r="GQ4" s="142"/>
      <c r="GR4" s="142"/>
      <c r="GS4" s="142"/>
      <c r="GT4" s="142"/>
      <c r="GU4" s="142"/>
      <c r="GV4" s="142"/>
      <c r="GW4" s="142"/>
      <c r="GX4" s="142"/>
      <c r="GY4" s="142"/>
      <c r="GZ4" s="142"/>
      <c r="HA4" s="142"/>
      <c r="HB4" s="142"/>
      <c r="HC4" s="142"/>
      <c r="HD4" s="142"/>
      <c r="HE4" s="142"/>
      <c r="HF4" s="142"/>
      <c r="HG4" s="142"/>
      <c r="HH4" s="142"/>
      <c r="HI4" s="142"/>
      <c r="HJ4" s="142"/>
      <c r="HK4" s="142"/>
      <c r="HL4" s="142"/>
      <c r="HM4" s="142"/>
      <c r="HN4" s="142"/>
      <c r="HO4" s="142"/>
      <c r="HP4" s="142"/>
      <c r="HQ4" s="142"/>
      <c r="HR4" s="142"/>
      <c r="HS4" s="142"/>
      <c r="HT4" s="142"/>
      <c r="HU4" s="142"/>
      <c r="HV4" s="142"/>
      <c r="HW4" s="142"/>
      <c r="HX4" s="142"/>
      <c r="HY4" s="142"/>
      <c r="HZ4" s="142"/>
      <c r="IA4" s="142"/>
      <c r="IB4" s="142"/>
      <c r="IC4" s="142"/>
      <c r="ID4" s="142"/>
      <c r="IE4" s="142"/>
      <c r="IF4" s="142"/>
      <c r="IG4" s="142"/>
      <c r="IH4" s="142"/>
      <c r="II4" s="142"/>
      <c r="IJ4" s="142"/>
      <c r="IK4" s="142"/>
      <c r="IL4" s="142"/>
      <c r="IM4" s="142"/>
      <c r="IN4" s="142"/>
      <c r="IO4" s="142"/>
      <c r="IP4" s="142"/>
      <c r="IQ4" s="142"/>
      <c r="IR4" s="142"/>
      <c r="IS4" s="142"/>
      <c r="IT4" s="142"/>
      <c r="IU4" s="142"/>
      <c r="IV4" s="142"/>
      <c r="IW4" s="142"/>
      <c r="IX4" s="142"/>
      <c r="IY4" s="142"/>
      <c r="IZ4" s="142"/>
      <c r="JA4" s="142"/>
      <c r="JB4" s="142"/>
      <c r="JC4" s="142"/>
      <c r="JD4" s="142"/>
      <c r="JE4" s="142"/>
      <c r="JF4" s="142"/>
      <c r="JG4" s="142"/>
      <c r="JH4" s="142"/>
      <c r="JI4" s="142"/>
      <c r="JJ4" s="142"/>
      <c r="JK4" s="142"/>
      <c r="JL4" s="142"/>
      <c r="JM4" s="142"/>
      <c r="JN4" s="142"/>
      <c r="JO4" s="142"/>
      <c r="JP4" s="142"/>
      <c r="JQ4" s="142"/>
      <c r="JR4" s="142"/>
      <c r="JS4" s="142"/>
      <c r="JT4" s="142"/>
      <c r="JU4" s="142"/>
      <c r="JV4" s="142"/>
      <c r="JW4" s="142"/>
      <c r="JX4" s="142"/>
      <c r="JY4" s="142"/>
      <c r="JZ4" s="142"/>
      <c r="KA4" s="142"/>
      <c r="KB4" s="142"/>
      <c r="KC4" s="142"/>
      <c r="KD4" s="142"/>
      <c r="KE4" s="142"/>
      <c r="KF4" s="142"/>
      <c r="KG4" s="142"/>
      <c r="KH4" s="142"/>
      <c r="KI4" s="142"/>
      <c r="KJ4" s="142"/>
      <c r="KK4" s="142"/>
      <c r="KL4" s="142"/>
      <c r="KM4" s="142"/>
      <c r="KN4" s="142"/>
      <c r="KO4" s="142"/>
      <c r="KP4" s="142"/>
      <c r="KQ4" s="142"/>
      <c r="KR4" s="142"/>
      <c r="KS4" s="142"/>
      <c r="KT4" s="142"/>
      <c r="KU4" s="142"/>
      <c r="KV4" s="142"/>
      <c r="KW4" s="142"/>
      <c r="KX4" s="142"/>
      <c r="KY4" s="142"/>
      <c r="KZ4" s="142"/>
      <c r="LA4" s="142"/>
      <c r="LB4" s="142"/>
      <c r="LC4" s="142"/>
      <c r="LD4" s="142"/>
      <c r="LE4" s="142"/>
      <c r="LF4" s="142"/>
      <c r="LG4" s="142"/>
      <c r="LH4" s="142"/>
      <c r="LI4" s="142"/>
      <c r="LJ4" s="142"/>
      <c r="LK4" s="142"/>
      <c r="LL4" s="142"/>
      <c r="LM4" s="142"/>
      <c r="LN4" s="142"/>
      <c r="LO4" s="142"/>
      <c r="LP4" s="142"/>
      <c r="LQ4" s="142"/>
      <c r="LR4" s="142"/>
      <c r="LS4" s="142"/>
      <c r="LT4" s="142"/>
      <c r="LU4" s="142"/>
      <c r="LV4" s="142"/>
      <c r="LW4" s="142"/>
      <c r="LX4" s="142"/>
      <c r="LY4" s="142"/>
      <c r="LZ4" s="142"/>
      <c r="MA4" s="142"/>
      <c r="MB4" s="142"/>
      <c r="MC4" s="142"/>
      <c r="MD4" s="142"/>
      <c r="ME4" s="142"/>
      <c r="MF4" s="142"/>
      <c r="MG4" s="142"/>
      <c r="MH4" s="142"/>
      <c r="MI4" s="142"/>
      <c r="MJ4" s="142"/>
      <c r="MK4" s="142"/>
      <c r="ML4" s="142"/>
      <c r="MM4" s="142"/>
      <c r="MN4" s="142"/>
      <c r="MO4" s="142"/>
      <c r="MP4" s="142"/>
      <c r="MQ4" s="142"/>
      <c r="MR4" s="142"/>
      <c r="MS4" s="142"/>
      <c r="MT4" s="142"/>
      <c r="MU4" s="142"/>
      <c r="MV4" s="142"/>
      <c r="MW4" s="142"/>
      <c r="MX4" s="142"/>
      <c r="MY4" s="142"/>
      <c r="MZ4" s="142"/>
      <c r="NA4" s="142"/>
      <c r="NB4" s="142"/>
      <c r="NC4" s="142"/>
      <c r="ND4" s="142"/>
      <c r="NE4" s="142"/>
      <c r="NF4" s="142"/>
      <c r="NG4" s="142"/>
      <c r="NH4" s="142"/>
      <c r="NI4" s="142"/>
      <c r="NJ4" s="142"/>
      <c r="NK4" s="142"/>
      <c r="NL4" s="142"/>
      <c r="NM4" s="142"/>
      <c r="NN4" s="142"/>
      <c r="NO4" s="142"/>
      <c r="NP4" s="142"/>
      <c r="NQ4" s="142"/>
      <c r="NR4" s="142"/>
      <c r="NS4" s="142"/>
      <c r="NT4" s="142"/>
      <c r="NU4" s="142"/>
      <c r="NV4" s="142"/>
      <c r="NW4" s="142"/>
      <c r="NX4" s="142"/>
      <c r="NY4" s="142"/>
      <c r="NZ4" s="142"/>
      <c r="OA4" s="142"/>
      <c r="OB4" s="142"/>
      <c r="OC4" s="142"/>
      <c r="OD4" s="142"/>
      <c r="OE4" s="142"/>
      <c r="OF4" s="142"/>
      <c r="OG4" s="142"/>
      <c r="OH4" s="142"/>
      <c r="OI4" s="142"/>
      <c r="OJ4" s="142"/>
      <c r="OK4" s="142"/>
      <c r="OL4" s="142"/>
      <c r="OM4" s="142"/>
      <c r="ON4" s="142"/>
      <c r="OO4" s="142"/>
      <c r="OP4" s="142"/>
      <c r="OQ4" s="142"/>
      <c r="OR4" s="142"/>
      <c r="OS4" s="142"/>
      <c r="OT4" s="142"/>
      <c r="OU4" s="142"/>
      <c r="OV4" s="142"/>
      <c r="OW4" s="142"/>
      <c r="OX4" s="142"/>
      <c r="OY4" s="142"/>
      <c r="OZ4" s="142"/>
      <c r="PA4" s="142"/>
      <c r="PB4" s="142"/>
      <c r="PC4" s="142"/>
      <c r="PD4" s="142"/>
      <c r="PE4" s="142"/>
      <c r="PF4" s="142"/>
      <c r="PG4" s="142"/>
      <c r="PH4" s="142"/>
      <c r="PI4" s="142"/>
      <c r="PJ4" s="142"/>
      <c r="PK4" s="142"/>
      <c r="PL4" s="142"/>
      <c r="PM4" s="142"/>
      <c r="PN4" s="142"/>
      <c r="PO4" s="142"/>
      <c r="PP4" s="142"/>
      <c r="PQ4" s="142"/>
      <c r="PR4" s="142"/>
      <c r="PS4" s="142"/>
      <c r="PT4" s="142"/>
      <c r="PU4" s="142"/>
      <c r="PV4" s="142"/>
      <c r="PW4" s="142"/>
      <c r="PX4" s="142"/>
      <c r="PY4" s="142"/>
      <c r="PZ4" s="142"/>
      <c r="QA4" s="142"/>
      <c r="QB4" s="142"/>
      <c r="QC4" s="142"/>
      <c r="QD4" s="142"/>
      <c r="QE4" s="142"/>
      <c r="QF4" s="142"/>
      <c r="QG4" s="142"/>
      <c r="QH4" s="142"/>
      <c r="QI4" s="142"/>
      <c r="QJ4" s="142"/>
      <c r="QK4" s="142"/>
      <c r="QL4" s="142"/>
      <c r="QM4" s="142"/>
      <c r="QN4" s="142"/>
      <c r="QO4" s="142"/>
      <c r="QP4" s="142"/>
      <c r="QQ4" s="143"/>
      <c r="QR4" s="144"/>
    </row>
    <row r="5" spans="3:484" s="139" customFormat="1" ht="9.6" customHeight="1" x14ac:dyDescent="0.3">
      <c r="C5" s="140"/>
      <c r="D5" s="145"/>
      <c r="E5" s="242" t="s">
        <v>260</v>
      </c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243"/>
      <c r="AG5" s="243"/>
      <c r="AH5" s="243"/>
      <c r="AI5" s="243"/>
      <c r="AJ5" s="243"/>
      <c r="AK5" s="243"/>
      <c r="AL5" s="243"/>
      <c r="AM5" s="243"/>
      <c r="AN5" s="243"/>
      <c r="AO5" s="243"/>
      <c r="AP5" s="243"/>
      <c r="AQ5" s="243"/>
      <c r="AR5" s="243"/>
      <c r="AS5" s="243"/>
      <c r="AT5" s="243"/>
      <c r="AU5" s="243"/>
      <c r="AV5" s="243"/>
      <c r="AW5" s="243"/>
      <c r="AX5" s="243"/>
      <c r="AY5" s="243"/>
      <c r="AZ5" s="243"/>
      <c r="BA5" s="243"/>
      <c r="BB5" s="243"/>
      <c r="BC5" s="243"/>
      <c r="BD5" s="243"/>
      <c r="BE5" s="243"/>
      <c r="BF5" s="243"/>
      <c r="BG5" s="243"/>
      <c r="BH5" s="243"/>
      <c r="BI5" s="243"/>
      <c r="BJ5" s="243"/>
      <c r="BK5" s="243"/>
      <c r="BL5" s="243"/>
      <c r="BM5" s="243"/>
      <c r="BN5" s="243"/>
      <c r="BO5" s="243"/>
      <c r="BP5" s="243"/>
      <c r="BQ5" s="243"/>
      <c r="BR5" s="243"/>
      <c r="BS5" s="243"/>
      <c r="BT5" s="243"/>
      <c r="BU5" s="243"/>
      <c r="BV5" s="243"/>
      <c r="BW5" s="243"/>
      <c r="BX5" s="243"/>
      <c r="BY5" s="243"/>
      <c r="BZ5" s="243"/>
      <c r="CA5" s="243"/>
      <c r="CB5" s="243"/>
      <c r="CC5" s="243"/>
      <c r="CD5" s="243"/>
      <c r="CE5" s="243"/>
      <c r="CF5" s="243"/>
      <c r="CG5" s="243"/>
      <c r="CH5" s="243"/>
      <c r="CI5" s="243"/>
      <c r="CJ5" s="243"/>
      <c r="CK5" s="243"/>
      <c r="CL5" s="243"/>
      <c r="CM5" s="243"/>
      <c r="CN5" s="243"/>
      <c r="CO5" s="243"/>
      <c r="CP5" s="243"/>
      <c r="CQ5" s="243"/>
      <c r="CR5" s="243"/>
      <c r="CS5" s="243"/>
      <c r="CT5" s="243"/>
      <c r="CU5" s="243"/>
      <c r="CV5" s="243"/>
      <c r="CW5" s="243"/>
      <c r="CX5" s="243"/>
      <c r="CY5" s="243"/>
      <c r="CZ5" s="243"/>
      <c r="DA5" s="243"/>
      <c r="DB5" s="243"/>
      <c r="DC5" s="243"/>
      <c r="DD5" s="243"/>
      <c r="DE5" s="243"/>
      <c r="DF5" s="243"/>
      <c r="DG5" s="243"/>
      <c r="DH5" s="243"/>
      <c r="DI5" s="243"/>
      <c r="DJ5" s="243"/>
      <c r="DK5" s="243"/>
      <c r="DL5" s="243"/>
      <c r="DM5" s="243"/>
      <c r="DN5" s="243"/>
      <c r="DO5" s="243"/>
      <c r="DP5" s="243"/>
      <c r="DQ5" s="243"/>
      <c r="DR5" s="243"/>
      <c r="DS5" s="243"/>
      <c r="DT5" s="243"/>
      <c r="DU5" s="243"/>
      <c r="DV5" s="243"/>
      <c r="DW5" s="243"/>
      <c r="DX5" s="243"/>
      <c r="DY5" s="243"/>
      <c r="DZ5" s="243"/>
      <c r="EA5" s="243"/>
      <c r="EB5" s="243"/>
      <c r="EC5" s="243"/>
      <c r="ED5" s="243"/>
      <c r="EE5" s="243"/>
      <c r="EF5" s="243"/>
      <c r="EG5" s="243"/>
      <c r="EH5" s="243"/>
      <c r="EI5" s="243"/>
      <c r="EJ5" s="243"/>
      <c r="EK5" s="243"/>
      <c r="EL5" s="243"/>
      <c r="EM5" s="243"/>
      <c r="EN5" s="243"/>
      <c r="EO5" s="243"/>
      <c r="EP5" s="243"/>
      <c r="EQ5" s="243"/>
      <c r="ER5" s="243"/>
      <c r="ES5" s="243"/>
      <c r="ET5" s="243"/>
      <c r="EU5" s="243"/>
      <c r="EV5" s="243"/>
      <c r="EW5" s="243"/>
      <c r="EX5" s="243"/>
      <c r="EY5" s="243"/>
      <c r="EZ5" s="243"/>
      <c r="FA5" s="243"/>
      <c r="FB5" s="243"/>
      <c r="FC5" s="243"/>
      <c r="FD5" s="243"/>
      <c r="FE5" s="243"/>
      <c r="FF5" s="243"/>
      <c r="FG5" s="243"/>
      <c r="FH5" s="243"/>
      <c r="FI5" s="243"/>
      <c r="FJ5" s="243"/>
      <c r="FK5" s="243"/>
      <c r="FL5" s="243"/>
      <c r="FM5" s="243"/>
      <c r="FN5" s="243"/>
      <c r="FO5" s="243"/>
      <c r="FP5" s="243"/>
      <c r="FQ5" s="243"/>
      <c r="FR5" s="243"/>
      <c r="FS5" s="243"/>
      <c r="FT5" s="243"/>
      <c r="FU5" s="243"/>
      <c r="FV5" s="243"/>
      <c r="FW5" s="243"/>
      <c r="FX5" s="243"/>
      <c r="FY5" s="243"/>
      <c r="FZ5" s="243"/>
      <c r="GA5" s="243"/>
      <c r="GB5" s="243"/>
      <c r="GC5" s="243"/>
      <c r="GD5" s="243"/>
      <c r="GE5" s="243"/>
      <c r="GF5" s="243"/>
      <c r="GG5" s="243"/>
      <c r="GH5" s="243"/>
      <c r="GI5" s="243"/>
      <c r="GJ5" s="243"/>
      <c r="GK5" s="243"/>
      <c r="GL5" s="243"/>
      <c r="GM5" s="243"/>
      <c r="GN5" s="243"/>
      <c r="GO5" s="243"/>
      <c r="GP5" s="243"/>
      <c r="GQ5" s="243"/>
      <c r="GR5" s="243"/>
      <c r="GS5" s="243"/>
      <c r="GT5" s="243"/>
      <c r="GU5" s="243"/>
      <c r="GV5" s="243"/>
      <c r="GW5" s="243"/>
      <c r="GX5" s="243"/>
      <c r="GY5" s="243"/>
      <c r="GZ5" s="243"/>
      <c r="HA5" s="243"/>
      <c r="HB5" s="243"/>
      <c r="HC5" s="243"/>
      <c r="HD5" s="243"/>
      <c r="HE5" s="243"/>
      <c r="HF5" s="243"/>
      <c r="HG5" s="243"/>
      <c r="HH5" s="243"/>
      <c r="HI5" s="243"/>
      <c r="HJ5" s="243"/>
      <c r="HK5" s="243"/>
      <c r="HL5" s="243"/>
      <c r="HM5" s="243"/>
      <c r="HN5" s="243"/>
      <c r="HO5" s="243"/>
      <c r="HP5" s="243"/>
      <c r="HQ5" s="243"/>
      <c r="HR5" s="243"/>
      <c r="HS5" s="243"/>
      <c r="HT5" s="243"/>
      <c r="HU5" s="243"/>
      <c r="HV5" s="243"/>
      <c r="HW5" s="243"/>
      <c r="HX5" s="243"/>
      <c r="HY5" s="243"/>
      <c r="HZ5" s="243"/>
      <c r="IA5" s="243"/>
      <c r="IB5" s="243"/>
      <c r="IC5" s="243"/>
      <c r="ID5" s="243"/>
      <c r="IE5" s="243"/>
      <c r="IF5" s="243"/>
      <c r="IG5" s="243"/>
      <c r="IH5" s="243"/>
      <c r="II5" s="243"/>
      <c r="IJ5" s="243"/>
      <c r="IK5" s="243"/>
      <c r="IL5" s="243"/>
      <c r="IM5" s="243"/>
      <c r="IN5" s="243"/>
      <c r="IO5" s="243"/>
      <c r="IP5" s="243"/>
      <c r="IQ5" s="243"/>
      <c r="IR5" s="243"/>
      <c r="IS5" s="243"/>
      <c r="IT5" s="243"/>
      <c r="IU5" s="243"/>
      <c r="IV5" s="243"/>
      <c r="IW5" s="243"/>
      <c r="IX5" s="243"/>
      <c r="IY5" s="243"/>
      <c r="IZ5" s="243"/>
      <c r="JA5" s="243"/>
      <c r="JB5" s="243"/>
      <c r="JC5" s="243"/>
      <c r="JD5" s="243"/>
      <c r="JE5" s="243"/>
      <c r="JF5" s="243"/>
      <c r="JG5" s="243"/>
      <c r="JH5" s="243"/>
      <c r="JI5" s="243"/>
      <c r="JJ5" s="243"/>
      <c r="JK5" s="243"/>
      <c r="JL5" s="243"/>
      <c r="JM5" s="243"/>
      <c r="JN5" s="243"/>
      <c r="JO5" s="243"/>
      <c r="JP5" s="243"/>
      <c r="JQ5" s="243"/>
      <c r="JR5" s="243"/>
      <c r="JS5" s="243"/>
      <c r="JT5" s="243"/>
      <c r="JU5" s="243"/>
      <c r="JV5" s="243"/>
      <c r="JW5" s="243"/>
      <c r="JX5" s="243"/>
      <c r="JY5" s="243"/>
      <c r="JZ5" s="243"/>
      <c r="KA5" s="243"/>
      <c r="KB5" s="243"/>
      <c r="KC5" s="243"/>
      <c r="KD5" s="243"/>
      <c r="KE5" s="243"/>
      <c r="KF5" s="243"/>
      <c r="KG5" s="243"/>
      <c r="KH5" s="243"/>
      <c r="KI5" s="243"/>
      <c r="KJ5" s="243"/>
      <c r="KK5" s="243"/>
      <c r="KL5" s="243"/>
      <c r="KM5" s="243"/>
      <c r="KN5" s="243"/>
      <c r="KO5" s="243"/>
      <c r="KP5" s="243"/>
      <c r="KQ5" s="243"/>
      <c r="KR5" s="243"/>
      <c r="KS5" s="243"/>
      <c r="KT5" s="243"/>
      <c r="KU5" s="243"/>
      <c r="KV5" s="243"/>
      <c r="KW5" s="243"/>
      <c r="KX5" s="243"/>
      <c r="KY5" s="243"/>
      <c r="KZ5" s="243"/>
      <c r="LA5" s="243"/>
      <c r="LB5" s="243"/>
      <c r="LC5" s="243"/>
      <c r="LD5" s="243"/>
      <c r="LE5" s="243"/>
      <c r="LF5" s="243"/>
      <c r="LG5" s="243"/>
      <c r="LH5" s="243"/>
      <c r="LI5" s="243"/>
      <c r="LJ5" s="243"/>
      <c r="LK5" s="243"/>
      <c r="LL5" s="243"/>
      <c r="LM5" s="243"/>
      <c r="LN5" s="243"/>
      <c r="LO5" s="243"/>
      <c r="LP5" s="243"/>
      <c r="LQ5" s="243"/>
      <c r="LR5" s="243"/>
      <c r="LS5" s="243"/>
      <c r="LT5" s="243"/>
      <c r="LU5" s="243"/>
      <c r="LV5" s="243"/>
      <c r="LW5" s="243"/>
      <c r="LX5" s="243"/>
      <c r="LY5" s="243"/>
      <c r="LZ5" s="243"/>
      <c r="MA5" s="243"/>
      <c r="MB5" s="243"/>
      <c r="MC5" s="243"/>
      <c r="MD5" s="243"/>
      <c r="ME5" s="243"/>
      <c r="MF5" s="243"/>
      <c r="MG5" s="243"/>
      <c r="MH5" s="243"/>
      <c r="MI5" s="243"/>
      <c r="MJ5" s="243"/>
      <c r="MK5" s="243"/>
      <c r="ML5" s="243"/>
      <c r="MM5" s="243"/>
      <c r="MN5" s="243"/>
      <c r="MO5" s="243"/>
      <c r="MP5" s="243"/>
      <c r="MQ5" s="243"/>
      <c r="MR5" s="243"/>
      <c r="MS5" s="243"/>
      <c r="MT5" s="243"/>
      <c r="MU5" s="243"/>
      <c r="MV5" s="243"/>
      <c r="MW5" s="243"/>
      <c r="MX5" s="243"/>
      <c r="MY5" s="243"/>
      <c r="MZ5" s="243"/>
      <c r="NA5" s="243"/>
      <c r="NB5" s="243"/>
      <c r="NC5" s="243"/>
      <c r="ND5" s="243"/>
      <c r="NE5" s="243"/>
      <c r="NF5" s="243"/>
      <c r="NG5" s="243"/>
      <c r="NH5" s="243"/>
      <c r="NI5" s="243"/>
      <c r="NJ5" s="243"/>
      <c r="NK5" s="243"/>
      <c r="NL5" s="243"/>
      <c r="NM5" s="243"/>
      <c r="NN5" s="243"/>
      <c r="NO5" s="243"/>
      <c r="NP5" s="243"/>
      <c r="NQ5" s="243"/>
      <c r="NR5" s="243"/>
      <c r="NS5" s="243"/>
      <c r="NT5" s="243"/>
      <c r="NU5" s="243"/>
      <c r="NV5" s="243"/>
      <c r="NW5" s="243"/>
      <c r="NX5" s="243"/>
      <c r="NY5" s="243"/>
      <c r="NZ5" s="243"/>
      <c r="OA5" s="243"/>
      <c r="OB5" s="243"/>
      <c r="OC5" s="243"/>
      <c r="OD5" s="243"/>
      <c r="OE5" s="243"/>
      <c r="OF5" s="243"/>
      <c r="OG5" s="243"/>
      <c r="OH5" s="243"/>
      <c r="OI5" s="243"/>
      <c r="OJ5" s="243"/>
      <c r="OK5" s="243"/>
      <c r="OL5" s="243"/>
      <c r="OM5" s="243"/>
      <c r="ON5" s="243"/>
      <c r="OO5" s="243"/>
      <c r="OP5" s="243"/>
      <c r="OQ5" s="243"/>
      <c r="OR5" s="243"/>
      <c r="OS5" s="243"/>
      <c r="OT5" s="243"/>
      <c r="OU5" s="243"/>
      <c r="OV5" s="243"/>
      <c r="OW5" s="243"/>
      <c r="OX5" s="243"/>
      <c r="OY5" s="243"/>
      <c r="OZ5" s="243"/>
      <c r="PA5" s="243"/>
      <c r="PB5" s="243"/>
      <c r="PC5" s="243"/>
      <c r="PD5" s="243"/>
      <c r="PE5" s="243"/>
      <c r="PF5" s="243"/>
      <c r="PG5" s="243"/>
      <c r="PH5" s="243"/>
      <c r="PI5" s="243"/>
      <c r="PJ5" s="243"/>
      <c r="PK5" s="243"/>
      <c r="PL5" s="243"/>
      <c r="PM5" s="243"/>
      <c r="PN5" s="243"/>
      <c r="PO5" s="243"/>
      <c r="PP5" s="243"/>
      <c r="PQ5" s="243"/>
      <c r="PR5" s="243"/>
      <c r="PS5" s="243"/>
      <c r="PT5" s="243"/>
      <c r="PU5" s="243"/>
      <c r="PV5" s="243"/>
      <c r="PW5" s="243"/>
      <c r="PX5" s="243"/>
      <c r="PY5" s="243"/>
      <c r="PZ5" s="243"/>
      <c r="QA5" s="243"/>
      <c r="QB5" s="243"/>
      <c r="QC5" s="243"/>
      <c r="QD5" s="243"/>
      <c r="QE5" s="243"/>
      <c r="QF5" s="243"/>
      <c r="QG5" s="243"/>
      <c r="QH5" s="243"/>
      <c r="QI5" s="243"/>
      <c r="QJ5" s="243"/>
      <c r="QK5" s="243"/>
      <c r="QL5" s="243"/>
      <c r="QM5" s="243"/>
      <c r="QN5" s="243"/>
      <c r="QO5" s="243"/>
      <c r="QP5" s="244"/>
      <c r="QQ5" s="146"/>
      <c r="QR5" s="144"/>
    </row>
    <row r="6" spans="3:484" s="139" customFormat="1" ht="9.6" customHeight="1" x14ac:dyDescent="0.3">
      <c r="C6" s="140"/>
      <c r="D6" s="145"/>
      <c r="E6" s="245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6"/>
      <c r="Z6" s="246"/>
      <c r="AA6" s="246"/>
      <c r="AB6" s="246"/>
      <c r="AC6" s="246"/>
      <c r="AD6" s="246"/>
      <c r="AE6" s="246"/>
      <c r="AF6" s="246"/>
      <c r="AG6" s="246"/>
      <c r="AH6" s="246"/>
      <c r="AI6" s="246"/>
      <c r="AJ6" s="246"/>
      <c r="AK6" s="246"/>
      <c r="AL6" s="246"/>
      <c r="AM6" s="246"/>
      <c r="AN6" s="246"/>
      <c r="AO6" s="246"/>
      <c r="AP6" s="246"/>
      <c r="AQ6" s="246"/>
      <c r="AR6" s="246"/>
      <c r="AS6" s="246"/>
      <c r="AT6" s="246"/>
      <c r="AU6" s="246"/>
      <c r="AV6" s="246"/>
      <c r="AW6" s="246"/>
      <c r="AX6" s="246"/>
      <c r="AY6" s="246"/>
      <c r="AZ6" s="246"/>
      <c r="BA6" s="246"/>
      <c r="BB6" s="246"/>
      <c r="BC6" s="246"/>
      <c r="BD6" s="246"/>
      <c r="BE6" s="246"/>
      <c r="BF6" s="246"/>
      <c r="BG6" s="246"/>
      <c r="BH6" s="246"/>
      <c r="BI6" s="246"/>
      <c r="BJ6" s="246"/>
      <c r="BK6" s="246"/>
      <c r="BL6" s="246"/>
      <c r="BM6" s="246"/>
      <c r="BN6" s="246"/>
      <c r="BO6" s="246"/>
      <c r="BP6" s="246"/>
      <c r="BQ6" s="246"/>
      <c r="BR6" s="246"/>
      <c r="BS6" s="246"/>
      <c r="BT6" s="246"/>
      <c r="BU6" s="246"/>
      <c r="BV6" s="246"/>
      <c r="BW6" s="246"/>
      <c r="BX6" s="246"/>
      <c r="BY6" s="246"/>
      <c r="BZ6" s="246"/>
      <c r="CA6" s="246"/>
      <c r="CB6" s="246"/>
      <c r="CC6" s="246"/>
      <c r="CD6" s="246"/>
      <c r="CE6" s="246"/>
      <c r="CF6" s="246"/>
      <c r="CG6" s="246"/>
      <c r="CH6" s="246"/>
      <c r="CI6" s="246"/>
      <c r="CJ6" s="246"/>
      <c r="CK6" s="246"/>
      <c r="CL6" s="246"/>
      <c r="CM6" s="246"/>
      <c r="CN6" s="246"/>
      <c r="CO6" s="246"/>
      <c r="CP6" s="246"/>
      <c r="CQ6" s="246"/>
      <c r="CR6" s="246"/>
      <c r="CS6" s="246"/>
      <c r="CT6" s="246"/>
      <c r="CU6" s="246"/>
      <c r="CV6" s="246"/>
      <c r="CW6" s="246"/>
      <c r="CX6" s="246"/>
      <c r="CY6" s="246"/>
      <c r="CZ6" s="246"/>
      <c r="DA6" s="246"/>
      <c r="DB6" s="246"/>
      <c r="DC6" s="246"/>
      <c r="DD6" s="246"/>
      <c r="DE6" s="246"/>
      <c r="DF6" s="246"/>
      <c r="DG6" s="246"/>
      <c r="DH6" s="246"/>
      <c r="DI6" s="246"/>
      <c r="DJ6" s="246"/>
      <c r="DK6" s="246"/>
      <c r="DL6" s="246"/>
      <c r="DM6" s="246"/>
      <c r="DN6" s="246"/>
      <c r="DO6" s="246"/>
      <c r="DP6" s="246"/>
      <c r="DQ6" s="246"/>
      <c r="DR6" s="246"/>
      <c r="DS6" s="246"/>
      <c r="DT6" s="246"/>
      <c r="DU6" s="246"/>
      <c r="DV6" s="246"/>
      <c r="DW6" s="246"/>
      <c r="DX6" s="246"/>
      <c r="DY6" s="246"/>
      <c r="DZ6" s="246"/>
      <c r="EA6" s="246"/>
      <c r="EB6" s="246"/>
      <c r="EC6" s="246"/>
      <c r="ED6" s="246"/>
      <c r="EE6" s="246"/>
      <c r="EF6" s="246"/>
      <c r="EG6" s="246"/>
      <c r="EH6" s="246"/>
      <c r="EI6" s="246"/>
      <c r="EJ6" s="246"/>
      <c r="EK6" s="246"/>
      <c r="EL6" s="246"/>
      <c r="EM6" s="246"/>
      <c r="EN6" s="246"/>
      <c r="EO6" s="246"/>
      <c r="EP6" s="246"/>
      <c r="EQ6" s="246"/>
      <c r="ER6" s="246"/>
      <c r="ES6" s="246"/>
      <c r="ET6" s="246"/>
      <c r="EU6" s="246"/>
      <c r="EV6" s="246"/>
      <c r="EW6" s="246"/>
      <c r="EX6" s="246"/>
      <c r="EY6" s="246"/>
      <c r="EZ6" s="246"/>
      <c r="FA6" s="246"/>
      <c r="FB6" s="246"/>
      <c r="FC6" s="246"/>
      <c r="FD6" s="246"/>
      <c r="FE6" s="246"/>
      <c r="FF6" s="246"/>
      <c r="FG6" s="246"/>
      <c r="FH6" s="246"/>
      <c r="FI6" s="246"/>
      <c r="FJ6" s="246"/>
      <c r="FK6" s="246"/>
      <c r="FL6" s="246"/>
      <c r="FM6" s="246"/>
      <c r="FN6" s="246"/>
      <c r="FO6" s="246"/>
      <c r="FP6" s="246"/>
      <c r="FQ6" s="246"/>
      <c r="FR6" s="246"/>
      <c r="FS6" s="246"/>
      <c r="FT6" s="246"/>
      <c r="FU6" s="246"/>
      <c r="FV6" s="246"/>
      <c r="FW6" s="246"/>
      <c r="FX6" s="246"/>
      <c r="FY6" s="246"/>
      <c r="FZ6" s="246"/>
      <c r="GA6" s="246"/>
      <c r="GB6" s="246"/>
      <c r="GC6" s="246"/>
      <c r="GD6" s="246"/>
      <c r="GE6" s="246"/>
      <c r="GF6" s="246"/>
      <c r="GG6" s="246"/>
      <c r="GH6" s="246"/>
      <c r="GI6" s="246"/>
      <c r="GJ6" s="246"/>
      <c r="GK6" s="246"/>
      <c r="GL6" s="246"/>
      <c r="GM6" s="246"/>
      <c r="GN6" s="246"/>
      <c r="GO6" s="246"/>
      <c r="GP6" s="246"/>
      <c r="GQ6" s="246"/>
      <c r="GR6" s="246"/>
      <c r="GS6" s="246"/>
      <c r="GT6" s="246"/>
      <c r="GU6" s="246"/>
      <c r="GV6" s="246"/>
      <c r="GW6" s="246"/>
      <c r="GX6" s="246"/>
      <c r="GY6" s="246"/>
      <c r="GZ6" s="246"/>
      <c r="HA6" s="246"/>
      <c r="HB6" s="246"/>
      <c r="HC6" s="246"/>
      <c r="HD6" s="246"/>
      <c r="HE6" s="246"/>
      <c r="HF6" s="246"/>
      <c r="HG6" s="246"/>
      <c r="HH6" s="246"/>
      <c r="HI6" s="246"/>
      <c r="HJ6" s="246"/>
      <c r="HK6" s="246"/>
      <c r="HL6" s="246"/>
      <c r="HM6" s="246"/>
      <c r="HN6" s="246"/>
      <c r="HO6" s="246"/>
      <c r="HP6" s="246"/>
      <c r="HQ6" s="246"/>
      <c r="HR6" s="246"/>
      <c r="HS6" s="246"/>
      <c r="HT6" s="246"/>
      <c r="HU6" s="246"/>
      <c r="HV6" s="246"/>
      <c r="HW6" s="246"/>
      <c r="HX6" s="246"/>
      <c r="HY6" s="246"/>
      <c r="HZ6" s="246"/>
      <c r="IA6" s="246"/>
      <c r="IB6" s="246"/>
      <c r="IC6" s="246"/>
      <c r="ID6" s="246"/>
      <c r="IE6" s="246"/>
      <c r="IF6" s="246"/>
      <c r="IG6" s="246"/>
      <c r="IH6" s="246"/>
      <c r="II6" s="246"/>
      <c r="IJ6" s="246"/>
      <c r="IK6" s="246"/>
      <c r="IL6" s="246"/>
      <c r="IM6" s="246"/>
      <c r="IN6" s="246"/>
      <c r="IO6" s="246"/>
      <c r="IP6" s="246"/>
      <c r="IQ6" s="246"/>
      <c r="IR6" s="246"/>
      <c r="IS6" s="246"/>
      <c r="IT6" s="246"/>
      <c r="IU6" s="246"/>
      <c r="IV6" s="246"/>
      <c r="IW6" s="246"/>
      <c r="IX6" s="246"/>
      <c r="IY6" s="246"/>
      <c r="IZ6" s="246"/>
      <c r="JA6" s="246"/>
      <c r="JB6" s="246"/>
      <c r="JC6" s="246"/>
      <c r="JD6" s="246"/>
      <c r="JE6" s="246"/>
      <c r="JF6" s="246"/>
      <c r="JG6" s="246"/>
      <c r="JH6" s="246"/>
      <c r="JI6" s="246"/>
      <c r="JJ6" s="246"/>
      <c r="JK6" s="246"/>
      <c r="JL6" s="246"/>
      <c r="JM6" s="246"/>
      <c r="JN6" s="246"/>
      <c r="JO6" s="246"/>
      <c r="JP6" s="246"/>
      <c r="JQ6" s="246"/>
      <c r="JR6" s="246"/>
      <c r="JS6" s="246"/>
      <c r="JT6" s="246"/>
      <c r="JU6" s="246"/>
      <c r="JV6" s="246"/>
      <c r="JW6" s="246"/>
      <c r="JX6" s="246"/>
      <c r="JY6" s="246"/>
      <c r="JZ6" s="246"/>
      <c r="KA6" s="246"/>
      <c r="KB6" s="246"/>
      <c r="KC6" s="246"/>
      <c r="KD6" s="246"/>
      <c r="KE6" s="246"/>
      <c r="KF6" s="246"/>
      <c r="KG6" s="246"/>
      <c r="KH6" s="246"/>
      <c r="KI6" s="246"/>
      <c r="KJ6" s="246"/>
      <c r="KK6" s="246"/>
      <c r="KL6" s="246"/>
      <c r="KM6" s="246"/>
      <c r="KN6" s="246"/>
      <c r="KO6" s="246"/>
      <c r="KP6" s="246"/>
      <c r="KQ6" s="246"/>
      <c r="KR6" s="246"/>
      <c r="KS6" s="246"/>
      <c r="KT6" s="246"/>
      <c r="KU6" s="246"/>
      <c r="KV6" s="246"/>
      <c r="KW6" s="246"/>
      <c r="KX6" s="246"/>
      <c r="KY6" s="246"/>
      <c r="KZ6" s="246"/>
      <c r="LA6" s="246"/>
      <c r="LB6" s="246"/>
      <c r="LC6" s="246"/>
      <c r="LD6" s="246"/>
      <c r="LE6" s="246"/>
      <c r="LF6" s="246"/>
      <c r="LG6" s="246"/>
      <c r="LH6" s="246"/>
      <c r="LI6" s="246"/>
      <c r="LJ6" s="246"/>
      <c r="LK6" s="246"/>
      <c r="LL6" s="246"/>
      <c r="LM6" s="246"/>
      <c r="LN6" s="246"/>
      <c r="LO6" s="246"/>
      <c r="LP6" s="246"/>
      <c r="LQ6" s="246"/>
      <c r="LR6" s="246"/>
      <c r="LS6" s="246"/>
      <c r="LT6" s="246"/>
      <c r="LU6" s="246"/>
      <c r="LV6" s="246"/>
      <c r="LW6" s="246"/>
      <c r="LX6" s="246"/>
      <c r="LY6" s="246"/>
      <c r="LZ6" s="246"/>
      <c r="MA6" s="246"/>
      <c r="MB6" s="246"/>
      <c r="MC6" s="246"/>
      <c r="MD6" s="246"/>
      <c r="ME6" s="246"/>
      <c r="MF6" s="246"/>
      <c r="MG6" s="246"/>
      <c r="MH6" s="246"/>
      <c r="MI6" s="246"/>
      <c r="MJ6" s="246"/>
      <c r="MK6" s="246"/>
      <c r="ML6" s="246"/>
      <c r="MM6" s="246"/>
      <c r="MN6" s="246"/>
      <c r="MO6" s="246"/>
      <c r="MP6" s="246"/>
      <c r="MQ6" s="246"/>
      <c r="MR6" s="246"/>
      <c r="MS6" s="246"/>
      <c r="MT6" s="246"/>
      <c r="MU6" s="246"/>
      <c r="MV6" s="246"/>
      <c r="MW6" s="246"/>
      <c r="MX6" s="246"/>
      <c r="MY6" s="246"/>
      <c r="MZ6" s="246"/>
      <c r="NA6" s="246"/>
      <c r="NB6" s="246"/>
      <c r="NC6" s="246"/>
      <c r="ND6" s="246"/>
      <c r="NE6" s="246"/>
      <c r="NF6" s="246"/>
      <c r="NG6" s="246"/>
      <c r="NH6" s="246"/>
      <c r="NI6" s="246"/>
      <c r="NJ6" s="246"/>
      <c r="NK6" s="246"/>
      <c r="NL6" s="246"/>
      <c r="NM6" s="246"/>
      <c r="NN6" s="246"/>
      <c r="NO6" s="246"/>
      <c r="NP6" s="246"/>
      <c r="NQ6" s="246"/>
      <c r="NR6" s="246"/>
      <c r="NS6" s="246"/>
      <c r="NT6" s="246"/>
      <c r="NU6" s="246"/>
      <c r="NV6" s="246"/>
      <c r="NW6" s="246"/>
      <c r="NX6" s="246"/>
      <c r="NY6" s="246"/>
      <c r="NZ6" s="246"/>
      <c r="OA6" s="246"/>
      <c r="OB6" s="246"/>
      <c r="OC6" s="246"/>
      <c r="OD6" s="246"/>
      <c r="OE6" s="246"/>
      <c r="OF6" s="246"/>
      <c r="OG6" s="246"/>
      <c r="OH6" s="246"/>
      <c r="OI6" s="246"/>
      <c r="OJ6" s="246"/>
      <c r="OK6" s="246"/>
      <c r="OL6" s="246"/>
      <c r="OM6" s="246"/>
      <c r="ON6" s="246"/>
      <c r="OO6" s="246"/>
      <c r="OP6" s="246"/>
      <c r="OQ6" s="246"/>
      <c r="OR6" s="246"/>
      <c r="OS6" s="246"/>
      <c r="OT6" s="246"/>
      <c r="OU6" s="246"/>
      <c r="OV6" s="246"/>
      <c r="OW6" s="246"/>
      <c r="OX6" s="246"/>
      <c r="OY6" s="246"/>
      <c r="OZ6" s="246"/>
      <c r="PA6" s="246"/>
      <c r="PB6" s="246"/>
      <c r="PC6" s="246"/>
      <c r="PD6" s="246"/>
      <c r="PE6" s="246"/>
      <c r="PF6" s="246"/>
      <c r="PG6" s="246"/>
      <c r="PH6" s="246"/>
      <c r="PI6" s="246"/>
      <c r="PJ6" s="246"/>
      <c r="PK6" s="246"/>
      <c r="PL6" s="246"/>
      <c r="PM6" s="246"/>
      <c r="PN6" s="246"/>
      <c r="PO6" s="246"/>
      <c r="PP6" s="246"/>
      <c r="PQ6" s="246"/>
      <c r="PR6" s="246"/>
      <c r="PS6" s="246"/>
      <c r="PT6" s="246"/>
      <c r="PU6" s="246"/>
      <c r="PV6" s="246"/>
      <c r="PW6" s="246"/>
      <c r="PX6" s="246"/>
      <c r="PY6" s="246"/>
      <c r="PZ6" s="246"/>
      <c r="QA6" s="246"/>
      <c r="QB6" s="246"/>
      <c r="QC6" s="246"/>
      <c r="QD6" s="246"/>
      <c r="QE6" s="246"/>
      <c r="QF6" s="246"/>
      <c r="QG6" s="246"/>
      <c r="QH6" s="246"/>
      <c r="QI6" s="246"/>
      <c r="QJ6" s="246"/>
      <c r="QK6" s="246"/>
      <c r="QL6" s="246"/>
      <c r="QM6" s="246"/>
      <c r="QN6" s="246"/>
      <c r="QO6" s="246"/>
      <c r="QP6" s="247"/>
      <c r="QQ6" s="146"/>
      <c r="QR6" s="144"/>
    </row>
    <row r="7" spans="3:484" s="139" customFormat="1" ht="9.6" customHeight="1" x14ac:dyDescent="0.3">
      <c r="C7" s="140"/>
      <c r="D7" s="145"/>
      <c r="E7" s="245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  <c r="AA7" s="246"/>
      <c r="AB7" s="246"/>
      <c r="AC7" s="246"/>
      <c r="AD7" s="246"/>
      <c r="AE7" s="246"/>
      <c r="AF7" s="246"/>
      <c r="AG7" s="246"/>
      <c r="AH7" s="246"/>
      <c r="AI7" s="246"/>
      <c r="AJ7" s="246"/>
      <c r="AK7" s="246"/>
      <c r="AL7" s="246"/>
      <c r="AM7" s="246"/>
      <c r="AN7" s="246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246"/>
      <c r="AZ7" s="246"/>
      <c r="BA7" s="246"/>
      <c r="BB7" s="246"/>
      <c r="BC7" s="246"/>
      <c r="BD7" s="246"/>
      <c r="BE7" s="246"/>
      <c r="BF7" s="246"/>
      <c r="BG7" s="246"/>
      <c r="BH7" s="246"/>
      <c r="BI7" s="246"/>
      <c r="BJ7" s="246"/>
      <c r="BK7" s="246"/>
      <c r="BL7" s="246"/>
      <c r="BM7" s="246"/>
      <c r="BN7" s="246"/>
      <c r="BO7" s="246"/>
      <c r="BP7" s="246"/>
      <c r="BQ7" s="246"/>
      <c r="BR7" s="246"/>
      <c r="BS7" s="246"/>
      <c r="BT7" s="246"/>
      <c r="BU7" s="246"/>
      <c r="BV7" s="246"/>
      <c r="BW7" s="246"/>
      <c r="BX7" s="246"/>
      <c r="BY7" s="246"/>
      <c r="BZ7" s="246"/>
      <c r="CA7" s="246"/>
      <c r="CB7" s="246"/>
      <c r="CC7" s="246"/>
      <c r="CD7" s="246"/>
      <c r="CE7" s="246"/>
      <c r="CF7" s="246"/>
      <c r="CG7" s="246"/>
      <c r="CH7" s="246"/>
      <c r="CI7" s="246"/>
      <c r="CJ7" s="246"/>
      <c r="CK7" s="246"/>
      <c r="CL7" s="246"/>
      <c r="CM7" s="246"/>
      <c r="CN7" s="246"/>
      <c r="CO7" s="246"/>
      <c r="CP7" s="246"/>
      <c r="CQ7" s="246"/>
      <c r="CR7" s="246"/>
      <c r="CS7" s="246"/>
      <c r="CT7" s="246"/>
      <c r="CU7" s="246"/>
      <c r="CV7" s="246"/>
      <c r="CW7" s="246"/>
      <c r="CX7" s="246"/>
      <c r="CY7" s="246"/>
      <c r="CZ7" s="246"/>
      <c r="DA7" s="246"/>
      <c r="DB7" s="246"/>
      <c r="DC7" s="246"/>
      <c r="DD7" s="246"/>
      <c r="DE7" s="246"/>
      <c r="DF7" s="246"/>
      <c r="DG7" s="246"/>
      <c r="DH7" s="246"/>
      <c r="DI7" s="246"/>
      <c r="DJ7" s="246"/>
      <c r="DK7" s="246"/>
      <c r="DL7" s="246"/>
      <c r="DM7" s="246"/>
      <c r="DN7" s="246"/>
      <c r="DO7" s="246"/>
      <c r="DP7" s="246"/>
      <c r="DQ7" s="246"/>
      <c r="DR7" s="246"/>
      <c r="DS7" s="246"/>
      <c r="DT7" s="246"/>
      <c r="DU7" s="246"/>
      <c r="DV7" s="246"/>
      <c r="DW7" s="246"/>
      <c r="DX7" s="246"/>
      <c r="DY7" s="246"/>
      <c r="DZ7" s="246"/>
      <c r="EA7" s="246"/>
      <c r="EB7" s="246"/>
      <c r="EC7" s="246"/>
      <c r="ED7" s="246"/>
      <c r="EE7" s="246"/>
      <c r="EF7" s="246"/>
      <c r="EG7" s="246"/>
      <c r="EH7" s="246"/>
      <c r="EI7" s="246"/>
      <c r="EJ7" s="246"/>
      <c r="EK7" s="246"/>
      <c r="EL7" s="246"/>
      <c r="EM7" s="246"/>
      <c r="EN7" s="246"/>
      <c r="EO7" s="246"/>
      <c r="EP7" s="246"/>
      <c r="EQ7" s="246"/>
      <c r="ER7" s="246"/>
      <c r="ES7" s="246"/>
      <c r="ET7" s="246"/>
      <c r="EU7" s="246"/>
      <c r="EV7" s="246"/>
      <c r="EW7" s="246"/>
      <c r="EX7" s="246"/>
      <c r="EY7" s="246"/>
      <c r="EZ7" s="246"/>
      <c r="FA7" s="246"/>
      <c r="FB7" s="246"/>
      <c r="FC7" s="246"/>
      <c r="FD7" s="246"/>
      <c r="FE7" s="246"/>
      <c r="FF7" s="246"/>
      <c r="FG7" s="246"/>
      <c r="FH7" s="246"/>
      <c r="FI7" s="246"/>
      <c r="FJ7" s="246"/>
      <c r="FK7" s="246"/>
      <c r="FL7" s="246"/>
      <c r="FM7" s="246"/>
      <c r="FN7" s="246"/>
      <c r="FO7" s="246"/>
      <c r="FP7" s="246"/>
      <c r="FQ7" s="246"/>
      <c r="FR7" s="246"/>
      <c r="FS7" s="246"/>
      <c r="FT7" s="246"/>
      <c r="FU7" s="246"/>
      <c r="FV7" s="246"/>
      <c r="FW7" s="246"/>
      <c r="FX7" s="246"/>
      <c r="FY7" s="246"/>
      <c r="FZ7" s="246"/>
      <c r="GA7" s="246"/>
      <c r="GB7" s="246"/>
      <c r="GC7" s="246"/>
      <c r="GD7" s="246"/>
      <c r="GE7" s="246"/>
      <c r="GF7" s="246"/>
      <c r="GG7" s="246"/>
      <c r="GH7" s="246"/>
      <c r="GI7" s="246"/>
      <c r="GJ7" s="246"/>
      <c r="GK7" s="246"/>
      <c r="GL7" s="246"/>
      <c r="GM7" s="246"/>
      <c r="GN7" s="246"/>
      <c r="GO7" s="246"/>
      <c r="GP7" s="246"/>
      <c r="GQ7" s="246"/>
      <c r="GR7" s="246"/>
      <c r="GS7" s="246"/>
      <c r="GT7" s="246"/>
      <c r="GU7" s="246"/>
      <c r="GV7" s="246"/>
      <c r="GW7" s="246"/>
      <c r="GX7" s="246"/>
      <c r="GY7" s="246"/>
      <c r="GZ7" s="246"/>
      <c r="HA7" s="246"/>
      <c r="HB7" s="246"/>
      <c r="HC7" s="246"/>
      <c r="HD7" s="246"/>
      <c r="HE7" s="246"/>
      <c r="HF7" s="246"/>
      <c r="HG7" s="246"/>
      <c r="HH7" s="246"/>
      <c r="HI7" s="246"/>
      <c r="HJ7" s="246"/>
      <c r="HK7" s="246"/>
      <c r="HL7" s="246"/>
      <c r="HM7" s="246"/>
      <c r="HN7" s="246"/>
      <c r="HO7" s="246"/>
      <c r="HP7" s="246"/>
      <c r="HQ7" s="246"/>
      <c r="HR7" s="246"/>
      <c r="HS7" s="246"/>
      <c r="HT7" s="246"/>
      <c r="HU7" s="246"/>
      <c r="HV7" s="246"/>
      <c r="HW7" s="246"/>
      <c r="HX7" s="246"/>
      <c r="HY7" s="246"/>
      <c r="HZ7" s="246"/>
      <c r="IA7" s="246"/>
      <c r="IB7" s="246"/>
      <c r="IC7" s="246"/>
      <c r="ID7" s="246"/>
      <c r="IE7" s="246"/>
      <c r="IF7" s="246"/>
      <c r="IG7" s="246"/>
      <c r="IH7" s="246"/>
      <c r="II7" s="246"/>
      <c r="IJ7" s="246"/>
      <c r="IK7" s="246"/>
      <c r="IL7" s="246"/>
      <c r="IM7" s="246"/>
      <c r="IN7" s="246"/>
      <c r="IO7" s="246"/>
      <c r="IP7" s="246"/>
      <c r="IQ7" s="246"/>
      <c r="IR7" s="246"/>
      <c r="IS7" s="246"/>
      <c r="IT7" s="246"/>
      <c r="IU7" s="246"/>
      <c r="IV7" s="246"/>
      <c r="IW7" s="246"/>
      <c r="IX7" s="246"/>
      <c r="IY7" s="246"/>
      <c r="IZ7" s="246"/>
      <c r="JA7" s="246"/>
      <c r="JB7" s="246"/>
      <c r="JC7" s="246"/>
      <c r="JD7" s="246"/>
      <c r="JE7" s="246"/>
      <c r="JF7" s="246"/>
      <c r="JG7" s="246"/>
      <c r="JH7" s="246"/>
      <c r="JI7" s="246"/>
      <c r="JJ7" s="246"/>
      <c r="JK7" s="246"/>
      <c r="JL7" s="246"/>
      <c r="JM7" s="246"/>
      <c r="JN7" s="246"/>
      <c r="JO7" s="246"/>
      <c r="JP7" s="246"/>
      <c r="JQ7" s="246"/>
      <c r="JR7" s="246"/>
      <c r="JS7" s="246"/>
      <c r="JT7" s="246"/>
      <c r="JU7" s="246"/>
      <c r="JV7" s="246"/>
      <c r="JW7" s="246"/>
      <c r="JX7" s="246"/>
      <c r="JY7" s="246"/>
      <c r="JZ7" s="246"/>
      <c r="KA7" s="246"/>
      <c r="KB7" s="246"/>
      <c r="KC7" s="246"/>
      <c r="KD7" s="246"/>
      <c r="KE7" s="246"/>
      <c r="KF7" s="246"/>
      <c r="KG7" s="246"/>
      <c r="KH7" s="246"/>
      <c r="KI7" s="246"/>
      <c r="KJ7" s="246"/>
      <c r="KK7" s="246"/>
      <c r="KL7" s="246"/>
      <c r="KM7" s="246"/>
      <c r="KN7" s="246"/>
      <c r="KO7" s="246"/>
      <c r="KP7" s="246"/>
      <c r="KQ7" s="246"/>
      <c r="KR7" s="246"/>
      <c r="KS7" s="246"/>
      <c r="KT7" s="246"/>
      <c r="KU7" s="246"/>
      <c r="KV7" s="246"/>
      <c r="KW7" s="246"/>
      <c r="KX7" s="246"/>
      <c r="KY7" s="246"/>
      <c r="KZ7" s="246"/>
      <c r="LA7" s="246"/>
      <c r="LB7" s="246"/>
      <c r="LC7" s="246"/>
      <c r="LD7" s="246"/>
      <c r="LE7" s="246"/>
      <c r="LF7" s="246"/>
      <c r="LG7" s="246"/>
      <c r="LH7" s="246"/>
      <c r="LI7" s="246"/>
      <c r="LJ7" s="246"/>
      <c r="LK7" s="246"/>
      <c r="LL7" s="246"/>
      <c r="LM7" s="246"/>
      <c r="LN7" s="246"/>
      <c r="LO7" s="246"/>
      <c r="LP7" s="246"/>
      <c r="LQ7" s="246"/>
      <c r="LR7" s="246"/>
      <c r="LS7" s="246"/>
      <c r="LT7" s="246"/>
      <c r="LU7" s="246"/>
      <c r="LV7" s="246"/>
      <c r="LW7" s="246"/>
      <c r="LX7" s="246"/>
      <c r="LY7" s="246"/>
      <c r="LZ7" s="246"/>
      <c r="MA7" s="246"/>
      <c r="MB7" s="246"/>
      <c r="MC7" s="246"/>
      <c r="MD7" s="246"/>
      <c r="ME7" s="246"/>
      <c r="MF7" s="246"/>
      <c r="MG7" s="246"/>
      <c r="MH7" s="246"/>
      <c r="MI7" s="246"/>
      <c r="MJ7" s="246"/>
      <c r="MK7" s="246"/>
      <c r="ML7" s="246"/>
      <c r="MM7" s="246"/>
      <c r="MN7" s="246"/>
      <c r="MO7" s="246"/>
      <c r="MP7" s="246"/>
      <c r="MQ7" s="246"/>
      <c r="MR7" s="246"/>
      <c r="MS7" s="246"/>
      <c r="MT7" s="246"/>
      <c r="MU7" s="246"/>
      <c r="MV7" s="246"/>
      <c r="MW7" s="246"/>
      <c r="MX7" s="246"/>
      <c r="MY7" s="246"/>
      <c r="MZ7" s="246"/>
      <c r="NA7" s="246"/>
      <c r="NB7" s="246"/>
      <c r="NC7" s="246"/>
      <c r="ND7" s="246"/>
      <c r="NE7" s="246"/>
      <c r="NF7" s="246"/>
      <c r="NG7" s="246"/>
      <c r="NH7" s="246"/>
      <c r="NI7" s="246"/>
      <c r="NJ7" s="246"/>
      <c r="NK7" s="246"/>
      <c r="NL7" s="246"/>
      <c r="NM7" s="246"/>
      <c r="NN7" s="246"/>
      <c r="NO7" s="246"/>
      <c r="NP7" s="246"/>
      <c r="NQ7" s="246"/>
      <c r="NR7" s="246"/>
      <c r="NS7" s="246"/>
      <c r="NT7" s="246"/>
      <c r="NU7" s="246"/>
      <c r="NV7" s="246"/>
      <c r="NW7" s="246"/>
      <c r="NX7" s="246"/>
      <c r="NY7" s="246"/>
      <c r="NZ7" s="246"/>
      <c r="OA7" s="246"/>
      <c r="OB7" s="246"/>
      <c r="OC7" s="246"/>
      <c r="OD7" s="246"/>
      <c r="OE7" s="246"/>
      <c r="OF7" s="246"/>
      <c r="OG7" s="246"/>
      <c r="OH7" s="246"/>
      <c r="OI7" s="246"/>
      <c r="OJ7" s="246"/>
      <c r="OK7" s="246"/>
      <c r="OL7" s="246"/>
      <c r="OM7" s="246"/>
      <c r="ON7" s="246"/>
      <c r="OO7" s="246"/>
      <c r="OP7" s="246"/>
      <c r="OQ7" s="246"/>
      <c r="OR7" s="246"/>
      <c r="OS7" s="246"/>
      <c r="OT7" s="246"/>
      <c r="OU7" s="246"/>
      <c r="OV7" s="246"/>
      <c r="OW7" s="246"/>
      <c r="OX7" s="246"/>
      <c r="OY7" s="246"/>
      <c r="OZ7" s="246"/>
      <c r="PA7" s="246"/>
      <c r="PB7" s="246"/>
      <c r="PC7" s="246"/>
      <c r="PD7" s="246"/>
      <c r="PE7" s="246"/>
      <c r="PF7" s="246"/>
      <c r="PG7" s="246"/>
      <c r="PH7" s="246"/>
      <c r="PI7" s="246"/>
      <c r="PJ7" s="246"/>
      <c r="PK7" s="246"/>
      <c r="PL7" s="246"/>
      <c r="PM7" s="246"/>
      <c r="PN7" s="246"/>
      <c r="PO7" s="246"/>
      <c r="PP7" s="246"/>
      <c r="PQ7" s="246"/>
      <c r="PR7" s="246"/>
      <c r="PS7" s="246"/>
      <c r="PT7" s="246"/>
      <c r="PU7" s="246"/>
      <c r="PV7" s="246"/>
      <c r="PW7" s="246"/>
      <c r="PX7" s="246"/>
      <c r="PY7" s="246"/>
      <c r="PZ7" s="246"/>
      <c r="QA7" s="246"/>
      <c r="QB7" s="246"/>
      <c r="QC7" s="246"/>
      <c r="QD7" s="246"/>
      <c r="QE7" s="246"/>
      <c r="QF7" s="246"/>
      <c r="QG7" s="246"/>
      <c r="QH7" s="246"/>
      <c r="QI7" s="246"/>
      <c r="QJ7" s="246"/>
      <c r="QK7" s="246"/>
      <c r="QL7" s="246"/>
      <c r="QM7" s="246"/>
      <c r="QN7" s="246"/>
      <c r="QO7" s="246"/>
      <c r="QP7" s="247"/>
      <c r="QQ7" s="146"/>
      <c r="QR7" s="144"/>
    </row>
    <row r="8" spans="3:484" s="139" customFormat="1" ht="9.6" customHeight="1" x14ac:dyDescent="0.3">
      <c r="C8" s="140"/>
      <c r="D8" s="145"/>
      <c r="E8" s="245"/>
      <c r="F8" s="246"/>
      <c r="G8" s="246"/>
      <c r="H8" s="246"/>
      <c r="I8" s="246"/>
      <c r="J8" s="246"/>
      <c r="K8" s="246"/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  <c r="AA8" s="246"/>
      <c r="AB8" s="246"/>
      <c r="AC8" s="246"/>
      <c r="AD8" s="246"/>
      <c r="AE8" s="246"/>
      <c r="AF8" s="246"/>
      <c r="AG8" s="246"/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6"/>
      <c r="BD8" s="246"/>
      <c r="BE8" s="246"/>
      <c r="BF8" s="246"/>
      <c r="BG8" s="246"/>
      <c r="BH8" s="246"/>
      <c r="BI8" s="246"/>
      <c r="BJ8" s="246"/>
      <c r="BK8" s="246"/>
      <c r="BL8" s="246"/>
      <c r="BM8" s="246"/>
      <c r="BN8" s="246"/>
      <c r="BO8" s="246"/>
      <c r="BP8" s="246"/>
      <c r="BQ8" s="246"/>
      <c r="BR8" s="246"/>
      <c r="BS8" s="246"/>
      <c r="BT8" s="246"/>
      <c r="BU8" s="246"/>
      <c r="BV8" s="246"/>
      <c r="BW8" s="246"/>
      <c r="BX8" s="246"/>
      <c r="BY8" s="246"/>
      <c r="BZ8" s="246"/>
      <c r="CA8" s="246"/>
      <c r="CB8" s="246"/>
      <c r="CC8" s="246"/>
      <c r="CD8" s="246"/>
      <c r="CE8" s="246"/>
      <c r="CF8" s="246"/>
      <c r="CG8" s="246"/>
      <c r="CH8" s="246"/>
      <c r="CI8" s="246"/>
      <c r="CJ8" s="246"/>
      <c r="CK8" s="246"/>
      <c r="CL8" s="246"/>
      <c r="CM8" s="246"/>
      <c r="CN8" s="246"/>
      <c r="CO8" s="246"/>
      <c r="CP8" s="246"/>
      <c r="CQ8" s="246"/>
      <c r="CR8" s="246"/>
      <c r="CS8" s="246"/>
      <c r="CT8" s="246"/>
      <c r="CU8" s="246"/>
      <c r="CV8" s="246"/>
      <c r="CW8" s="246"/>
      <c r="CX8" s="246"/>
      <c r="CY8" s="246"/>
      <c r="CZ8" s="246"/>
      <c r="DA8" s="246"/>
      <c r="DB8" s="246"/>
      <c r="DC8" s="246"/>
      <c r="DD8" s="246"/>
      <c r="DE8" s="246"/>
      <c r="DF8" s="246"/>
      <c r="DG8" s="246"/>
      <c r="DH8" s="246"/>
      <c r="DI8" s="246"/>
      <c r="DJ8" s="246"/>
      <c r="DK8" s="246"/>
      <c r="DL8" s="246"/>
      <c r="DM8" s="246"/>
      <c r="DN8" s="246"/>
      <c r="DO8" s="246"/>
      <c r="DP8" s="246"/>
      <c r="DQ8" s="246"/>
      <c r="DR8" s="246"/>
      <c r="DS8" s="246"/>
      <c r="DT8" s="246"/>
      <c r="DU8" s="246"/>
      <c r="DV8" s="246"/>
      <c r="DW8" s="246"/>
      <c r="DX8" s="246"/>
      <c r="DY8" s="246"/>
      <c r="DZ8" s="246"/>
      <c r="EA8" s="246"/>
      <c r="EB8" s="246"/>
      <c r="EC8" s="246"/>
      <c r="ED8" s="246"/>
      <c r="EE8" s="246"/>
      <c r="EF8" s="246"/>
      <c r="EG8" s="246"/>
      <c r="EH8" s="246"/>
      <c r="EI8" s="246"/>
      <c r="EJ8" s="246"/>
      <c r="EK8" s="246"/>
      <c r="EL8" s="246"/>
      <c r="EM8" s="246"/>
      <c r="EN8" s="246"/>
      <c r="EO8" s="246"/>
      <c r="EP8" s="246"/>
      <c r="EQ8" s="246"/>
      <c r="ER8" s="246"/>
      <c r="ES8" s="246"/>
      <c r="ET8" s="246"/>
      <c r="EU8" s="246"/>
      <c r="EV8" s="246"/>
      <c r="EW8" s="246"/>
      <c r="EX8" s="246"/>
      <c r="EY8" s="246"/>
      <c r="EZ8" s="246"/>
      <c r="FA8" s="246"/>
      <c r="FB8" s="246"/>
      <c r="FC8" s="246"/>
      <c r="FD8" s="246"/>
      <c r="FE8" s="246"/>
      <c r="FF8" s="246"/>
      <c r="FG8" s="246"/>
      <c r="FH8" s="246"/>
      <c r="FI8" s="246"/>
      <c r="FJ8" s="246"/>
      <c r="FK8" s="246"/>
      <c r="FL8" s="246"/>
      <c r="FM8" s="246"/>
      <c r="FN8" s="246"/>
      <c r="FO8" s="246"/>
      <c r="FP8" s="246"/>
      <c r="FQ8" s="246"/>
      <c r="FR8" s="246"/>
      <c r="FS8" s="246"/>
      <c r="FT8" s="246"/>
      <c r="FU8" s="246"/>
      <c r="FV8" s="246"/>
      <c r="FW8" s="246"/>
      <c r="FX8" s="246"/>
      <c r="FY8" s="246"/>
      <c r="FZ8" s="246"/>
      <c r="GA8" s="246"/>
      <c r="GB8" s="246"/>
      <c r="GC8" s="246"/>
      <c r="GD8" s="246"/>
      <c r="GE8" s="246"/>
      <c r="GF8" s="246"/>
      <c r="GG8" s="246"/>
      <c r="GH8" s="246"/>
      <c r="GI8" s="246"/>
      <c r="GJ8" s="246"/>
      <c r="GK8" s="246"/>
      <c r="GL8" s="246"/>
      <c r="GM8" s="246"/>
      <c r="GN8" s="246"/>
      <c r="GO8" s="246"/>
      <c r="GP8" s="246"/>
      <c r="GQ8" s="246"/>
      <c r="GR8" s="246"/>
      <c r="GS8" s="246"/>
      <c r="GT8" s="246"/>
      <c r="GU8" s="246"/>
      <c r="GV8" s="246"/>
      <c r="GW8" s="246"/>
      <c r="GX8" s="246"/>
      <c r="GY8" s="246"/>
      <c r="GZ8" s="246"/>
      <c r="HA8" s="246"/>
      <c r="HB8" s="246"/>
      <c r="HC8" s="246"/>
      <c r="HD8" s="246"/>
      <c r="HE8" s="246"/>
      <c r="HF8" s="246"/>
      <c r="HG8" s="246"/>
      <c r="HH8" s="246"/>
      <c r="HI8" s="246"/>
      <c r="HJ8" s="246"/>
      <c r="HK8" s="246"/>
      <c r="HL8" s="246"/>
      <c r="HM8" s="246"/>
      <c r="HN8" s="246"/>
      <c r="HO8" s="246"/>
      <c r="HP8" s="246"/>
      <c r="HQ8" s="246"/>
      <c r="HR8" s="246"/>
      <c r="HS8" s="246"/>
      <c r="HT8" s="246"/>
      <c r="HU8" s="246"/>
      <c r="HV8" s="246"/>
      <c r="HW8" s="246"/>
      <c r="HX8" s="246"/>
      <c r="HY8" s="246"/>
      <c r="HZ8" s="246"/>
      <c r="IA8" s="246"/>
      <c r="IB8" s="246"/>
      <c r="IC8" s="246"/>
      <c r="ID8" s="246"/>
      <c r="IE8" s="246"/>
      <c r="IF8" s="246"/>
      <c r="IG8" s="246"/>
      <c r="IH8" s="246"/>
      <c r="II8" s="246"/>
      <c r="IJ8" s="246"/>
      <c r="IK8" s="246"/>
      <c r="IL8" s="246"/>
      <c r="IM8" s="246"/>
      <c r="IN8" s="246"/>
      <c r="IO8" s="246"/>
      <c r="IP8" s="246"/>
      <c r="IQ8" s="246"/>
      <c r="IR8" s="246"/>
      <c r="IS8" s="246"/>
      <c r="IT8" s="246"/>
      <c r="IU8" s="246"/>
      <c r="IV8" s="246"/>
      <c r="IW8" s="246"/>
      <c r="IX8" s="246"/>
      <c r="IY8" s="246"/>
      <c r="IZ8" s="246"/>
      <c r="JA8" s="246"/>
      <c r="JB8" s="246"/>
      <c r="JC8" s="246"/>
      <c r="JD8" s="246"/>
      <c r="JE8" s="246"/>
      <c r="JF8" s="246"/>
      <c r="JG8" s="246"/>
      <c r="JH8" s="246"/>
      <c r="JI8" s="246"/>
      <c r="JJ8" s="246"/>
      <c r="JK8" s="246"/>
      <c r="JL8" s="246"/>
      <c r="JM8" s="246"/>
      <c r="JN8" s="246"/>
      <c r="JO8" s="246"/>
      <c r="JP8" s="246"/>
      <c r="JQ8" s="246"/>
      <c r="JR8" s="246"/>
      <c r="JS8" s="246"/>
      <c r="JT8" s="246"/>
      <c r="JU8" s="246"/>
      <c r="JV8" s="246"/>
      <c r="JW8" s="246"/>
      <c r="JX8" s="246"/>
      <c r="JY8" s="246"/>
      <c r="JZ8" s="246"/>
      <c r="KA8" s="246"/>
      <c r="KB8" s="246"/>
      <c r="KC8" s="246"/>
      <c r="KD8" s="246"/>
      <c r="KE8" s="246"/>
      <c r="KF8" s="246"/>
      <c r="KG8" s="246"/>
      <c r="KH8" s="246"/>
      <c r="KI8" s="246"/>
      <c r="KJ8" s="246"/>
      <c r="KK8" s="246"/>
      <c r="KL8" s="246"/>
      <c r="KM8" s="246"/>
      <c r="KN8" s="246"/>
      <c r="KO8" s="246"/>
      <c r="KP8" s="246"/>
      <c r="KQ8" s="246"/>
      <c r="KR8" s="246"/>
      <c r="KS8" s="246"/>
      <c r="KT8" s="246"/>
      <c r="KU8" s="246"/>
      <c r="KV8" s="246"/>
      <c r="KW8" s="246"/>
      <c r="KX8" s="246"/>
      <c r="KY8" s="246"/>
      <c r="KZ8" s="246"/>
      <c r="LA8" s="246"/>
      <c r="LB8" s="246"/>
      <c r="LC8" s="246"/>
      <c r="LD8" s="246"/>
      <c r="LE8" s="246"/>
      <c r="LF8" s="246"/>
      <c r="LG8" s="246"/>
      <c r="LH8" s="246"/>
      <c r="LI8" s="246"/>
      <c r="LJ8" s="246"/>
      <c r="LK8" s="246"/>
      <c r="LL8" s="246"/>
      <c r="LM8" s="246"/>
      <c r="LN8" s="246"/>
      <c r="LO8" s="246"/>
      <c r="LP8" s="246"/>
      <c r="LQ8" s="246"/>
      <c r="LR8" s="246"/>
      <c r="LS8" s="246"/>
      <c r="LT8" s="246"/>
      <c r="LU8" s="246"/>
      <c r="LV8" s="246"/>
      <c r="LW8" s="246"/>
      <c r="LX8" s="246"/>
      <c r="LY8" s="246"/>
      <c r="LZ8" s="246"/>
      <c r="MA8" s="246"/>
      <c r="MB8" s="246"/>
      <c r="MC8" s="246"/>
      <c r="MD8" s="246"/>
      <c r="ME8" s="246"/>
      <c r="MF8" s="246"/>
      <c r="MG8" s="246"/>
      <c r="MH8" s="246"/>
      <c r="MI8" s="246"/>
      <c r="MJ8" s="246"/>
      <c r="MK8" s="246"/>
      <c r="ML8" s="246"/>
      <c r="MM8" s="246"/>
      <c r="MN8" s="246"/>
      <c r="MO8" s="246"/>
      <c r="MP8" s="246"/>
      <c r="MQ8" s="246"/>
      <c r="MR8" s="246"/>
      <c r="MS8" s="246"/>
      <c r="MT8" s="246"/>
      <c r="MU8" s="246"/>
      <c r="MV8" s="246"/>
      <c r="MW8" s="246"/>
      <c r="MX8" s="246"/>
      <c r="MY8" s="246"/>
      <c r="MZ8" s="246"/>
      <c r="NA8" s="246"/>
      <c r="NB8" s="246"/>
      <c r="NC8" s="246"/>
      <c r="ND8" s="246"/>
      <c r="NE8" s="246"/>
      <c r="NF8" s="246"/>
      <c r="NG8" s="246"/>
      <c r="NH8" s="246"/>
      <c r="NI8" s="246"/>
      <c r="NJ8" s="246"/>
      <c r="NK8" s="246"/>
      <c r="NL8" s="246"/>
      <c r="NM8" s="246"/>
      <c r="NN8" s="246"/>
      <c r="NO8" s="246"/>
      <c r="NP8" s="246"/>
      <c r="NQ8" s="246"/>
      <c r="NR8" s="246"/>
      <c r="NS8" s="246"/>
      <c r="NT8" s="246"/>
      <c r="NU8" s="246"/>
      <c r="NV8" s="246"/>
      <c r="NW8" s="246"/>
      <c r="NX8" s="246"/>
      <c r="NY8" s="246"/>
      <c r="NZ8" s="246"/>
      <c r="OA8" s="246"/>
      <c r="OB8" s="246"/>
      <c r="OC8" s="246"/>
      <c r="OD8" s="246"/>
      <c r="OE8" s="246"/>
      <c r="OF8" s="246"/>
      <c r="OG8" s="246"/>
      <c r="OH8" s="246"/>
      <c r="OI8" s="246"/>
      <c r="OJ8" s="246"/>
      <c r="OK8" s="246"/>
      <c r="OL8" s="246"/>
      <c r="OM8" s="246"/>
      <c r="ON8" s="246"/>
      <c r="OO8" s="246"/>
      <c r="OP8" s="246"/>
      <c r="OQ8" s="246"/>
      <c r="OR8" s="246"/>
      <c r="OS8" s="246"/>
      <c r="OT8" s="246"/>
      <c r="OU8" s="246"/>
      <c r="OV8" s="246"/>
      <c r="OW8" s="246"/>
      <c r="OX8" s="246"/>
      <c r="OY8" s="246"/>
      <c r="OZ8" s="246"/>
      <c r="PA8" s="246"/>
      <c r="PB8" s="246"/>
      <c r="PC8" s="246"/>
      <c r="PD8" s="246"/>
      <c r="PE8" s="246"/>
      <c r="PF8" s="246"/>
      <c r="PG8" s="246"/>
      <c r="PH8" s="246"/>
      <c r="PI8" s="246"/>
      <c r="PJ8" s="246"/>
      <c r="PK8" s="246"/>
      <c r="PL8" s="246"/>
      <c r="PM8" s="246"/>
      <c r="PN8" s="246"/>
      <c r="PO8" s="246"/>
      <c r="PP8" s="246"/>
      <c r="PQ8" s="246"/>
      <c r="PR8" s="246"/>
      <c r="PS8" s="246"/>
      <c r="PT8" s="246"/>
      <c r="PU8" s="246"/>
      <c r="PV8" s="246"/>
      <c r="PW8" s="246"/>
      <c r="PX8" s="246"/>
      <c r="PY8" s="246"/>
      <c r="PZ8" s="246"/>
      <c r="QA8" s="246"/>
      <c r="QB8" s="246"/>
      <c r="QC8" s="246"/>
      <c r="QD8" s="246"/>
      <c r="QE8" s="246"/>
      <c r="QF8" s="246"/>
      <c r="QG8" s="246"/>
      <c r="QH8" s="246"/>
      <c r="QI8" s="246"/>
      <c r="QJ8" s="246"/>
      <c r="QK8" s="246"/>
      <c r="QL8" s="246"/>
      <c r="QM8" s="246"/>
      <c r="QN8" s="246"/>
      <c r="QO8" s="246"/>
      <c r="QP8" s="247"/>
      <c r="QQ8" s="146"/>
      <c r="QR8" s="144"/>
      <c r="QS8" s="147"/>
      <c r="QT8" s="147"/>
      <c r="QU8" s="147"/>
      <c r="QV8" s="147"/>
      <c r="RK8" s="147"/>
      <c r="RL8" s="147"/>
      <c r="RM8" s="147"/>
      <c r="RN8" s="147"/>
      <c r="RO8" s="147"/>
    </row>
    <row r="9" spans="3:484" s="139" customFormat="1" ht="9.6" customHeight="1" x14ac:dyDescent="0.3">
      <c r="C9" s="140"/>
      <c r="D9" s="145"/>
      <c r="E9" s="245" t="s">
        <v>261</v>
      </c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  <c r="AA9" s="246"/>
      <c r="AB9" s="246"/>
      <c r="AC9" s="246"/>
      <c r="AD9" s="246"/>
      <c r="AE9" s="246"/>
      <c r="AF9" s="246"/>
      <c r="AG9" s="246"/>
      <c r="AH9" s="246"/>
      <c r="AI9" s="246"/>
      <c r="AJ9" s="246"/>
      <c r="AK9" s="246"/>
      <c r="AL9" s="246"/>
      <c r="AM9" s="246"/>
      <c r="AN9" s="246"/>
      <c r="AO9" s="246"/>
      <c r="AP9" s="246"/>
      <c r="AQ9" s="246"/>
      <c r="AR9" s="246"/>
      <c r="AS9" s="246"/>
      <c r="AT9" s="246"/>
      <c r="AU9" s="246"/>
      <c r="AV9" s="246"/>
      <c r="AW9" s="246"/>
      <c r="AX9" s="246"/>
      <c r="AY9" s="246"/>
      <c r="AZ9" s="246"/>
      <c r="BA9" s="246"/>
      <c r="BB9" s="246"/>
      <c r="BC9" s="246"/>
      <c r="BD9" s="246"/>
      <c r="BE9" s="246"/>
      <c r="BF9" s="246"/>
      <c r="BG9" s="246"/>
      <c r="BH9" s="246"/>
      <c r="BI9" s="246"/>
      <c r="BJ9" s="246"/>
      <c r="BK9" s="246"/>
      <c r="BL9" s="246"/>
      <c r="BM9" s="246"/>
      <c r="BN9" s="246"/>
      <c r="BO9" s="246"/>
      <c r="BP9" s="246"/>
      <c r="BQ9" s="246"/>
      <c r="BR9" s="246"/>
      <c r="BS9" s="246"/>
      <c r="BT9" s="246"/>
      <c r="BU9" s="246"/>
      <c r="BV9" s="246"/>
      <c r="BW9" s="246"/>
      <c r="BX9" s="246"/>
      <c r="BY9" s="246"/>
      <c r="BZ9" s="246"/>
      <c r="CA9" s="246"/>
      <c r="CB9" s="246"/>
      <c r="CC9" s="246"/>
      <c r="CD9" s="246"/>
      <c r="CE9" s="246"/>
      <c r="CF9" s="246"/>
      <c r="CG9" s="246"/>
      <c r="CH9" s="246"/>
      <c r="CI9" s="246"/>
      <c r="CJ9" s="246"/>
      <c r="CK9" s="246"/>
      <c r="CL9" s="246"/>
      <c r="CM9" s="246"/>
      <c r="CN9" s="246"/>
      <c r="CO9" s="246"/>
      <c r="CP9" s="246"/>
      <c r="CQ9" s="246"/>
      <c r="CR9" s="246"/>
      <c r="CS9" s="246"/>
      <c r="CT9" s="246"/>
      <c r="CU9" s="246"/>
      <c r="CV9" s="246"/>
      <c r="CW9" s="246"/>
      <c r="CX9" s="246"/>
      <c r="CY9" s="246"/>
      <c r="CZ9" s="246"/>
      <c r="DA9" s="246"/>
      <c r="DB9" s="246"/>
      <c r="DC9" s="246"/>
      <c r="DD9" s="246"/>
      <c r="DE9" s="246"/>
      <c r="DF9" s="246"/>
      <c r="DG9" s="246"/>
      <c r="DH9" s="246"/>
      <c r="DI9" s="246"/>
      <c r="DJ9" s="246"/>
      <c r="DK9" s="246"/>
      <c r="DL9" s="246"/>
      <c r="DM9" s="246"/>
      <c r="DN9" s="246"/>
      <c r="DO9" s="246"/>
      <c r="DP9" s="246"/>
      <c r="DQ9" s="246"/>
      <c r="DR9" s="246"/>
      <c r="DS9" s="246"/>
      <c r="DT9" s="246"/>
      <c r="DU9" s="246"/>
      <c r="DV9" s="246"/>
      <c r="DW9" s="246"/>
      <c r="DX9" s="246"/>
      <c r="DY9" s="246"/>
      <c r="DZ9" s="246"/>
      <c r="EA9" s="246"/>
      <c r="EB9" s="246"/>
      <c r="EC9" s="246"/>
      <c r="ED9" s="246"/>
      <c r="EE9" s="246"/>
      <c r="EF9" s="246"/>
      <c r="EG9" s="246"/>
      <c r="EH9" s="246"/>
      <c r="EI9" s="246"/>
      <c r="EJ9" s="246"/>
      <c r="EK9" s="246"/>
      <c r="EL9" s="246"/>
      <c r="EM9" s="246"/>
      <c r="EN9" s="246"/>
      <c r="EO9" s="246"/>
      <c r="EP9" s="246"/>
      <c r="EQ9" s="246"/>
      <c r="ER9" s="246"/>
      <c r="ES9" s="246"/>
      <c r="ET9" s="246"/>
      <c r="EU9" s="246"/>
      <c r="EV9" s="246"/>
      <c r="EW9" s="246"/>
      <c r="EX9" s="246"/>
      <c r="EY9" s="246"/>
      <c r="EZ9" s="246"/>
      <c r="FA9" s="246"/>
      <c r="FB9" s="246"/>
      <c r="FC9" s="246"/>
      <c r="FD9" s="246"/>
      <c r="FE9" s="246"/>
      <c r="FF9" s="246"/>
      <c r="FG9" s="246"/>
      <c r="FH9" s="246"/>
      <c r="FI9" s="246"/>
      <c r="FJ9" s="246"/>
      <c r="FK9" s="246"/>
      <c r="FL9" s="246"/>
      <c r="FM9" s="246"/>
      <c r="FN9" s="246"/>
      <c r="FO9" s="246"/>
      <c r="FP9" s="246"/>
      <c r="FQ9" s="246"/>
      <c r="FR9" s="246"/>
      <c r="FS9" s="246"/>
      <c r="FT9" s="246"/>
      <c r="FU9" s="246"/>
      <c r="FV9" s="246"/>
      <c r="FW9" s="246"/>
      <c r="FX9" s="246"/>
      <c r="FY9" s="246"/>
      <c r="FZ9" s="246"/>
      <c r="GA9" s="246"/>
      <c r="GB9" s="246"/>
      <c r="GC9" s="246"/>
      <c r="GD9" s="246"/>
      <c r="GE9" s="246"/>
      <c r="GF9" s="246"/>
      <c r="GG9" s="246"/>
      <c r="GH9" s="246"/>
      <c r="GI9" s="246"/>
      <c r="GJ9" s="246"/>
      <c r="GK9" s="246"/>
      <c r="GL9" s="246"/>
      <c r="GM9" s="246"/>
      <c r="GN9" s="246"/>
      <c r="GO9" s="246"/>
      <c r="GP9" s="246"/>
      <c r="GQ9" s="246"/>
      <c r="GR9" s="246"/>
      <c r="GS9" s="246"/>
      <c r="GT9" s="246"/>
      <c r="GU9" s="246"/>
      <c r="GV9" s="246"/>
      <c r="GW9" s="246"/>
      <c r="GX9" s="246"/>
      <c r="GY9" s="246"/>
      <c r="GZ9" s="246"/>
      <c r="HA9" s="246"/>
      <c r="HB9" s="246"/>
      <c r="HC9" s="246"/>
      <c r="HD9" s="246"/>
      <c r="HE9" s="246"/>
      <c r="HF9" s="246"/>
      <c r="HG9" s="246"/>
      <c r="HH9" s="246"/>
      <c r="HI9" s="246"/>
      <c r="HJ9" s="246"/>
      <c r="HK9" s="246"/>
      <c r="HL9" s="246"/>
      <c r="HM9" s="246"/>
      <c r="HN9" s="246"/>
      <c r="HO9" s="246"/>
      <c r="HP9" s="246"/>
      <c r="HQ9" s="246"/>
      <c r="HR9" s="246"/>
      <c r="HS9" s="246"/>
      <c r="HT9" s="246"/>
      <c r="HU9" s="246"/>
      <c r="HV9" s="246"/>
      <c r="HW9" s="246"/>
      <c r="HX9" s="246"/>
      <c r="HY9" s="246"/>
      <c r="HZ9" s="246"/>
      <c r="IA9" s="246"/>
      <c r="IB9" s="246"/>
      <c r="IC9" s="246"/>
      <c r="ID9" s="246"/>
      <c r="IE9" s="246"/>
      <c r="IF9" s="246"/>
      <c r="IG9" s="246"/>
      <c r="IH9" s="246"/>
      <c r="II9" s="246"/>
      <c r="IJ9" s="246"/>
      <c r="IK9" s="246"/>
      <c r="IL9" s="246"/>
      <c r="IM9" s="246"/>
      <c r="IN9" s="246"/>
      <c r="IO9" s="246"/>
      <c r="IP9" s="246"/>
      <c r="IQ9" s="246"/>
      <c r="IR9" s="246"/>
      <c r="IS9" s="246"/>
      <c r="IT9" s="246"/>
      <c r="IU9" s="246"/>
      <c r="IV9" s="246"/>
      <c r="IW9" s="246"/>
      <c r="IX9" s="246"/>
      <c r="IY9" s="246"/>
      <c r="IZ9" s="246"/>
      <c r="JA9" s="246"/>
      <c r="JB9" s="246"/>
      <c r="JC9" s="246"/>
      <c r="JD9" s="246"/>
      <c r="JE9" s="246"/>
      <c r="JF9" s="246"/>
      <c r="JG9" s="246"/>
      <c r="JH9" s="246"/>
      <c r="JI9" s="246"/>
      <c r="JJ9" s="246"/>
      <c r="JK9" s="246"/>
      <c r="JL9" s="246"/>
      <c r="JM9" s="246"/>
      <c r="JN9" s="246"/>
      <c r="JO9" s="246"/>
      <c r="JP9" s="246"/>
      <c r="JQ9" s="246"/>
      <c r="JR9" s="246"/>
      <c r="JS9" s="246"/>
      <c r="JT9" s="246"/>
      <c r="JU9" s="246"/>
      <c r="JV9" s="246"/>
      <c r="JW9" s="246"/>
      <c r="JX9" s="246"/>
      <c r="JY9" s="246"/>
      <c r="JZ9" s="246"/>
      <c r="KA9" s="246"/>
      <c r="KB9" s="246"/>
      <c r="KC9" s="246"/>
      <c r="KD9" s="246"/>
      <c r="KE9" s="246"/>
      <c r="KF9" s="246"/>
      <c r="KG9" s="246"/>
      <c r="KH9" s="246"/>
      <c r="KI9" s="246"/>
      <c r="KJ9" s="246"/>
      <c r="KK9" s="246"/>
      <c r="KL9" s="246"/>
      <c r="KM9" s="246"/>
      <c r="KN9" s="246"/>
      <c r="KO9" s="246"/>
      <c r="KP9" s="246"/>
      <c r="KQ9" s="246"/>
      <c r="KR9" s="246"/>
      <c r="KS9" s="246"/>
      <c r="KT9" s="246"/>
      <c r="KU9" s="246"/>
      <c r="KV9" s="246"/>
      <c r="KW9" s="246"/>
      <c r="KX9" s="246"/>
      <c r="KY9" s="246"/>
      <c r="KZ9" s="246"/>
      <c r="LA9" s="246"/>
      <c r="LB9" s="246"/>
      <c r="LC9" s="246"/>
      <c r="LD9" s="246"/>
      <c r="LE9" s="246"/>
      <c r="LF9" s="246"/>
      <c r="LG9" s="246"/>
      <c r="LH9" s="246"/>
      <c r="LI9" s="246"/>
      <c r="LJ9" s="246"/>
      <c r="LK9" s="246"/>
      <c r="LL9" s="246"/>
      <c r="LM9" s="246"/>
      <c r="LN9" s="246"/>
      <c r="LO9" s="246"/>
      <c r="LP9" s="246"/>
      <c r="LQ9" s="246"/>
      <c r="LR9" s="246"/>
      <c r="LS9" s="246"/>
      <c r="LT9" s="246"/>
      <c r="LU9" s="246"/>
      <c r="LV9" s="246"/>
      <c r="LW9" s="246"/>
      <c r="LX9" s="246"/>
      <c r="LY9" s="246"/>
      <c r="LZ9" s="246"/>
      <c r="MA9" s="246"/>
      <c r="MB9" s="246"/>
      <c r="MC9" s="246"/>
      <c r="MD9" s="246"/>
      <c r="ME9" s="246"/>
      <c r="MF9" s="246"/>
      <c r="MG9" s="246"/>
      <c r="MH9" s="246"/>
      <c r="MI9" s="246"/>
      <c r="MJ9" s="246"/>
      <c r="MK9" s="246"/>
      <c r="ML9" s="246"/>
      <c r="MM9" s="246"/>
      <c r="MN9" s="246"/>
      <c r="MO9" s="246"/>
      <c r="MP9" s="246"/>
      <c r="MQ9" s="246"/>
      <c r="MR9" s="246"/>
      <c r="MS9" s="246"/>
      <c r="MT9" s="246"/>
      <c r="MU9" s="246"/>
      <c r="MV9" s="246"/>
      <c r="MW9" s="246"/>
      <c r="MX9" s="246"/>
      <c r="MY9" s="246"/>
      <c r="MZ9" s="246"/>
      <c r="NA9" s="246"/>
      <c r="NB9" s="246"/>
      <c r="NC9" s="246"/>
      <c r="ND9" s="246"/>
      <c r="NE9" s="246"/>
      <c r="NF9" s="246"/>
      <c r="NG9" s="246"/>
      <c r="NH9" s="246"/>
      <c r="NI9" s="246"/>
      <c r="NJ9" s="246"/>
      <c r="NK9" s="246"/>
      <c r="NL9" s="246"/>
      <c r="NM9" s="246"/>
      <c r="NN9" s="246"/>
      <c r="NO9" s="246"/>
      <c r="NP9" s="246"/>
      <c r="NQ9" s="246"/>
      <c r="NR9" s="246"/>
      <c r="NS9" s="246"/>
      <c r="NT9" s="246"/>
      <c r="NU9" s="246"/>
      <c r="NV9" s="246"/>
      <c r="NW9" s="246"/>
      <c r="NX9" s="246"/>
      <c r="NY9" s="246"/>
      <c r="NZ9" s="246"/>
      <c r="OA9" s="246"/>
      <c r="OB9" s="246"/>
      <c r="OC9" s="246"/>
      <c r="OD9" s="246"/>
      <c r="OE9" s="246"/>
      <c r="OF9" s="246"/>
      <c r="OG9" s="246"/>
      <c r="OH9" s="246"/>
      <c r="OI9" s="246"/>
      <c r="OJ9" s="246"/>
      <c r="OK9" s="246"/>
      <c r="OL9" s="246"/>
      <c r="OM9" s="246"/>
      <c r="ON9" s="246"/>
      <c r="OO9" s="246"/>
      <c r="OP9" s="246"/>
      <c r="OQ9" s="246"/>
      <c r="OR9" s="246"/>
      <c r="OS9" s="246"/>
      <c r="OT9" s="246"/>
      <c r="OU9" s="246"/>
      <c r="OV9" s="246"/>
      <c r="OW9" s="246"/>
      <c r="OX9" s="246"/>
      <c r="OY9" s="246"/>
      <c r="OZ9" s="246"/>
      <c r="PA9" s="246"/>
      <c r="PB9" s="246"/>
      <c r="PC9" s="246"/>
      <c r="PD9" s="246"/>
      <c r="PE9" s="246"/>
      <c r="PF9" s="246"/>
      <c r="PG9" s="246"/>
      <c r="PH9" s="246"/>
      <c r="PI9" s="246"/>
      <c r="PJ9" s="246"/>
      <c r="PK9" s="246"/>
      <c r="PL9" s="246"/>
      <c r="PM9" s="246"/>
      <c r="PN9" s="246"/>
      <c r="PO9" s="246"/>
      <c r="PP9" s="246"/>
      <c r="PQ9" s="246"/>
      <c r="PR9" s="246"/>
      <c r="PS9" s="246"/>
      <c r="PT9" s="246"/>
      <c r="PU9" s="246"/>
      <c r="PV9" s="246"/>
      <c r="PW9" s="246"/>
      <c r="PX9" s="246"/>
      <c r="PY9" s="246"/>
      <c r="PZ9" s="246"/>
      <c r="QA9" s="246"/>
      <c r="QB9" s="246"/>
      <c r="QC9" s="246"/>
      <c r="QD9" s="246"/>
      <c r="QE9" s="246"/>
      <c r="QF9" s="246"/>
      <c r="QG9" s="246"/>
      <c r="QH9" s="246"/>
      <c r="QI9" s="246"/>
      <c r="QJ9" s="246"/>
      <c r="QK9" s="246"/>
      <c r="QL9" s="246"/>
      <c r="QM9" s="246"/>
      <c r="QN9" s="246"/>
      <c r="QO9" s="246"/>
      <c r="QP9" s="247"/>
      <c r="QQ9" s="146"/>
      <c r="QR9" s="144"/>
      <c r="QS9" s="147"/>
      <c r="QT9" s="147"/>
      <c r="QU9" s="147"/>
      <c r="QV9" s="147"/>
      <c r="QW9" s="148"/>
      <c r="RK9" s="147"/>
      <c r="RL9" s="147"/>
      <c r="RM9" s="147"/>
      <c r="RN9" s="147"/>
      <c r="RO9" s="147"/>
      <c r="RP9" s="148"/>
    </row>
    <row r="10" spans="3:484" s="139" customFormat="1" ht="9.6" customHeight="1" x14ac:dyDescent="0.3">
      <c r="C10" s="140"/>
      <c r="D10" s="145"/>
      <c r="E10" s="245"/>
      <c r="F10" s="246"/>
      <c r="G10" s="246"/>
      <c r="H10" s="246"/>
      <c r="I10" s="246"/>
      <c r="J10" s="246"/>
      <c r="K10" s="246"/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  <c r="X10" s="246"/>
      <c r="Y10" s="246"/>
      <c r="Z10" s="246"/>
      <c r="AA10" s="246"/>
      <c r="AB10" s="246"/>
      <c r="AC10" s="246"/>
      <c r="AD10" s="246"/>
      <c r="AE10" s="246"/>
      <c r="AF10" s="246"/>
      <c r="AG10" s="246"/>
      <c r="AH10" s="246"/>
      <c r="AI10" s="246"/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46"/>
      <c r="AU10" s="246"/>
      <c r="AV10" s="246"/>
      <c r="AW10" s="246"/>
      <c r="AX10" s="246"/>
      <c r="AY10" s="246"/>
      <c r="AZ10" s="246"/>
      <c r="BA10" s="246"/>
      <c r="BB10" s="246"/>
      <c r="BC10" s="246"/>
      <c r="BD10" s="246"/>
      <c r="BE10" s="246"/>
      <c r="BF10" s="246"/>
      <c r="BG10" s="246"/>
      <c r="BH10" s="246"/>
      <c r="BI10" s="246"/>
      <c r="BJ10" s="246"/>
      <c r="BK10" s="246"/>
      <c r="BL10" s="246"/>
      <c r="BM10" s="246"/>
      <c r="BN10" s="246"/>
      <c r="BO10" s="246"/>
      <c r="BP10" s="246"/>
      <c r="BQ10" s="246"/>
      <c r="BR10" s="246"/>
      <c r="BS10" s="246"/>
      <c r="BT10" s="246"/>
      <c r="BU10" s="246"/>
      <c r="BV10" s="246"/>
      <c r="BW10" s="246"/>
      <c r="BX10" s="246"/>
      <c r="BY10" s="246"/>
      <c r="BZ10" s="246"/>
      <c r="CA10" s="246"/>
      <c r="CB10" s="246"/>
      <c r="CC10" s="246"/>
      <c r="CD10" s="246"/>
      <c r="CE10" s="246"/>
      <c r="CF10" s="246"/>
      <c r="CG10" s="246"/>
      <c r="CH10" s="246"/>
      <c r="CI10" s="246"/>
      <c r="CJ10" s="246"/>
      <c r="CK10" s="246"/>
      <c r="CL10" s="246"/>
      <c r="CM10" s="246"/>
      <c r="CN10" s="246"/>
      <c r="CO10" s="246"/>
      <c r="CP10" s="246"/>
      <c r="CQ10" s="246"/>
      <c r="CR10" s="246"/>
      <c r="CS10" s="246"/>
      <c r="CT10" s="246"/>
      <c r="CU10" s="246"/>
      <c r="CV10" s="246"/>
      <c r="CW10" s="246"/>
      <c r="CX10" s="246"/>
      <c r="CY10" s="246"/>
      <c r="CZ10" s="246"/>
      <c r="DA10" s="246"/>
      <c r="DB10" s="246"/>
      <c r="DC10" s="246"/>
      <c r="DD10" s="246"/>
      <c r="DE10" s="246"/>
      <c r="DF10" s="246"/>
      <c r="DG10" s="246"/>
      <c r="DH10" s="246"/>
      <c r="DI10" s="246"/>
      <c r="DJ10" s="246"/>
      <c r="DK10" s="246"/>
      <c r="DL10" s="246"/>
      <c r="DM10" s="246"/>
      <c r="DN10" s="246"/>
      <c r="DO10" s="246"/>
      <c r="DP10" s="246"/>
      <c r="DQ10" s="246"/>
      <c r="DR10" s="246"/>
      <c r="DS10" s="246"/>
      <c r="DT10" s="246"/>
      <c r="DU10" s="246"/>
      <c r="DV10" s="246"/>
      <c r="DW10" s="246"/>
      <c r="DX10" s="246"/>
      <c r="DY10" s="246"/>
      <c r="DZ10" s="246"/>
      <c r="EA10" s="246"/>
      <c r="EB10" s="246"/>
      <c r="EC10" s="246"/>
      <c r="ED10" s="246"/>
      <c r="EE10" s="246"/>
      <c r="EF10" s="246"/>
      <c r="EG10" s="246"/>
      <c r="EH10" s="246"/>
      <c r="EI10" s="246"/>
      <c r="EJ10" s="246"/>
      <c r="EK10" s="246"/>
      <c r="EL10" s="246"/>
      <c r="EM10" s="246"/>
      <c r="EN10" s="246"/>
      <c r="EO10" s="246"/>
      <c r="EP10" s="246"/>
      <c r="EQ10" s="246"/>
      <c r="ER10" s="246"/>
      <c r="ES10" s="246"/>
      <c r="ET10" s="246"/>
      <c r="EU10" s="246"/>
      <c r="EV10" s="246"/>
      <c r="EW10" s="246"/>
      <c r="EX10" s="246"/>
      <c r="EY10" s="246"/>
      <c r="EZ10" s="246"/>
      <c r="FA10" s="246"/>
      <c r="FB10" s="246"/>
      <c r="FC10" s="246"/>
      <c r="FD10" s="246"/>
      <c r="FE10" s="246"/>
      <c r="FF10" s="246"/>
      <c r="FG10" s="246"/>
      <c r="FH10" s="246"/>
      <c r="FI10" s="246"/>
      <c r="FJ10" s="246"/>
      <c r="FK10" s="246"/>
      <c r="FL10" s="246"/>
      <c r="FM10" s="246"/>
      <c r="FN10" s="246"/>
      <c r="FO10" s="246"/>
      <c r="FP10" s="246"/>
      <c r="FQ10" s="246"/>
      <c r="FR10" s="246"/>
      <c r="FS10" s="246"/>
      <c r="FT10" s="246"/>
      <c r="FU10" s="246"/>
      <c r="FV10" s="246"/>
      <c r="FW10" s="246"/>
      <c r="FX10" s="246"/>
      <c r="FY10" s="246"/>
      <c r="FZ10" s="246"/>
      <c r="GA10" s="246"/>
      <c r="GB10" s="246"/>
      <c r="GC10" s="246"/>
      <c r="GD10" s="246"/>
      <c r="GE10" s="246"/>
      <c r="GF10" s="246"/>
      <c r="GG10" s="246"/>
      <c r="GH10" s="246"/>
      <c r="GI10" s="246"/>
      <c r="GJ10" s="246"/>
      <c r="GK10" s="246"/>
      <c r="GL10" s="246"/>
      <c r="GM10" s="246"/>
      <c r="GN10" s="246"/>
      <c r="GO10" s="246"/>
      <c r="GP10" s="246"/>
      <c r="GQ10" s="246"/>
      <c r="GR10" s="246"/>
      <c r="GS10" s="246"/>
      <c r="GT10" s="246"/>
      <c r="GU10" s="246"/>
      <c r="GV10" s="246"/>
      <c r="GW10" s="246"/>
      <c r="GX10" s="246"/>
      <c r="GY10" s="246"/>
      <c r="GZ10" s="246"/>
      <c r="HA10" s="246"/>
      <c r="HB10" s="246"/>
      <c r="HC10" s="246"/>
      <c r="HD10" s="246"/>
      <c r="HE10" s="246"/>
      <c r="HF10" s="246"/>
      <c r="HG10" s="246"/>
      <c r="HH10" s="246"/>
      <c r="HI10" s="246"/>
      <c r="HJ10" s="246"/>
      <c r="HK10" s="246"/>
      <c r="HL10" s="246"/>
      <c r="HM10" s="246"/>
      <c r="HN10" s="246"/>
      <c r="HO10" s="246"/>
      <c r="HP10" s="246"/>
      <c r="HQ10" s="246"/>
      <c r="HR10" s="246"/>
      <c r="HS10" s="246"/>
      <c r="HT10" s="246"/>
      <c r="HU10" s="246"/>
      <c r="HV10" s="246"/>
      <c r="HW10" s="246"/>
      <c r="HX10" s="246"/>
      <c r="HY10" s="246"/>
      <c r="HZ10" s="246"/>
      <c r="IA10" s="246"/>
      <c r="IB10" s="246"/>
      <c r="IC10" s="246"/>
      <c r="ID10" s="246"/>
      <c r="IE10" s="246"/>
      <c r="IF10" s="246"/>
      <c r="IG10" s="246"/>
      <c r="IH10" s="246"/>
      <c r="II10" s="246"/>
      <c r="IJ10" s="246"/>
      <c r="IK10" s="246"/>
      <c r="IL10" s="246"/>
      <c r="IM10" s="246"/>
      <c r="IN10" s="246"/>
      <c r="IO10" s="246"/>
      <c r="IP10" s="246"/>
      <c r="IQ10" s="246"/>
      <c r="IR10" s="246"/>
      <c r="IS10" s="246"/>
      <c r="IT10" s="246"/>
      <c r="IU10" s="246"/>
      <c r="IV10" s="246"/>
      <c r="IW10" s="246"/>
      <c r="IX10" s="246"/>
      <c r="IY10" s="246"/>
      <c r="IZ10" s="246"/>
      <c r="JA10" s="246"/>
      <c r="JB10" s="246"/>
      <c r="JC10" s="246"/>
      <c r="JD10" s="246"/>
      <c r="JE10" s="246"/>
      <c r="JF10" s="246"/>
      <c r="JG10" s="246"/>
      <c r="JH10" s="246"/>
      <c r="JI10" s="246"/>
      <c r="JJ10" s="246"/>
      <c r="JK10" s="246"/>
      <c r="JL10" s="246"/>
      <c r="JM10" s="246"/>
      <c r="JN10" s="246"/>
      <c r="JO10" s="246"/>
      <c r="JP10" s="246"/>
      <c r="JQ10" s="246"/>
      <c r="JR10" s="246"/>
      <c r="JS10" s="246"/>
      <c r="JT10" s="246"/>
      <c r="JU10" s="246"/>
      <c r="JV10" s="246"/>
      <c r="JW10" s="246"/>
      <c r="JX10" s="246"/>
      <c r="JY10" s="246"/>
      <c r="JZ10" s="246"/>
      <c r="KA10" s="246"/>
      <c r="KB10" s="246"/>
      <c r="KC10" s="246"/>
      <c r="KD10" s="246"/>
      <c r="KE10" s="246"/>
      <c r="KF10" s="246"/>
      <c r="KG10" s="246"/>
      <c r="KH10" s="246"/>
      <c r="KI10" s="246"/>
      <c r="KJ10" s="246"/>
      <c r="KK10" s="246"/>
      <c r="KL10" s="246"/>
      <c r="KM10" s="246"/>
      <c r="KN10" s="246"/>
      <c r="KO10" s="246"/>
      <c r="KP10" s="246"/>
      <c r="KQ10" s="246"/>
      <c r="KR10" s="246"/>
      <c r="KS10" s="246"/>
      <c r="KT10" s="246"/>
      <c r="KU10" s="246"/>
      <c r="KV10" s="246"/>
      <c r="KW10" s="246"/>
      <c r="KX10" s="246"/>
      <c r="KY10" s="246"/>
      <c r="KZ10" s="246"/>
      <c r="LA10" s="246"/>
      <c r="LB10" s="246"/>
      <c r="LC10" s="246"/>
      <c r="LD10" s="246"/>
      <c r="LE10" s="246"/>
      <c r="LF10" s="246"/>
      <c r="LG10" s="246"/>
      <c r="LH10" s="246"/>
      <c r="LI10" s="246"/>
      <c r="LJ10" s="246"/>
      <c r="LK10" s="246"/>
      <c r="LL10" s="246"/>
      <c r="LM10" s="246"/>
      <c r="LN10" s="246"/>
      <c r="LO10" s="246"/>
      <c r="LP10" s="246"/>
      <c r="LQ10" s="246"/>
      <c r="LR10" s="246"/>
      <c r="LS10" s="246"/>
      <c r="LT10" s="246"/>
      <c r="LU10" s="246"/>
      <c r="LV10" s="246"/>
      <c r="LW10" s="246"/>
      <c r="LX10" s="246"/>
      <c r="LY10" s="246"/>
      <c r="LZ10" s="246"/>
      <c r="MA10" s="246"/>
      <c r="MB10" s="246"/>
      <c r="MC10" s="246"/>
      <c r="MD10" s="246"/>
      <c r="ME10" s="246"/>
      <c r="MF10" s="246"/>
      <c r="MG10" s="246"/>
      <c r="MH10" s="246"/>
      <c r="MI10" s="246"/>
      <c r="MJ10" s="246"/>
      <c r="MK10" s="246"/>
      <c r="ML10" s="246"/>
      <c r="MM10" s="246"/>
      <c r="MN10" s="246"/>
      <c r="MO10" s="246"/>
      <c r="MP10" s="246"/>
      <c r="MQ10" s="246"/>
      <c r="MR10" s="246"/>
      <c r="MS10" s="246"/>
      <c r="MT10" s="246"/>
      <c r="MU10" s="246"/>
      <c r="MV10" s="246"/>
      <c r="MW10" s="246"/>
      <c r="MX10" s="246"/>
      <c r="MY10" s="246"/>
      <c r="MZ10" s="246"/>
      <c r="NA10" s="246"/>
      <c r="NB10" s="246"/>
      <c r="NC10" s="246"/>
      <c r="ND10" s="246"/>
      <c r="NE10" s="246"/>
      <c r="NF10" s="246"/>
      <c r="NG10" s="246"/>
      <c r="NH10" s="246"/>
      <c r="NI10" s="246"/>
      <c r="NJ10" s="246"/>
      <c r="NK10" s="246"/>
      <c r="NL10" s="246"/>
      <c r="NM10" s="246"/>
      <c r="NN10" s="246"/>
      <c r="NO10" s="246"/>
      <c r="NP10" s="246"/>
      <c r="NQ10" s="246"/>
      <c r="NR10" s="246"/>
      <c r="NS10" s="246"/>
      <c r="NT10" s="246"/>
      <c r="NU10" s="246"/>
      <c r="NV10" s="246"/>
      <c r="NW10" s="246"/>
      <c r="NX10" s="246"/>
      <c r="NY10" s="246"/>
      <c r="NZ10" s="246"/>
      <c r="OA10" s="246"/>
      <c r="OB10" s="246"/>
      <c r="OC10" s="246"/>
      <c r="OD10" s="246"/>
      <c r="OE10" s="246"/>
      <c r="OF10" s="246"/>
      <c r="OG10" s="246"/>
      <c r="OH10" s="246"/>
      <c r="OI10" s="246"/>
      <c r="OJ10" s="246"/>
      <c r="OK10" s="246"/>
      <c r="OL10" s="246"/>
      <c r="OM10" s="246"/>
      <c r="ON10" s="246"/>
      <c r="OO10" s="246"/>
      <c r="OP10" s="246"/>
      <c r="OQ10" s="246"/>
      <c r="OR10" s="246"/>
      <c r="OS10" s="246"/>
      <c r="OT10" s="246"/>
      <c r="OU10" s="246"/>
      <c r="OV10" s="246"/>
      <c r="OW10" s="246"/>
      <c r="OX10" s="246"/>
      <c r="OY10" s="246"/>
      <c r="OZ10" s="246"/>
      <c r="PA10" s="246"/>
      <c r="PB10" s="246"/>
      <c r="PC10" s="246"/>
      <c r="PD10" s="246"/>
      <c r="PE10" s="246"/>
      <c r="PF10" s="246"/>
      <c r="PG10" s="246"/>
      <c r="PH10" s="246"/>
      <c r="PI10" s="246"/>
      <c r="PJ10" s="246"/>
      <c r="PK10" s="246"/>
      <c r="PL10" s="246"/>
      <c r="PM10" s="246"/>
      <c r="PN10" s="246"/>
      <c r="PO10" s="246"/>
      <c r="PP10" s="246"/>
      <c r="PQ10" s="246"/>
      <c r="PR10" s="246"/>
      <c r="PS10" s="246"/>
      <c r="PT10" s="246"/>
      <c r="PU10" s="246"/>
      <c r="PV10" s="246"/>
      <c r="PW10" s="246"/>
      <c r="PX10" s="246"/>
      <c r="PY10" s="246"/>
      <c r="PZ10" s="246"/>
      <c r="QA10" s="246"/>
      <c r="QB10" s="246"/>
      <c r="QC10" s="246"/>
      <c r="QD10" s="246"/>
      <c r="QE10" s="246"/>
      <c r="QF10" s="246"/>
      <c r="QG10" s="246"/>
      <c r="QH10" s="246"/>
      <c r="QI10" s="246"/>
      <c r="QJ10" s="246"/>
      <c r="QK10" s="246"/>
      <c r="QL10" s="246"/>
      <c r="QM10" s="246"/>
      <c r="QN10" s="246"/>
      <c r="QO10" s="246"/>
      <c r="QP10" s="247"/>
      <c r="QQ10" s="146"/>
      <c r="QR10" s="144"/>
      <c r="QS10" s="147"/>
      <c r="QT10" s="147"/>
      <c r="QU10" s="147"/>
      <c r="QV10" s="147"/>
      <c r="QW10" s="148"/>
      <c r="RK10" s="147"/>
      <c r="RL10" s="147"/>
      <c r="RM10" s="147"/>
      <c r="RN10" s="147"/>
      <c r="RO10" s="147"/>
      <c r="RP10" s="148"/>
    </row>
    <row r="11" spans="3:484" s="139" customFormat="1" ht="9.6" customHeight="1" x14ac:dyDescent="0.3">
      <c r="C11" s="140"/>
      <c r="D11" s="145"/>
      <c r="E11" s="245"/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/>
      <c r="Y11" s="246"/>
      <c r="Z11" s="246"/>
      <c r="AA11" s="246"/>
      <c r="AB11" s="246"/>
      <c r="AC11" s="246"/>
      <c r="AD11" s="246"/>
      <c r="AE11" s="246"/>
      <c r="AF11" s="246"/>
      <c r="AG11" s="246"/>
      <c r="AH11" s="246"/>
      <c r="AI11" s="246"/>
      <c r="AJ11" s="246"/>
      <c r="AK11" s="246"/>
      <c r="AL11" s="246"/>
      <c r="AM11" s="246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246"/>
      <c r="AZ11" s="246"/>
      <c r="BA11" s="246"/>
      <c r="BB11" s="246"/>
      <c r="BC11" s="246"/>
      <c r="BD11" s="246"/>
      <c r="BE11" s="246"/>
      <c r="BF11" s="246"/>
      <c r="BG11" s="246"/>
      <c r="BH11" s="246"/>
      <c r="BI11" s="246"/>
      <c r="BJ11" s="246"/>
      <c r="BK11" s="246"/>
      <c r="BL11" s="246"/>
      <c r="BM11" s="246"/>
      <c r="BN11" s="246"/>
      <c r="BO11" s="246"/>
      <c r="BP11" s="246"/>
      <c r="BQ11" s="246"/>
      <c r="BR11" s="246"/>
      <c r="BS11" s="246"/>
      <c r="BT11" s="246"/>
      <c r="BU11" s="246"/>
      <c r="BV11" s="246"/>
      <c r="BW11" s="246"/>
      <c r="BX11" s="246"/>
      <c r="BY11" s="246"/>
      <c r="BZ11" s="246"/>
      <c r="CA11" s="246"/>
      <c r="CB11" s="246"/>
      <c r="CC11" s="246"/>
      <c r="CD11" s="246"/>
      <c r="CE11" s="246"/>
      <c r="CF11" s="246"/>
      <c r="CG11" s="246"/>
      <c r="CH11" s="246"/>
      <c r="CI11" s="246"/>
      <c r="CJ11" s="246"/>
      <c r="CK11" s="246"/>
      <c r="CL11" s="246"/>
      <c r="CM11" s="246"/>
      <c r="CN11" s="246"/>
      <c r="CO11" s="246"/>
      <c r="CP11" s="246"/>
      <c r="CQ11" s="246"/>
      <c r="CR11" s="246"/>
      <c r="CS11" s="246"/>
      <c r="CT11" s="246"/>
      <c r="CU11" s="246"/>
      <c r="CV11" s="246"/>
      <c r="CW11" s="246"/>
      <c r="CX11" s="246"/>
      <c r="CY11" s="246"/>
      <c r="CZ11" s="246"/>
      <c r="DA11" s="246"/>
      <c r="DB11" s="246"/>
      <c r="DC11" s="246"/>
      <c r="DD11" s="246"/>
      <c r="DE11" s="246"/>
      <c r="DF11" s="246"/>
      <c r="DG11" s="246"/>
      <c r="DH11" s="246"/>
      <c r="DI11" s="246"/>
      <c r="DJ11" s="246"/>
      <c r="DK11" s="246"/>
      <c r="DL11" s="246"/>
      <c r="DM11" s="246"/>
      <c r="DN11" s="246"/>
      <c r="DO11" s="246"/>
      <c r="DP11" s="246"/>
      <c r="DQ11" s="246"/>
      <c r="DR11" s="246"/>
      <c r="DS11" s="246"/>
      <c r="DT11" s="246"/>
      <c r="DU11" s="246"/>
      <c r="DV11" s="246"/>
      <c r="DW11" s="246"/>
      <c r="DX11" s="246"/>
      <c r="DY11" s="246"/>
      <c r="DZ11" s="246"/>
      <c r="EA11" s="246"/>
      <c r="EB11" s="246"/>
      <c r="EC11" s="246"/>
      <c r="ED11" s="246"/>
      <c r="EE11" s="246"/>
      <c r="EF11" s="246"/>
      <c r="EG11" s="246"/>
      <c r="EH11" s="246"/>
      <c r="EI11" s="246"/>
      <c r="EJ11" s="246"/>
      <c r="EK11" s="246"/>
      <c r="EL11" s="246"/>
      <c r="EM11" s="246"/>
      <c r="EN11" s="246"/>
      <c r="EO11" s="246"/>
      <c r="EP11" s="246"/>
      <c r="EQ11" s="246"/>
      <c r="ER11" s="246"/>
      <c r="ES11" s="246"/>
      <c r="ET11" s="246"/>
      <c r="EU11" s="246"/>
      <c r="EV11" s="246"/>
      <c r="EW11" s="246"/>
      <c r="EX11" s="246"/>
      <c r="EY11" s="246"/>
      <c r="EZ11" s="246"/>
      <c r="FA11" s="246"/>
      <c r="FB11" s="246"/>
      <c r="FC11" s="246"/>
      <c r="FD11" s="246"/>
      <c r="FE11" s="246"/>
      <c r="FF11" s="246"/>
      <c r="FG11" s="246"/>
      <c r="FH11" s="246"/>
      <c r="FI11" s="246"/>
      <c r="FJ11" s="246"/>
      <c r="FK11" s="246"/>
      <c r="FL11" s="246"/>
      <c r="FM11" s="246"/>
      <c r="FN11" s="246"/>
      <c r="FO11" s="246"/>
      <c r="FP11" s="246"/>
      <c r="FQ11" s="246"/>
      <c r="FR11" s="246"/>
      <c r="FS11" s="246"/>
      <c r="FT11" s="246"/>
      <c r="FU11" s="246"/>
      <c r="FV11" s="246"/>
      <c r="FW11" s="246"/>
      <c r="FX11" s="246"/>
      <c r="FY11" s="246"/>
      <c r="FZ11" s="246"/>
      <c r="GA11" s="246"/>
      <c r="GB11" s="246"/>
      <c r="GC11" s="246"/>
      <c r="GD11" s="246"/>
      <c r="GE11" s="246"/>
      <c r="GF11" s="246"/>
      <c r="GG11" s="246"/>
      <c r="GH11" s="246"/>
      <c r="GI11" s="246"/>
      <c r="GJ11" s="246"/>
      <c r="GK11" s="246"/>
      <c r="GL11" s="246"/>
      <c r="GM11" s="246"/>
      <c r="GN11" s="246"/>
      <c r="GO11" s="246"/>
      <c r="GP11" s="246"/>
      <c r="GQ11" s="246"/>
      <c r="GR11" s="246"/>
      <c r="GS11" s="246"/>
      <c r="GT11" s="246"/>
      <c r="GU11" s="246"/>
      <c r="GV11" s="246"/>
      <c r="GW11" s="246"/>
      <c r="GX11" s="246"/>
      <c r="GY11" s="246"/>
      <c r="GZ11" s="246"/>
      <c r="HA11" s="246"/>
      <c r="HB11" s="246"/>
      <c r="HC11" s="246"/>
      <c r="HD11" s="246"/>
      <c r="HE11" s="246"/>
      <c r="HF11" s="246"/>
      <c r="HG11" s="246"/>
      <c r="HH11" s="246"/>
      <c r="HI11" s="246"/>
      <c r="HJ11" s="246"/>
      <c r="HK11" s="246"/>
      <c r="HL11" s="246"/>
      <c r="HM11" s="246"/>
      <c r="HN11" s="246"/>
      <c r="HO11" s="246"/>
      <c r="HP11" s="246"/>
      <c r="HQ11" s="246"/>
      <c r="HR11" s="246"/>
      <c r="HS11" s="246"/>
      <c r="HT11" s="246"/>
      <c r="HU11" s="246"/>
      <c r="HV11" s="246"/>
      <c r="HW11" s="246"/>
      <c r="HX11" s="246"/>
      <c r="HY11" s="246"/>
      <c r="HZ11" s="246"/>
      <c r="IA11" s="246"/>
      <c r="IB11" s="246"/>
      <c r="IC11" s="246"/>
      <c r="ID11" s="246"/>
      <c r="IE11" s="246"/>
      <c r="IF11" s="246"/>
      <c r="IG11" s="246"/>
      <c r="IH11" s="246"/>
      <c r="II11" s="246"/>
      <c r="IJ11" s="246"/>
      <c r="IK11" s="246"/>
      <c r="IL11" s="246"/>
      <c r="IM11" s="246"/>
      <c r="IN11" s="246"/>
      <c r="IO11" s="246"/>
      <c r="IP11" s="246"/>
      <c r="IQ11" s="246"/>
      <c r="IR11" s="246"/>
      <c r="IS11" s="246"/>
      <c r="IT11" s="246"/>
      <c r="IU11" s="246"/>
      <c r="IV11" s="246"/>
      <c r="IW11" s="246"/>
      <c r="IX11" s="246"/>
      <c r="IY11" s="246"/>
      <c r="IZ11" s="246"/>
      <c r="JA11" s="246"/>
      <c r="JB11" s="246"/>
      <c r="JC11" s="246"/>
      <c r="JD11" s="246"/>
      <c r="JE11" s="246"/>
      <c r="JF11" s="246"/>
      <c r="JG11" s="246"/>
      <c r="JH11" s="246"/>
      <c r="JI11" s="246"/>
      <c r="JJ11" s="246"/>
      <c r="JK11" s="246"/>
      <c r="JL11" s="246"/>
      <c r="JM11" s="246"/>
      <c r="JN11" s="246"/>
      <c r="JO11" s="246"/>
      <c r="JP11" s="246"/>
      <c r="JQ11" s="246"/>
      <c r="JR11" s="246"/>
      <c r="JS11" s="246"/>
      <c r="JT11" s="246"/>
      <c r="JU11" s="246"/>
      <c r="JV11" s="246"/>
      <c r="JW11" s="246"/>
      <c r="JX11" s="246"/>
      <c r="JY11" s="246"/>
      <c r="JZ11" s="246"/>
      <c r="KA11" s="246"/>
      <c r="KB11" s="246"/>
      <c r="KC11" s="246"/>
      <c r="KD11" s="246"/>
      <c r="KE11" s="246"/>
      <c r="KF11" s="246"/>
      <c r="KG11" s="246"/>
      <c r="KH11" s="246"/>
      <c r="KI11" s="246"/>
      <c r="KJ11" s="246"/>
      <c r="KK11" s="246"/>
      <c r="KL11" s="246"/>
      <c r="KM11" s="246"/>
      <c r="KN11" s="246"/>
      <c r="KO11" s="246"/>
      <c r="KP11" s="246"/>
      <c r="KQ11" s="246"/>
      <c r="KR11" s="246"/>
      <c r="KS11" s="246"/>
      <c r="KT11" s="246"/>
      <c r="KU11" s="246"/>
      <c r="KV11" s="246"/>
      <c r="KW11" s="246"/>
      <c r="KX11" s="246"/>
      <c r="KY11" s="246"/>
      <c r="KZ11" s="246"/>
      <c r="LA11" s="246"/>
      <c r="LB11" s="246"/>
      <c r="LC11" s="246"/>
      <c r="LD11" s="246"/>
      <c r="LE11" s="246"/>
      <c r="LF11" s="246"/>
      <c r="LG11" s="246"/>
      <c r="LH11" s="246"/>
      <c r="LI11" s="246"/>
      <c r="LJ11" s="246"/>
      <c r="LK11" s="246"/>
      <c r="LL11" s="246"/>
      <c r="LM11" s="246"/>
      <c r="LN11" s="246"/>
      <c r="LO11" s="246"/>
      <c r="LP11" s="246"/>
      <c r="LQ11" s="246"/>
      <c r="LR11" s="246"/>
      <c r="LS11" s="246"/>
      <c r="LT11" s="246"/>
      <c r="LU11" s="246"/>
      <c r="LV11" s="246"/>
      <c r="LW11" s="246"/>
      <c r="LX11" s="246"/>
      <c r="LY11" s="246"/>
      <c r="LZ11" s="246"/>
      <c r="MA11" s="246"/>
      <c r="MB11" s="246"/>
      <c r="MC11" s="246"/>
      <c r="MD11" s="246"/>
      <c r="ME11" s="246"/>
      <c r="MF11" s="246"/>
      <c r="MG11" s="246"/>
      <c r="MH11" s="246"/>
      <c r="MI11" s="246"/>
      <c r="MJ11" s="246"/>
      <c r="MK11" s="246"/>
      <c r="ML11" s="246"/>
      <c r="MM11" s="246"/>
      <c r="MN11" s="246"/>
      <c r="MO11" s="246"/>
      <c r="MP11" s="246"/>
      <c r="MQ11" s="246"/>
      <c r="MR11" s="246"/>
      <c r="MS11" s="246"/>
      <c r="MT11" s="246"/>
      <c r="MU11" s="246"/>
      <c r="MV11" s="246"/>
      <c r="MW11" s="246"/>
      <c r="MX11" s="246"/>
      <c r="MY11" s="246"/>
      <c r="MZ11" s="246"/>
      <c r="NA11" s="246"/>
      <c r="NB11" s="246"/>
      <c r="NC11" s="246"/>
      <c r="ND11" s="246"/>
      <c r="NE11" s="246"/>
      <c r="NF11" s="246"/>
      <c r="NG11" s="246"/>
      <c r="NH11" s="246"/>
      <c r="NI11" s="246"/>
      <c r="NJ11" s="246"/>
      <c r="NK11" s="246"/>
      <c r="NL11" s="246"/>
      <c r="NM11" s="246"/>
      <c r="NN11" s="246"/>
      <c r="NO11" s="246"/>
      <c r="NP11" s="246"/>
      <c r="NQ11" s="246"/>
      <c r="NR11" s="246"/>
      <c r="NS11" s="246"/>
      <c r="NT11" s="246"/>
      <c r="NU11" s="246"/>
      <c r="NV11" s="246"/>
      <c r="NW11" s="246"/>
      <c r="NX11" s="246"/>
      <c r="NY11" s="246"/>
      <c r="NZ11" s="246"/>
      <c r="OA11" s="246"/>
      <c r="OB11" s="246"/>
      <c r="OC11" s="246"/>
      <c r="OD11" s="246"/>
      <c r="OE11" s="246"/>
      <c r="OF11" s="246"/>
      <c r="OG11" s="246"/>
      <c r="OH11" s="246"/>
      <c r="OI11" s="246"/>
      <c r="OJ11" s="246"/>
      <c r="OK11" s="246"/>
      <c r="OL11" s="246"/>
      <c r="OM11" s="246"/>
      <c r="ON11" s="246"/>
      <c r="OO11" s="246"/>
      <c r="OP11" s="246"/>
      <c r="OQ11" s="246"/>
      <c r="OR11" s="246"/>
      <c r="OS11" s="246"/>
      <c r="OT11" s="246"/>
      <c r="OU11" s="246"/>
      <c r="OV11" s="246"/>
      <c r="OW11" s="246"/>
      <c r="OX11" s="246"/>
      <c r="OY11" s="246"/>
      <c r="OZ11" s="246"/>
      <c r="PA11" s="246"/>
      <c r="PB11" s="246"/>
      <c r="PC11" s="246"/>
      <c r="PD11" s="246"/>
      <c r="PE11" s="246"/>
      <c r="PF11" s="246"/>
      <c r="PG11" s="246"/>
      <c r="PH11" s="246"/>
      <c r="PI11" s="246"/>
      <c r="PJ11" s="246"/>
      <c r="PK11" s="246"/>
      <c r="PL11" s="246"/>
      <c r="PM11" s="246"/>
      <c r="PN11" s="246"/>
      <c r="PO11" s="246"/>
      <c r="PP11" s="246"/>
      <c r="PQ11" s="246"/>
      <c r="PR11" s="246"/>
      <c r="PS11" s="246"/>
      <c r="PT11" s="246"/>
      <c r="PU11" s="246"/>
      <c r="PV11" s="246"/>
      <c r="PW11" s="246"/>
      <c r="PX11" s="246"/>
      <c r="PY11" s="246"/>
      <c r="PZ11" s="246"/>
      <c r="QA11" s="246"/>
      <c r="QB11" s="246"/>
      <c r="QC11" s="246"/>
      <c r="QD11" s="246"/>
      <c r="QE11" s="246"/>
      <c r="QF11" s="246"/>
      <c r="QG11" s="246"/>
      <c r="QH11" s="246"/>
      <c r="QI11" s="246"/>
      <c r="QJ11" s="246"/>
      <c r="QK11" s="246"/>
      <c r="QL11" s="246"/>
      <c r="QM11" s="246"/>
      <c r="QN11" s="246"/>
      <c r="QO11" s="246"/>
      <c r="QP11" s="247"/>
      <c r="QQ11" s="146"/>
      <c r="QR11" s="144"/>
    </row>
    <row r="12" spans="3:484" s="139" customFormat="1" ht="9.6" customHeight="1" x14ac:dyDescent="0.3">
      <c r="C12" s="140"/>
      <c r="D12" s="145"/>
      <c r="E12" s="245" t="s">
        <v>262</v>
      </c>
      <c r="F12" s="246"/>
      <c r="G12" s="246"/>
      <c r="H12" s="246"/>
      <c r="I12" s="246"/>
      <c r="J12" s="246"/>
      <c r="K12" s="246"/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/>
      <c r="Y12" s="246"/>
      <c r="Z12" s="246"/>
      <c r="AA12" s="246"/>
      <c r="AB12" s="246"/>
      <c r="AC12" s="246"/>
      <c r="AD12" s="246"/>
      <c r="AE12" s="246"/>
      <c r="AF12" s="246"/>
      <c r="AG12" s="246"/>
      <c r="AH12" s="246"/>
      <c r="AI12" s="246"/>
      <c r="AJ12" s="246"/>
      <c r="AK12" s="246"/>
      <c r="AL12" s="246"/>
      <c r="AM12" s="246"/>
      <c r="AN12" s="246"/>
      <c r="AO12" s="246"/>
      <c r="AP12" s="246"/>
      <c r="AQ12" s="246"/>
      <c r="AR12" s="246"/>
      <c r="AS12" s="246"/>
      <c r="AT12" s="246"/>
      <c r="AU12" s="246"/>
      <c r="AV12" s="246"/>
      <c r="AW12" s="246"/>
      <c r="AX12" s="246"/>
      <c r="AY12" s="246"/>
      <c r="AZ12" s="246"/>
      <c r="BA12" s="246"/>
      <c r="BB12" s="246"/>
      <c r="BC12" s="246"/>
      <c r="BD12" s="246"/>
      <c r="BE12" s="246"/>
      <c r="BF12" s="246"/>
      <c r="BG12" s="246"/>
      <c r="BH12" s="246"/>
      <c r="BI12" s="246"/>
      <c r="BJ12" s="246"/>
      <c r="BK12" s="246"/>
      <c r="BL12" s="246"/>
      <c r="BM12" s="246"/>
      <c r="BN12" s="246"/>
      <c r="BO12" s="246"/>
      <c r="BP12" s="246"/>
      <c r="BQ12" s="246"/>
      <c r="BR12" s="246"/>
      <c r="BS12" s="246"/>
      <c r="BT12" s="246"/>
      <c r="BU12" s="246"/>
      <c r="BV12" s="246"/>
      <c r="BW12" s="246"/>
      <c r="BX12" s="246"/>
      <c r="BY12" s="246"/>
      <c r="BZ12" s="246"/>
      <c r="CA12" s="246"/>
      <c r="CB12" s="246"/>
      <c r="CC12" s="246"/>
      <c r="CD12" s="246"/>
      <c r="CE12" s="246"/>
      <c r="CF12" s="246"/>
      <c r="CG12" s="246"/>
      <c r="CH12" s="246"/>
      <c r="CI12" s="246"/>
      <c r="CJ12" s="246"/>
      <c r="CK12" s="246"/>
      <c r="CL12" s="246"/>
      <c r="CM12" s="246"/>
      <c r="CN12" s="246"/>
      <c r="CO12" s="246"/>
      <c r="CP12" s="246"/>
      <c r="CQ12" s="246"/>
      <c r="CR12" s="246"/>
      <c r="CS12" s="246"/>
      <c r="CT12" s="246"/>
      <c r="CU12" s="246"/>
      <c r="CV12" s="246"/>
      <c r="CW12" s="246"/>
      <c r="CX12" s="246"/>
      <c r="CY12" s="246"/>
      <c r="CZ12" s="246"/>
      <c r="DA12" s="246"/>
      <c r="DB12" s="246"/>
      <c r="DC12" s="246"/>
      <c r="DD12" s="246"/>
      <c r="DE12" s="246"/>
      <c r="DF12" s="246"/>
      <c r="DG12" s="246"/>
      <c r="DH12" s="246"/>
      <c r="DI12" s="246"/>
      <c r="DJ12" s="246"/>
      <c r="DK12" s="246"/>
      <c r="DL12" s="246"/>
      <c r="DM12" s="246"/>
      <c r="DN12" s="246"/>
      <c r="DO12" s="246"/>
      <c r="DP12" s="246"/>
      <c r="DQ12" s="246"/>
      <c r="DR12" s="246"/>
      <c r="DS12" s="246"/>
      <c r="DT12" s="246"/>
      <c r="DU12" s="246"/>
      <c r="DV12" s="246"/>
      <c r="DW12" s="246"/>
      <c r="DX12" s="246"/>
      <c r="DY12" s="246"/>
      <c r="DZ12" s="246"/>
      <c r="EA12" s="246"/>
      <c r="EB12" s="246"/>
      <c r="EC12" s="246"/>
      <c r="ED12" s="246"/>
      <c r="EE12" s="246"/>
      <c r="EF12" s="246"/>
      <c r="EG12" s="246"/>
      <c r="EH12" s="246"/>
      <c r="EI12" s="246"/>
      <c r="EJ12" s="246"/>
      <c r="EK12" s="246"/>
      <c r="EL12" s="246"/>
      <c r="EM12" s="246"/>
      <c r="EN12" s="246"/>
      <c r="EO12" s="246"/>
      <c r="EP12" s="246"/>
      <c r="EQ12" s="246"/>
      <c r="ER12" s="246"/>
      <c r="ES12" s="246"/>
      <c r="ET12" s="246"/>
      <c r="EU12" s="246"/>
      <c r="EV12" s="246"/>
      <c r="EW12" s="246"/>
      <c r="EX12" s="246"/>
      <c r="EY12" s="246"/>
      <c r="EZ12" s="246"/>
      <c r="FA12" s="246"/>
      <c r="FB12" s="246"/>
      <c r="FC12" s="246"/>
      <c r="FD12" s="246"/>
      <c r="FE12" s="246"/>
      <c r="FF12" s="246"/>
      <c r="FG12" s="246"/>
      <c r="FH12" s="246"/>
      <c r="FI12" s="246"/>
      <c r="FJ12" s="246"/>
      <c r="FK12" s="246"/>
      <c r="FL12" s="246"/>
      <c r="FM12" s="246"/>
      <c r="FN12" s="246"/>
      <c r="FO12" s="246"/>
      <c r="FP12" s="246"/>
      <c r="FQ12" s="246"/>
      <c r="FR12" s="246"/>
      <c r="FS12" s="246"/>
      <c r="FT12" s="246"/>
      <c r="FU12" s="246"/>
      <c r="FV12" s="246"/>
      <c r="FW12" s="246"/>
      <c r="FX12" s="246"/>
      <c r="FY12" s="246"/>
      <c r="FZ12" s="246"/>
      <c r="GA12" s="246"/>
      <c r="GB12" s="246"/>
      <c r="GC12" s="246"/>
      <c r="GD12" s="246"/>
      <c r="GE12" s="246"/>
      <c r="GF12" s="246"/>
      <c r="GG12" s="246"/>
      <c r="GH12" s="246"/>
      <c r="GI12" s="246"/>
      <c r="GJ12" s="246"/>
      <c r="GK12" s="246"/>
      <c r="GL12" s="246"/>
      <c r="GM12" s="246"/>
      <c r="GN12" s="246"/>
      <c r="GO12" s="246"/>
      <c r="GP12" s="246"/>
      <c r="GQ12" s="246"/>
      <c r="GR12" s="246"/>
      <c r="GS12" s="246"/>
      <c r="GT12" s="246"/>
      <c r="GU12" s="246"/>
      <c r="GV12" s="246"/>
      <c r="GW12" s="246"/>
      <c r="GX12" s="246"/>
      <c r="GY12" s="246"/>
      <c r="GZ12" s="246"/>
      <c r="HA12" s="246"/>
      <c r="HB12" s="246"/>
      <c r="HC12" s="246"/>
      <c r="HD12" s="246"/>
      <c r="HE12" s="246"/>
      <c r="HF12" s="246"/>
      <c r="HG12" s="246"/>
      <c r="HH12" s="246"/>
      <c r="HI12" s="246"/>
      <c r="HJ12" s="246"/>
      <c r="HK12" s="246"/>
      <c r="HL12" s="246"/>
      <c r="HM12" s="246"/>
      <c r="HN12" s="246"/>
      <c r="HO12" s="246"/>
      <c r="HP12" s="246"/>
      <c r="HQ12" s="246"/>
      <c r="HR12" s="246"/>
      <c r="HS12" s="246"/>
      <c r="HT12" s="246"/>
      <c r="HU12" s="246"/>
      <c r="HV12" s="246"/>
      <c r="HW12" s="246"/>
      <c r="HX12" s="246"/>
      <c r="HY12" s="246"/>
      <c r="HZ12" s="246"/>
      <c r="IA12" s="246"/>
      <c r="IB12" s="246"/>
      <c r="IC12" s="246"/>
      <c r="ID12" s="246"/>
      <c r="IE12" s="246"/>
      <c r="IF12" s="246"/>
      <c r="IG12" s="246"/>
      <c r="IH12" s="246"/>
      <c r="II12" s="246"/>
      <c r="IJ12" s="246"/>
      <c r="IK12" s="246"/>
      <c r="IL12" s="246"/>
      <c r="IM12" s="246"/>
      <c r="IN12" s="246"/>
      <c r="IO12" s="246"/>
      <c r="IP12" s="246"/>
      <c r="IQ12" s="246"/>
      <c r="IR12" s="246"/>
      <c r="IS12" s="246"/>
      <c r="IT12" s="246"/>
      <c r="IU12" s="246"/>
      <c r="IV12" s="246"/>
      <c r="IW12" s="246"/>
      <c r="IX12" s="246"/>
      <c r="IY12" s="246"/>
      <c r="IZ12" s="246"/>
      <c r="JA12" s="246"/>
      <c r="JB12" s="246"/>
      <c r="JC12" s="246"/>
      <c r="JD12" s="246"/>
      <c r="JE12" s="246"/>
      <c r="JF12" s="246"/>
      <c r="JG12" s="246"/>
      <c r="JH12" s="246"/>
      <c r="JI12" s="246"/>
      <c r="JJ12" s="246"/>
      <c r="JK12" s="246"/>
      <c r="JL12" s="246"/>
      <c r="JM12" s="246"/>
      <c r="JN12" s="246"/>
      <c r="JO12" s="246"/>
      <c r="JP12" s="246"/>
      <c r="JQ12" s="246"/>
      <c r="JR12" s="246"/>
      <c r="JS12" s="246"/>
      <c r="JT12" s="246"/>
      <c r="JU12" s="246"/>
      <c r="JV12" s="246"/>
      <c r="JW12" s="246"/>
      <c r="JX12" s="246"/>
      <c r="JY12" s="246"/>
      <c r="JZ12" s="246"/>
      <c r="KA12" s="246"/>
      <c r="KB12" s="246"/>
      <c r="KC12" s="246"/>
      <c r="KD12" s="246"/>
      <c r="KE12" s="246"/>
      <c r="KF12" s="246"/>
      <c r="KG12" s="246"/>
      <c r="KH12" s="246"/>
      <c r="KI12" s="246"/>
      <c r="KJ12" s="246"/>
      <c r="KK12" s="246"/>
      <c r="KL12" s="246"/>
      <c r="KM12" s="246"/>
      <c r="KN12" s="246"/>
      <c r="KO12" s="246"/>
      <c r="KP12" s="246"/>
      <c r="KQ12" s="246"/>
      <c r="KR12" s="246"/>
      <c r="KS12" s="246"/>
      <c r="KT12" s="246"/>
      <c r="KU12" s="246"/>
      <c r="KV12" s="246"/>
      <c r="KW12" s="246"/>
      <c r="KX12" s="246"/>
      <c r="KY12" s="246"/>
      <c r="KZ12" s="246"/>
      <c r="LA12" s="246"/>
      <c r="LB12" s="246"/>
      <c r="LC12" s="246"/>
      <c r="LD12" s="246"/>
      <c r="LE12" s="246"/>
      <c r="LF12" s="246"/>
      <c r="LG12" s="246"/>
      <c r="LH12" s="246"/>
      <c r="LI12" s="246"/>
      <c r="LJ12" s="246"/>
      <c r="LK12" s="246"/>
      <c r="LL12" s="246"/>
      <c r="LM12" s="246"/>
      <c r="LN12" s="246"/>
      <c r="LO12" s="246"/>
      <c r="LP12" s="246"/>
      <c r="LQ12" s="246"/>
      <c r="LR12" s="246"/>
      <c r="LS12" s="246"/>
      <c r="LT12" s="246"/>
      <c r="LU12" s="246"/>
      <c r="LV12" s="246"/>
      <c r="LW12" s="246"/>
      <c r="LX12" s="246"/>
      <c r="LY12" s="246"/>
      <c r="LZ12" s="246"/>
      <c r="MA12" s="246"/>
      <c r="MB12" s="246"/>
      <c r="MC12" s="246"/>
      <c r="MD12" s="246"/>
      <c r="ME12" s="246"/>
      <c r="MF12" s="246"/>
      <c r="MG12" s="246"/>
      <c r="MH12" s="246"/>
      <c r="MI12" s="246"/>
      <c r="MJ12" s="246"/>
      <c r="MK12" s="246"/>
      <c r="ML12" s="246"/>
      <c r="MM12" s="246"/>
      <c r="MN12" s="246"/>
      <c r="MO12" s="246"/>
      <c r="MP12" s="246"/>
      <c r="MQ12" s="246"/>
      <c r="MR12" s="246"/>
      <c r="MS12" s="246"/>
      <c r="MT12" s="246"/>
      <c r="MU12" s="246"/>
      <c r="MV12" s="246"/>
      <c r="MW12" s="246"/>
      <c r="MX12" s="246"/>
      <c r="MY12" s="246"/>
      <c r="MZ12" s="246"/>
      <c r="NA12" s="246"/>
      <c r="NB12" s="246"/>
      <c r="NC12" s="246"/>
      <c r="ND12" s="246"/>
      <c r="NE12" s="246"/>
      <c r="NF12" s="246"/>
      <c r="NG12" s="246"/>
      <c r="NH12" s="246"/>
      <c r="NI12" s="246"/>
      <c r="NJ12" s="246"/>
      <c r="NK12" s="246"/>
      <c r="NL12" s="246"/>
      <c r="NM12" s="246"/>
      <c r="NN12" s="246"/>
      <c r="NO12" s="246"/>
      <c r="NP12" s="246"/>
      <c r="NQ12" s="246"/>
      <c r="NR12" s="246"/>
      <c r="NS12" s="246"/>
      <c r="NT12" s="246"/>
      <c r="NU12" s="246"/>
      <c r="NV12" s="246"/>
      <c r="NW12" s="246"/>
      <c r="NX12" s="246"/>
      <c r="NY12" s="246"/>
      <c r="NZ12" s="246"/>
      <c r="OA12" s="246"/>
      <c r="OB12" s="246"/>
      <c r="OC12" s="246"/>
      <c r="OD12" s="246"/>
      <c r="OE12" s="246"/>
      <c r="OF12" s="246"/>
      <c r="OG12" s="246"/>
      <c r="OH12" s="246"/>
      <c r="OI12" s="246"/>
      <c r="OJ12" s="246"/>
      <c r="OK12" s="246"/>
      <c r="OL12" s="246"/>
      <c r="OM12" s="246"/>
      <c r="ON12" s="246"/>
      <c r="OO12" s="246"/>
      <c r="OP12" s="246"/>
      <c r="OQ12" s="246"/>
      <c r="OR12" s="246"/>
      <c r="OS12" s="246"/>
      <c r="OT12" s="246"/>
      <c r="OU12" s="246"/>
      <c r="OV12" s="246"/>
      <c r="OW12" s="246"/>
      <c r="OX12" s="246"/>
      <c r="OY12" s="246"/>
      <c r="OZ12" s="246"/>
      <c r="PA12" s="246"/>
      <c r="PB12" s="246"/>
      <c r="PC12" s="246"/>
      <c r="PD12" s="246"/>
      <c r="PE12" s="246"/>
      <c r="PF12" s="246"/>
      <c r="PG12" s="246"/>
      <c r="PH12" s="246"/>
      <c r="PI12" s="246"/>
      <c r="PJ12" s="246"/>
      <c r="PK12" s="246"/>
      <c r="PL12" s="246"/>
      <c r="PM12" s="246"/>
      <c r="PN12" s="246"/>
      <c r="PO12" s="246"/>
      <c r="PP12" s="246"/>
      <c r="PQ12" s="246"/>
      <c r="PR12" s="246"/>
      <c r="PS12" s="246"/>
      <c r="PT12" s="246"/>
      <c r="PU12" s="246"/>
      <c r="PV12" s="246"/>
      <c r="PW12" s="246"/>
      <c r="PX12" s="246"/>
      <c r="PY12" s="246"/>
      <c r="PZ12" s="246"/>
      <c r="QA12" s="246"/>
      <c r="QB12" s="246"/>
      <c r="QC12" s="246"/>
      <c r="QD12" s="246"/>
      <c r="QE12" s="246"/>
      <c r="QF12" s="246"/>
      <c r="QG12" s="246"/>
      <c r="QH12" s="246"/>
      <c r="QI12" s="246"/>
      <c r="QJ12" s="246"/>
      <c r="QK12" s="246"/>
      <c r="QL12" s="246"/>
      <c r="QM12" s="246"/>
      <c r="QN12" s="246"/>
      <c r="QO12" s="246"/>
      <c r="QP12" s="247"/>
      <c r="QQ12" s="146"/>
      <c r="QR12" s="144"/>
    </row>
    <row r="13" spans="3:484" s="139" customFormat="1" ht="9.6" customHeight="1" x14ac:dyDescent="0.3">
      <c r="C13" s="140"/>
      <c r="D13" s="145"/>
      <c r="E13" s="245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X13" s="246"/>
      <c r="Y13" s="246"/>
      <c r="Z13" s="246"/>
      <c r="AA13" s="246"/>
      <c r="AB13" s="246"/>
      <c r="AC13" s="246"/>
      <c r="AD13" s="246"/>
      <c r="AE13" s="246"/>
      <c r="AF13" s="246"/>
      <c r="AG13" s="246"/>
      <c r="AH13" s="246"/>
      <c r="AI13" s="246"/>
      <c r="AJ13" s="246"/>
      <c r="AK13" s="246"/>
      <c r="AL13" s="246"/>
      <c r="AM13" s="246"/>
      <c r="AN13" s="246"/>
      <c r="AO13" s="246"/>
      <c r="AP13" s="246"/>
      <c r="AQ13" s="246"/>
      <c r="AR13" s="246"/>
      <c r="AS13" s="246"/>
      <c r="AT13" s="246"/>
      <c r="AU13" s="246"/>
      <c r="AV13" s="246"/>
      <c r="AW13" s="246"/>
      <c r="AX13" s="246"/>
      <c r="AY13" s="246"/>
      <c r="AZ13" s="246"/>
      <c r="BA13" s="246"/>
      <c r="BB13" s="246"/>
      <c r="BC13" s="246"/>
      <c r="BD13" s="246"/>
      <c r="BE13" s="246"/>
      <c r="BF13" s="246"/>
      <c r="BG13" s="246"/>
      <c r="BH13" s="246"/>
      <c r="BI13" s="246"/>
      <c r="BJ13" s="246"/>
      <c r="BK13" s="246"/>
      <c r="BL13" s="246"/>
      <c r="BM13" s="246"/>
      <c r="BN13" s="246"/>
      <c r="BO13" s="246"/>
      <c r="BP13" s="246"/>
      <c r="BQ13" s="246"/>
      <c r="BR13" s="246"/>
      <c r="BS13" s="246"/>
      <c r="BT13" s="246"/>
      <c r="BU13" s="246"/>
      <c r="BV13" s="246"/>
      <c r="BW13" s="246"/>
      <c r="BX13" s="246"/>
      <c r="BY13" s="246"/>
      <c r="BZ13" s="246"/>
      <c r="CA13" s="246"/>
      <c r="CB13" s="246"/>
      <c r="CC13" s="246"/>
      <c r="CD13" s="246"/>
      <c r="CE13" s="246"/>
      <c r="CF13" s="246"/>
      <c r="CG13" s="246"/>
      <c r="CH13" s="246"/>
      <c r="CI13" s="246"/>
      <c r="CJ13" s="246"/>
      <c r="CK13" s="246"/>
      <c r="CL13" s="246"/>
      <c r="CM13" s="246"/>
      <c r="CN13" s="246"/>
      <c r="CO13" s="246"/>
      <c r="CP13" s="246"/>
      <c r="CQ13" s="246"/>
      <c r="CR13" s="246"/>
      <c r="CS13" s="246"/>
      <c r="CT13" s="246"/>
      <c r="CU13" s="246"/>
      <c r="CV13" s="246"/>
      <c r="CW13" s="246"/>
      <c r="CX13" s="246"/>
      <c r="CY13" s="246"/>
      <c r="CZ13" s="246"/>
      <c r="DA13" s="246"/>
      <c r="DB13" s="246"/>
      <c r="DC13" s="246"/>
      <c r="DD13" s="246"/>
      <c r="DE13" s="246"/>
      <c r="DF13" s="246"/>
      <c r="DG13" s="246"/>
      <c r="DH13" s="246"/>
      <c r="DI13" s="246"/>
      <c r="DJ13" s="246"/>
      <c r="DK13" s="246"/>
      <c r="DL13" s="246"/>
      <c r="DM13" s="246"/>
      <c r="DN13" s="246"/>
      <c r="DO13" s="246"/>
      <c r="DP13" s="246"/>
      <c r="DQ13" s="246"/>
      <c r="DR13" s="246"/>
      <c r="DS13" s="246"/>
      <c r="DT13" s="246"/>
      <c r="DU13" s="246"/>
      <c r="DV13" s="246"/>
      <c r="DW13" s="246"/>
      <c r="DX13" s="246"/>
      <c r="DY13" s="246"/>
      <c r="DZ13" s="246"/>
      <c r="EA13" s="246"/>
      <c r="EB13" s="246"/>
      <c r="EC13" s="246"/>
      <c r="ED13" s="246"/>
      <c r="EE13" s="246"/>
      <c r="EF13" s="246"/>
      <c r="EG13" s="246"/>
      <c r="EH13" s="246"/>
      <c r="EI13" s="246"/>
      <c r="EJ13" s="246"/>
      <c r="EK13" s="246"/>
      <c r="EL13" s="246"/>
      <c r="EM13" s="246"/>
      <c r="EN13" s="246"/>
      <c r="EO13" s="246"/>
      <c r="EP13" s="246"/>
      <c r="EQ13" s="246"/>
      <c r="ER13" s="246"/>
      <c r="ES13" s="246"/>
      <c r="ET13" s="246"/>
      <c r="EU13" s="246"/>
      <c r="EV13" s="246"/>
      <c r="EW13" s="246"/>
      <c r="EX13" s="246"/>
      <c r="EY13" s="246"/>
      <c r="EZ13" s="246"/>
      <c r="FA13" s="246"/>
      <c r="FB13" s="246"/>
      <c r="FC13" s="246"/>
      <c r="FD13" s="246"/>
      <c r="FE13" s="246"/>
      <c r="FF13" s="246"/>
      <c r="FG13" s="246"/>
      <c r="FH13" s="246"/>
      <c r="FI13" s="246"/>
      <c r="FJ13" s="246"/>
      <c r="FK13" s="246"/>
      <c r="FL13" s="246"/>
      <c r="FM13" s="246"/>
      <c r="FN13" s="246"/>
      <c r="FO13" s="246"/>
      <c r="FP13" s="246"/>
      <c r="FQ13" s="246"/>
      <c r="FR13" s="246"/>
      <c r="FS13" s="246"/>
      <c r="FT13" s="246"/>
      <c r="FU13" s="246"/>
      <c r="FV13" s="246"/>
      <c r="FW13" s="246"/>
      <c r="FX13" s="246"/>
      <c r="FY13" s="246"/>
      <c r="FZ13" s="246"/>
      <c r="GA13" s="246"/>
      <c r="GB13" s="246"/>
      <c r="GC13" s="246"/>
      <c r="GD13" s="246"/>
      <c r="GE13" s="246"/>
      <c r="GF13" s="246"/>
      <c r="GG13" s="246"/>
      <c r="GH13" s="246"/>
      <c r="GI13" s="246"/>
      <c r="GJ13" s="246"/>
      <c r="GK13" s="246"/>
      <c r="GL13" s="246"/>
      <c r="GM13" s="246"/>
      <c r="GN13" s="246"/>
      <c r="GO13" s="246"/>
      <c r="GP13" s="246"/>
      <c r="GQ13" s="246"/>
      <c r="GR13" s="246"/>
      <c r="GS13" s="246"/>
      <c r="GT13" s="246"/>
      <c r="GU13" s="246"/>
      <c r="GV13" s="246"/>
      <c r="GW13" s="246"/>
      <c r="GX13" s="246"/>
      <c r="GY13" s="246"/>
      <c r="GZ13" s="246"/>
      <c r="HA13" s="246"/>
      <c r="HB13" s="246"/>
      <c r="HC13" s="246"/>
      <c r="HD13" s="246"/>
      <c r="HE13" s="246"/>
      <c r="HF13" s="246"/>
      <c r="HG13" s="246"/>
      <c r="HH13" s="246"/>
      <c r="HI13" s="246"/>
      <c r="HJ13" s="246"/>
      <c r="HK13" s="246"/>
      <c r="HL13" s="246"/>
      <c r="HM13" s="246"/>
      <c r="HN13" s="246"/>
      <c r="HO13" s="246"/>
      <c r="HP13" s="246"/>
      <c r="HQ13" s="246"/>
      <c r="HR13" s="246"/>
      <c r="HS13" s="246"/>
      <c r="HT13" s="246"/>
      <c r="HU13" s="246"/>
      <c r="HV13" s="246"/>
      <c r="HW13" s="246"/>
      <c r="HX13" s="246"/>
      <c r="HY13" s="246"/>
      <c r="HZ13" s="246"/>
      <c r="IA13" s="246"/>
      <c r="IB13" s="246"/>
      <c r="IC13" s="246"/>
      <c r="ID13" s="246"/>
      <c r="IE13" s="246"/>
      <c r="IF13" s="246"/>
      <c r="IG13" s="246"/>
      <c r="IH13" s="246"/>
      <c r="II13" s="246"/>
      <c r="IJ13" s="246"/>
      <c r="IK13" s="246"/>
      <c r="IL13" s="246"/>
      <c r="IM13" s="246"/>
      <c r="IN13" s="246"/>
      <c r="IO13" s="246"/>
      <c r="IP13" s="246"/>
      <c r="IQ13" s="246"/>
      <c r="IR13" s="246"/>
      <c r="IS13" s="246"/>
      <c r="IT13" s="246"/>
      <c r="IU13" s="246"/>
      <c r="IV13" s="246"/>
      <c r="IW13" s="246"/>
      <c r="IX13" s="246"/>
      <c r="IY13" s="246"/>
      <c r="IZ13" s="246"/>
      <c r="JA13" s="246"/>
      <c r="JB13" s="246"/>
      <c r="JC13" s="246"/>
      <c r="JD13" s="246"/>
      <c r="JE13" s="246"/>
      <c r="JF13" s="246"/>
      <c r="JG13" s="246"/>
      <c r="JH13" s="246"/>
      <c r="JI13" s="246"/>
      <c r="JJ13" s="246"/>
      <c r="JK13" s="246"/>
      <c r="JL13" s="246"/>
      <c r="JM13" s="246"/>
      <c r="JN13" s="246"/>
      <c r="JO13" s="246"/>
      <c r="JP13" s="246"/>
      <c r="JQ13" s="246"/>
      <c r="JR13" s="246"/>
      <c r="JS13" s="246"/>
      <c r="JT13" s="246"/>
      <c r="JU13" s="246"/>
      <c r="JV13" s="246"/>
      <c r="JW13" s="246"/>
      <c r="JX13" s="246"/>
      <c r="JY13" s="246"/>
      <c r="JZ13" s="246"/>
      <c r="KA13" s="246"/>
      <c r="KB13" s="246"/>
      <c r="KC13" s="246"/>
      <c r="KD13" s="246"/>
      <c r="KE13" s="246"/>
      <c r="KF13" s="246"/>
      <c r="KG13" s="246"/>
      <c r="KH13" s="246"/>
      <c r="KI13" s="246"/>
      <c r="KJ13" s="246"/>
      <c r="KK13" s="246"/>
      <c r="KL13" s="246"/>
      <c r="KM13" s="246"/>
      <c r="KN13" s="246"/>
      <c r="KO13" s="246"/>
      <c r="KP13" s="246"/>
      <c r="KQ13" s="246"/>
      <c r="KR13" s="246"/>
      <c r="KS13" s="246"/>
      <c r="KT13" s="246"/>
      <c r="KU13" s="246"/>
      <c r="KV13" s="246"/>
      <c r="KW13" s="246"/>
      <c r="KX13" s="246"/>
      <c r="KY13" s="246"/>
      <c r="KZ13" s="246"/>
      <c r="LA13" s="246"/>
      <c r="LB13" s="246"/>
      <c r="LC13" s="246"/>
      <c r="LD13" s="246"/>
      <c r="LE13" s="246"/>
      <c r="LF13" s="246"/>
      <c r="LG13" s="246"/>
      <c r="LH13" s="246"/>
      <c r="LI13" s="246"/>
      <c r="LJ13" s="246"/>
      <c r="LK13" s="246"/>
      <c r="LL13" s="246"/>
      <c r="LM13" s="246"/>
      <c r="LN13" s="246"/>
      <c r="LO13" s="246"/>
      <c r="LP13" s="246"/>
      <c r="LQ13" s="246"/>
      <c r="LR13" s="246"/>
      <c r="LS13" s="246"/>
      <c r="LT13" s="246"/>
      <c r="LU13" s="246"/>
      <c r="LV13" s="246"/>
      <c r="LW13" s="246"/>
      <c r="LX13" s="246"/>
      <c r="LY13" s="246"/>
      <c r="LZ13" s="246"/>
      <c r="MA13" s="246"/>
      <c r="MB13" s="246"/>
      <c r="MC13" s="246"/>
      <c r="MD13" s="246"/>
      <c r="ME13" s="246"/>
      <c r="MF13" s="246"/>
      <c r="MG13" s="246"/>
      <c r="MH13" s="246"/>
      <c r="MI13" s="246"/>
      <c r="MJ13" s="246"/>
      <c r="MK13" s="246"/>
      <c r="ML13" s="246"/>
      <c r="MM13" s="246"/>
      <c r="MN13" s="246"/>
      <c r="MO13" s="246"/>
      <c r="MP13" s="246"/>
      <c r="MQ13" s="246"/>
      <c r="MR13" s="246"/>
      <c r="MS13" s="246"/>
      <c r="MT13" s="246"/>
      <c r="MU13" s="246"/>
      <c r="MV13" s="246"/>
      <c r="MW13" s="246"/>
      <c r="MX13" s="246"/>
      <c r="MY13" s="246"/>
      <c r="MZ13" s="246"/>
      <c r="NA13" s="246"/>
      <c r="NB13" s="246"/>
      <c r="NC13" s="246"/>
      <c r="ND13" s="246"/>
      <c r="NE13" s="246"/>
      <c r="NF13" s="246"/>
      <c r="NG13" s="246"/>
      <c r="NH13" s="246"/>
      <c r="NI13" s="246"/>
      <c r="NJ13" s="246"/>
      <c r="NK13" s="246"/>
      <c r="NL13" s="246"/>
      <c r="NM13" s="246"/>
      <c r="NN13" s="246"/>
      <c r="NO13" s="246"/>
      <c r="NP13" s="246"/>
      <c r="NQ13" s="246"/>
      <c r="NR13" s="246"/>
      <c r="NS13" s="246"/>
      <c r="NT13" s="246"/>
      <c r="NU13" s="246"/>
      <c r="NV13" s="246"/>
      <c r="NW13" s="246"/>
      <c r="NX13" s="246"/>
      <c r="NY13" s="246"/>
      <c r="NZ13" s="246"/>
      <c r="OA13" s="246"/>
      <c r="OB13" s="246"/>
      <c r="OC13" s="246"/>
      <c r="OD13" s="246"/>
      <c r="OE13" s="246"/>
      <c r="OF13" s="246"/>
      <c r="OG13" s="246"/>
      <c r="OH13" s="246"/>
      <c r="OI13" s="246"/>
      <c r="OJ13" s="246"/>
      <c r="OK13" s="246"/>
      <c r="OL13" s="246"/>
      <c r="OM13" s="246"/>
      <c r="ON13" s="246"/>
      <c r="OO13" s="246"/>
      <c r="OP13" s="246"/>
      <c r="OQ13" s="246"/>
      <c r="OR13" s="246"/>
      <c r="OS13" s="246"/>
      <c r="OT13" s="246"/>
      <c r="OU13" s="246"/>
      <c r="OV13" s="246"/>
      <c r="OW13" s="246"/>
      <c r="OX13" s="246"/>
      <c r="OY13" s="246"/>
      <c r="OZ13" s="246"/>
      <c r="PA13" s="246"/>
      <c r="PB13" s="246"/>
      <c r="PC13" s="246"/>
      <c r="PD13" s="246"/>
      <c r="PE13" s="246"/>
      <c r="PF13" s="246"/>
      <c r="PG13" s="246"/>
      <c r="PH13" s="246"/>
      <c r="PI13" s="246"/>
      <c r="PJ13" s="246"/>
      <c r="PK13" s="246"/>
      <c r="PL13" s="246"/>
      <c r="PM13" s="246"/>
      <c r="PN13" s="246"/>
      <c r="PO13" s="246"/>
      <c r="PP13" s="246"/>
      <c r="PQ13" s="246"/>
      <c r="PR13" s="246"/>
      <c r="PS13" s="246"/>
      <c r="PT13" s="246"/>
      <c r="PU13" s="246"/>
      <c r="PV13" s="246"/>
      <c r="PW13" s="246"/>
      <c r="PX13" s="246"/>
      <c r="PY13" s="246"/>
      <c r="PZ13" s="246"/>
      <c r="QA13" s="246"/>
      <c r="QB13" s="246"/>
      <c r="QC13" s="246"/>
      <c r="QD13" s="246"/>
      <c r="QE13" s="246"/>
      <c r="QF13" s="246"/>
      <c r="QG13" s="246"/>
      <c r="QH13" s="246"/>
      <c r="QI13" s="246"/>
      <c r="QJ13" s="246"/>
      <c r="QK13" s="246"/>
      <c r="QL13" s="246"/>
      <c r="QM13" s="246"/>
      <c r="QN13" s="246"/>
      <c r="QO13" s="246"/>
      <c r="QP13" s="247"/>
      <c r="QQ13" s="146"/>
      <c r="QR13" s="144"/>
    </row>
    <row r="14" spans="3:484" s="139" customFormat="1" ht="9.6" customHeight="1" x14ac:dyDescent="0.3">
      <c r="C14" s="140"/>
      <c r="D14" s="145"/>
      <c r="E14" s="245"/>
      <c r="F14" s="246"/>
      <c r="G14" s="246"/>
      <c r="H14" s="246"/>
      <c r="I14" s="246"/>
      <c r="J14" s="246"/>
      <c r="K14" s="246"/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  <c r="AA14" s="246"/>
      <c r="AB14" s="246"/>
      <c r="AC14" s="246"/>
      <c r="AD14" s="246"/>
      <c r="AE14" s="246"/>
      <c r="AF14" s="246"/>
      <c r="AG14" s="246"/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6"/>
      <c r="BU14" s="246"/>
      <c r="BV14" s="246"/>
      <c r="BW14" s="246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6"/>
      <c r="CP14" s="246"/>
      <c r="CQ14" s="246"/>
      <c r="CR14" s="246"/>
      <c r="CS14" s="246"/>
      <c r="CT14" s="246"/>
      <c r="CU14" s="246"/>
      <c r="CV14" s="246"/>
      <c r="CW14" s="246"/>
      <c r="CX14" s="246"/>
      <c r="CY14" s="246"/>
      <c r="CZ14" s="246"/>
      <c r="DA14" s="246"/>
      <c r="DB14" s="246"/>
      <c r="DC14" s="246"/>
      <c r="DD14" s="246"/>
      <c r="DE14" s="246"/>
      <c r="DF14" s="246"/>
      <c r="DG14" s="246"/>
      <c r="DH14" s="246"/>
      <c r="DI14" s="246"/>
      <c r="DJ14" s="246"/>
      <c r="DK14" s="246"/>
      <c r="DL14" s="246"/>
      <c r="DM14" s="246"/>
      <c r="DN14" s="246"/>
      <c r="DO14" s="246"/>
      <c r="DP14" s="246"/>
      <c r="DQ14" s="246"/>
      <c r="DR14" s="246"/>
      <c r="DS14" s="246"/>
      <c r="DT14" s="246"/>
      <c r="DU14" s="246"/>
      <c r="DV14" s="246"/>
      <c r="DW14" s="246"/>
      <c r="DX14" s="246"/>
      <c r="DY14" s="246"/>
      <c r="DZ14" s="246"/>
      <c r="EA14" s="246"/>
      <c r="EB14" s="246"/>
      <c r="EC14" s="246"/>
      <c r="ED14" s="246"/>
      <c r="EE14" s="246"/>
      <c r="EF14" s="246"/>
      <c r="EG14" s="246"/>
      <c r="EH14" s="246"/>
      <c r="EI14" s="246"/>
      <c r="EJ14" s="246"/>
      <c r="EK14" s="246"/>
      <c r="EL14" s="246"/>
      <c r="EM14" s="246"/>
      <c r="EN14" s="246"/>
      <c r="EO14" s="246"/>
      <c r="EP14" s="246"/>
      <c r="EQ14" s="246"/>
      <c r="ER14" s="246"/>
      <c r="ES14" s="246"/>
      <c r="ET14" s="246"/>
      <c r="EU14" s="246"/>
      <c r="EV14" s="246"/>
      <c r="EW14" s="246"/>
      <c r="EX14" s="246"/>
      <c r="EY14" s="246"/>
      <c r="EZ14" s="246"/>
      <c r="FA14" s="246"/>
      <c r="FB14" s="246"/>
      <c r="FC14" s="246"/>
      <c r="FD14" s="246"/>
      <c r="FE14" s="246"/>
      <c r="FF14" s="246"/>
      <c r="FG14" s="246"/>
      <c r="FH14" s="246"/>
      <c r="FI14" s="246"/>
      <c r="FJ14" s="246"/>
      <c r="FK14" s="246"/>
      <c r="FL14" s="246"/>
      <c r="FM14" s="246"/>
      <c r="FN14" s="246"/>
      <c r="FO14" s="246"/>
      <c r="FP14" s="246"/>
      <c r="FQ14" s="246"/>
      <c r="FR14" s="246"/>
      <c r="FS14" s="246"/>
      <c r="FT14" s="246"/>
      <c r="FU14" s="246"/>
      <c r="FV14" s="246"/>
      <c r="FW14" s="246"/>
      <c r="FX14" s="246"/>
      <c r="FY14" s="246"/>
      <c r="FZ14" s="246"/>
      <c r="GA14" s="246"/>
      <c r="GB14" s="246"/>
      <c r="GC14" s="246"/>
      <c r="GD14" s="246"/>
      <c r="GE14" s="246"/>
      <c r="GF14" s="246"/>
      <c r="GG14" s="246"/>
      <c r="GH14" s="246"/>
      <c r="GI14" s="246"/>
      <c r="GJ14" s="246"/>
      <c r="GK14" s="246"/>
      <c r="GL14" s="246"/>
      <c r="GM14" s="246"/>
      <c r="GN14" s="246"/>
      <c r="GO14" s="246"/>
      <c r="GP14" s="246"/>
      <c r="GQ14" s="246"/>
      <c r="GR14" s="246"/>
      <c r="GS14" s="246"/>
      <c r="GT14" s="246"/>
      <c r="GU14" s="246"/>
      <c r="GV14" s="246"/>
      <c r="GW14" s="246"/>
      <c r="GX14" s="246"/>
      <c r="GY14" s="246"/>
      <c r="GZ14" s="246"/>
      <c r="HA14" s="246"/>
      <c r="HB14" s="246"/>
      <c r="HC14" s="246"/>
      <c r="HD14" s="246"/>
      <c r="HE14" s="246"/>
      <c r="HF14" s="246"/>
      <c r="HG14" s="246"/>
      <c r="HH14" s="246"/>
      <c r="HI14" s="246"/>
      <c r="HJ14" s="246"/>
      <c r="HK14" s="246"/>
      <c r="HL14" s="246"/>
      <c r="HM14" s="246"/>
      <c r="HN14" s="246"/>
      <c r="HO14" s="246"/>
      <c r="HP14" s="246"/>
      <c r="HQ14" s="246"/>
      <c r="HR14" s="246"/>
      <c r="HS14" s="246"/>
      <c r="HT14" s="246"/>
      <c r="HU14" s="246"/>
      <c r="HV14" s="246"/>
      <c r="HW14" s="246"/>
      <c r="HX14" s="246"/>
      <c r="HY14" s="246"/>
      <c r="HZ14" s="246"/>
      <c r="IA14" s="246"/>
      <c r="IB14" s="246"/>
      <c r="IC14" s="246"/>
      <c r="ID14" s="246"/>
      <c r="IE14" s="246"/>
      <c r="IF14" s="246"/>
      <c r="IG14" s="246"/>
      <c r="IH14" s="246"/>
      <c r="II14" s="246"/>
      <c r="IJ14" s="246"/>
      <c r="IK14" s="246"/>
      <c r="IL14" s="246"/>
      <c r="IM14" s="246"/>
      <c r="IN14" s="246"/>
      <c r="IO14" s="246"/>
      <c r="IP14" s="246"/>
      <c r="IQ14" s="246"/>
      <c r="IR14" s="246"/>
      <c r="IS14" s="246"/>
      <c r="IT14" s="246"/>
      <c r="IU14" s="246"/>
      <c r="IV14" s="246"/>
      <c r="IW14" s="246"/>
      <c r="IX14" s="246"/>
      <c r="IY14" s="246"/>
      <c r="IZ14" s="246"/>
      <c r="JA14" s="246"/>
      <c r="JB14" s="246"/>
      <c r="JC14" s="246"/>
      <c r="JD14" s="246"/>
      <c r="JE14" s="246"/>
      <c r="JF14" s="246"/>
      <c r="JG14" s="246"/>
      <c r="JH14" s="246"/>
      <c r="JI14" s="246"/>
      <c r="JJ14" s="246"/>
      <c r="JK14" s="246"/>
      <c r="JL14" s="246"/>
      <c r="JM14" s="246"/>
      <c r="JN14" s="246"/>
      <c r="JO14" s="246"/>
      <c r="JP14" s="246"/>
      <c r="JQ14" s="246"/>
      <c r="JR14" s="246"/>
      <c r="JS14" s="246"/>
      <c r="JT14" s="246"/>
      <c r="JU14" s="246"/>
      <c r="JV14" s="246"/>
      <c r="JW14" s="246"/>
      <c r="JX14" s="246"/>
      <c r="JY14" s="246"/>
      <c r="JZ14" s="246"/>
      <c r="KA14" s="246"/>
      <c r="KB14" s="246"/>
      <c r="KC14" s="246"/>
      <c r="KD14" s="246"/>
      <c r="KE14" s="246"/>
      <c r="KF14" s="246"/>
      <c r="KG14" s="246"/>
      <c r="KH14" s="246"/>
      <c r="KI14" s="246"/>
      <c r="KJ14" s="246"/>
      <c r="KK14" s="246"/>
      <c r="KL14" s="246"/>
      <c r="KM14" s="246"/>
      <c r="KN14" s="246"/>
      <c r="KO14" s="246"/>
      <c r="KP14" s="246"/>
      <c r="KQ14" s="246"/>
      <c r="KR14" s="246"/>
      <c r="KS14" s="246"/>
      <c r="KT14" s="246"/>
      <c r="KU14" s="246"/>
      <c r="KV14" s="246"/>
      <c r="KW14" s="246"/>
      <c r="KX14" s="246"/>
      <c r="KY14" s="246"/>
      <c r="KZ14" s="246"/>
      <c r="LA14" s="246"/>
      <c r="LB14" s="246"/>
      <c r="LC14" s="246"/>
      <c r="LD14" s="246"/>
      <c r="LE14" s="246"/>
      <c r="LF14" s="246"/>
      <c r="LG14" s="246"/>
      <c r="LH14" s="246"/>
      <c r="LI14" s="246"/>
      <c r="LJ14" s="246"/>
      <c r="LK14" s="246"/>
      <c r="LL14" s="246"/>
      <c r="LM14" s="246"/>
      <c r="LN14" s="246"/>
      <c r="LO14" s="246"/>
      <c r="LP14" s="246"/>
      <c r="LQ14" s="246"/>
      <c r="LR14" s="246"/>
      <c r="LS14" s="246"/>
      <c r="LT14" s="246"/>
      <c r="LU14" s="246"/>
      <c r="LV14" s="246"/>
      <c r="LW14" s="246"/>
      <c r="LX14" s="246"/>
      <c r="LY14" s="246"/>
      <c r="LZ14" s="246"/>
      <c r="MA14" s="246"/>
      <c r="MB14" s="246"/>
      <c r="MC14" s="246"/>
      <c r="MD14" s="246"/>
      <c r="ME14" s="246"/>
      <c r="MF14" s="246"/>
      <c r="MG14" s="246"/>
      <c r="MH14" s="246"/>
      <c r="MI14" s="246"/>
      <c r="MJ14" s="246"/>
      <c r="MK14" s="246"/>
      <c r="ML14" s="246"/>
      <c r="MM14" s="246"/>
      <c r="MN14" s="246"/>
      <c r="MO14" s="246"/>
      <c r="MP14" s="246"/>
      <c r="MQ14" s="246"/>
      <c r="MR14" s="246"/>
      <c r="MS14" s="246"/>
      <c r="MT14" s="246"/>
      <c r="MU14" s="246"/>
      <c r="MV14" s="246"/>
      <c r="MW14" s="246"/>
      <c r="MX14" s="246"/>
      <c r="MY14" s="246"/>
      <c r="MZ14" s="246"/>
      <c r="NA14" s="246"/>
      <c r="NB14" s="246"/>
      <c r="NC14" s="246"/>
      <c r="ND14" s="246"/>
      <c r="NE14" s="246"/>
      <c r="NF14" s="246"/>
      <c r="NG14" s="246"/>
      <c r="NH14" s="246"/>
      <c r="NI14" s="246"/>
      <c r="NJ14" s="246"/>
      <c r="NK14" s="246"/>
      <c r="NL14" s="246"/>
      <c r="NM14" s="246"/>
      <c r="NN14" s="246"/>
      <c r="NO14" s="246"/>
      <c r="NP14" s="246"/>
      <c r="NQ14" s="246"/>
      <c r="NR14" s="246"/>
      <c r="NS14" s="246"/>
      <c r="NT14" s="246"/>
      <c r="NU14" s="246"/>
      <c r="NV14" s="246"/>
      <c r="NW14" s="246"/>
      <c r="NX14" s="246"/>
      <c r="NY14" s="246"/>
      <c r="NZ14" s="246"/>
      <c r="OA14" s="246"/>
      <c r="OB14" s="246"/>
      <c r="OC14" s="246"/>
      <c r="OD14" s="246"/>
      <c r="OE14" s="246"/>
      <c r="OF14" s="246"/>
      <c r="OG14" s="246"/>
      <c r="OH14" s="246"/>
      <c r="OI14" s="246"/>
      <c r="OJ14" s="246"/>
      <c r="OK14" s="246"/>
      <c r="OL14" s="246"/>
      <c r="OM14" s="246"/>
      <c r="ON14" s="246"/>
      <c r="OO14" s="246"/>
      <c r="OP14" s="246"/>
      <c r="OQ14" s="246"/>
      <c r="OR14" s="246"/>
      <c r="OS14" s="246"/>
      <c r="OT14" s="246"/>
      <c r="OU14" s="246"/>
      <c r="OV14" s="246"/>
      <c r="OW14" s="246"/>
      <c r="OX14" s="246"/>
      <c r="OY14" s="246"/>
      <c r="OZ14" s="246"/>
      <c r="PA14" s="246"/>
      <c r="PB14" s="246"/>
      <c r="PC14" s="246"/>
      <c r="PD14" s="246"/>
      <c r="PE14" s="246"/>
      <c r="PF14" s="246"/>
      <c r="PG14" s="246"/>
      <c r="PH14" s="246"/>
      <c r="PI14" s="246"/>
      <c r="PJ14" s="246"/>
      <c r="PK14" s="246"/>
      <c r="PL14" s="246"/>
      <c r="PM14" s="246"/>
      <c r="PN14" s="246"/>
      <c r="PO14" s="246"/>
      <c r="PP14" s="246"/>
      <c r="PQ14" s="246"/>
      <c r="PR14" s="246"/>
      <c r="PS14" s="246"/>
      <c r="PT14" s="246"/>
      <c r="PU14" s="246"/>
      <c r="PV14" s="246"/>
      <c r="PW14" s="246"/>
      <c r="PX14" s="246"/>
      <c r="PY14" s="246"/>
      <c r="PZ14" s="246"/>
      <c r="QA14" s="246"/>
      <c r="QB14" s="246"/>
      <c r="QC14" s="246"/>
      <c r="QD14" s="246"/>
      <c r="QE14" s="246"/>
      <c r="QF14" s="246"/>
      <c r="QG14" s="246"/>
      <c r="QH14" s="246"/>
      <c r="QI14" s="246"/>
      <c r="QJ14" s="246"/>
      <c r="QK14" s="246"/>
      <c r="QL14" s="246"/>
      <c r="QM14" s="246"/>
      <c r="QN14" s="246"/>
      <c r="QO14" s="246"/>
      <c r="QP14" s="247"/>
      <c r="QQ14" s="146"/>
      <c r="QR14" s="144"/>
    </row>
    <row r="15" spans="3:484" s="139" customFormat="1" ht="9.6" customHeight="1" thickBot="1" x14ac:dyDescent="0.35">
      <c r="C15" s="140"/>
      <c r="D15" s="145"/>
      <c r="E15" s="248"/>
      <c r="F15" s="249"/>
      <c r="G15" s="249"/>
      <c r="H15" s="249"/>
      <c r="I15" s="249"/>
      <c r="J15" s="249"/>
      <c r="K15" s="249"/>
      <c r="L15" s="249"/>
      <c r="M15" s="249"/>
      <c r="N15" s="249"/>
      <c r="O15" s="249"/>
      <c r="P15" s="249"/>
      <c r="Q15" s="249"/>
      <c r="R15" s="249"/>
      <c r="S15" s="249"/>
      <c r="T15" s="249"/>
      <c r="U15" s="249"/>
      <c r="V15" s="249"/>
      <c r="W15" s="249"/>
      <c r="X15" s="249"/>
      <c r="Y15" s="249"/>
      <c r="Z15" s="249"/>
      <c r="AA15" s="249"/>
      <c r="AB15" s="249"/>
      <c r="AC15" s="249"/>
      <c r="AD15" s="249"/>
      <c r="AE15" s="249"/>
      <c r="AF15" s="249"/>
      <c r="AG15" s="249"/>
      <c r="AH15" s="249"/>
      <c r="AI15" s="249"/>
      <c r="AJ15" s="249"/>
      <c r="AK15" s="249"/>
      <c r="AL15" s="249"/>
      <c r="AM15" s="249"/>
      <c r="AN15" s="249"/>
      <c r="AO15" s="249"/>
      <c r="AP15" s="249"/>
      <c r="AQ15" s="249"/>
      <c r="AR15" s="249"/>
      <c r="AS15" s="249"/>
      <c r="AT15" s="249"/>
      <c r="AU15" s="249"/>
      <c r="AV15" s="249"/>
      <c r="AW15" s="249"/>
      <c r="AX15" s="249"/>
      <c r="AY15" s="249"/>
      <c r="AZ15" s="249"/>
      <c r="BA15" s="249"/>
      <c r="BB15" s="249"/>
      <c r="BC15" s="249"/>
      <c r="BD15" s="249"/>
      <c r="BE15" s="249"/>
      <c r="BF15" s="249"/>
      <c r="BG15" s="249"/>
      <c r="BH15" s="249"/>
      <c r="BI15" s="249"/>
      <c r="BJ15" s="249"/>
      <c r="BK15" s="249"/>
      <c r="BL15" s="249"/>
      <c r="BM15" s="249"/>
      <c r="BN15" s="249"/>
      <c r="BO15" s="249"/>
      <c r="BP15" s="249"/>
      <c r="BQ15" s="249"/>
      <c r="BR15" s="249"/>
      <c r="BS15" s="249"/>
      <c r="BT15" s="249"/>
      <c r="BU15" s="249"/>
      <c r="BV15" s="249"/>
      <c r="BW15" s="249"/>
      <c r="BX15" s="249"/>
      <c r="BY15" s="249"/>
      <c r="BZ15" s="249"/>
      <c r="CA15" s="249"/>
      <c r="CB15" s="249"/>
      <c r="CC15" s="249"/>
      <c r="CD15" s="249"/>
      <c r="CE15" s="249"/>
      <c r="CF15" s="249"/>
      <c r="CG15" s="249"/>
      <c r="CH15" s="249"/>
      <c r="CI15" s="249"/>
      <c r="CJ15" s="249"/>
      <c r="CK15" s="249"/>
      <c r="CL15" s="249"/>
      <c r="CM15" s="249"/>
      <c r="CN15" s="249"/>
      <c r="CO15" s="249"/>
      <c r="CP15" s="249"/>
      <c r="CQ15" s="249"/>
      <c r="CR15" s="249"/>
      <c r="CS15" s="249"/>
      <c r="CT15" s="249"/>
      <c r="CU15" s="249"/>
      <c r="CV15" s="249"/>
      <c r="CW15" s="249"/>
      <c r="CX15" s="249"/>
      <c r="CY15" s="249"/>
      <c r="CZ15" s="249"/>
      <c r="DA15" s="249"/>
      <c r="DB15" s="249"/>
      <c r="DC15" s="249"/>
      <c r="DD15" s="249"/>
      <c r="DE15" s="249"/>
      <c r="DF15" s="249"/>
      <c r="DG15" s="249"/>
      <c r="DH15" s="249"/>
      <c r="DI15" s="249"/>
      <c r="DJ15" s="249"/>
      <c r="DK15" s="249"/>
      <c r="DL15" s="249"/>
      <c r="DM15" s="249"/>
      <c r="DN15" s="249"/>
      <c r="DO15" s="249"/>
      <c r="DP15" s="249"/>
      <c r="DQ15" s="249"/>
      <c r="DR15" s="249"/>
      <c r="DS15" s="249"/>
      <c r="DT15" s="249"/>
      <c r="DU15" s="249"/>
      <c r="DV15" s="249"/>
      <c r="DW15" s="249"/>
      <c r="DX15" s="249"/>
      <c r="DY15" s="249"/>
      <c r="DZ15" s="249"/>
      <c r="EA15" s="249"/>
      <c r="EB15" s="249"/>
      <c r="EC15" s="249"/>
      <c r="ED15" s="249"/>
      <c r="EE15" s="249"/>
      <c r="EF15" s="249"/>
      <c r="EG15" s="249"/>
      <c r="EH15" s="249"/>
      <c r="EI15" s="249"/>
      <c r="EJ15" s="249"/>
      <c r="EK15" s="249"/>
      <c r="EL15" s="249"/>
      <c r="EM15" s="249"/>
      <c r="EN15" s="249"/>
      <c r="EO15" s="249"/>
      <c r="EP15" s="249"/>
      <c r="EQ15" s="249"/>
      <c r="ER15" s="249"/>
      <c r="ES15" s="249"/>
      <c r="ET15" s="249"/>
      <c r="EU15" s="249"/>
      <c r="EV15" s="249"/>
      <c r="EW15" s="249"/>
      <c r="EX15" s="249"/>
      <c r="EY15" s="249"/>
      <c r="EZ15" s="249"/>
      <c r="FA15" s="249"/>
      <c r="FB15" s="249"/>
      <c r="FC15" s="249"/>
      <c r="FD15" s="249"/>
      <c r="FE15" s="249"/>
      <c r="FF15" s="249"/>
      <c r="FG15" s="249"/>
      <c r="FH15" s="249"/>
      <c r="FI15" s="249"/>
      <c r="FJ15" s="249"/>
      <c r="FK15" s="249"/>
      <c r="FL15" s="249"/>
      <c r="FM15" s="249"/>
      <c r="FN15" s="249"/>
      <c r="FO15" s="249"/>
      <c r="FP15" s="249"/>
      <c r="FQ15" s="249"/>
      <c r="FR15" s="249"/>
      <c r="FS15" s="249"/>
      <c r="FT15" s="249"/>
      <c r="FU15" s="249"/>
      <c r="FV15" s="249"/>
      <c r="FW15" s="249"/>
      <c r="FX15" s="249"/>
      <c r="FY15" s="249"/>
      <c r="FZ15" s="249"/>
      <c r="GA15" s="249"/>
      <c r="GB15" s="249"/>
      <c r="GC15" s="249"/>
      <c r="GD15" s="249"/>
      <c r="GE15" s="249"/>
      <c r="GF15" s="249"/>
      <c r="GG15" s="249"/>
      <c r="GH15" s="249"/>
      <c r="GI15" s="249"/>
      <c r="GJ15" s="249"/>
      <c r="GK15" s="249"/>
      <c r="GL15" s="249"/>
      <c r="GM15" s="249"/>
      <c r="GN15" s="249"/>
      <c r="GO15" s="249"/>
      <c r="GP15" s="249"/>
      <c r="GQ15" s="249"/>
      <c r="GR15" s="249"/>
      <c r="GS15" s="249"/>
      <c r="GT15" s="249"/>
      <c r="GU15" s="249"/>
      <c r="GV15" s="249"/>
      <c r="GW15" s="249"/>
      <c r="GX15" s="249"/>
      <c r="GY15" s="249"/>
      <c r="GZ15" s="249"/>
      <c r="HA15" s="249"/>
      <c r="HB15" s="249"/>
      <c r="HC15" s="249"/>
      <c r="HD15" s="249"/>
      <c r="HE15" s="249"/>
      <c r="HF15" s="249"/>
      <c r="HG15" s="249"/>
      <c r="HH15" s="249"/>
      <c r="HI15" s="249"/>
      <c r="HJ15" s="249"/>
      <c r="HK15" s="249"/>
      <c r="HL15" s="249"/>
      <c r="HM15" s="249"/>
      <c r="HN15" s="249"/>
      <c r="HO15" s="249"/>
      <c r="HP15" s="249"/>
      <c r="HQ15" s="249"/>
      <c r="HR15" s="249"/>
      <c r="HS15" s="249"/>
      <c r="HT15" s="249"/>
      <c r="HU15" s="249"/>
      <c r="HV15" s="249"/>
      <c r="HW15" s="249"/>
      <c r="HX15" s="249"/>
      <c r="HY15" s="249"/>
      <c r="HZ15" s="249"/>
      <c r="IA15" s="249"/>
      <c r="IB15" s="249"/>
      <c r="IC15" s="249"/>
      <c r="ID15" s="249"/>
      <c r="IE15" s="249"/>
      <c r="IF15" s="249"/>
      <c r="IG15" s="249"/>
      <c r="IH15" s="249"/>
      <c r="II15" s="249"/>
      <c r="IJ15" s="249"/>
      <c r="IK15" s="249"/>
      <c r="IL15" s="249"/>
      <c r="IM15" s="249"/>
      <c r="IN15" s="249"/>
      <c r="IO15" s="249"/>
      <c r="IP15" s="249"/>
      <c r="IQ15" s="249"/>
      <c r="IR15" s="249"/>
      <c r="IS15" s="249"/>
      <c r="IT15" s="249"/>
      <c r="IU15" s="249"/>
      <c r="IV15" s="249"/>
      <c r="IW15" s="249"/>
      <c r="IX15" s="249"/>
      <c r="IY15" s="249"/>
      <c r="IZ15" s="249"/>
      <c r="JA15" s="249"/>
      <c r="JB15" s="249"/>
      <c r="JC15" s="249"/>
      <c r="JD15" s="249"/>
      <c r="JE15" s="249"/>
      <c r="JF15" s="249"/>
      <c r="JG15" s="249"/>
      <c r="JH15" s="249"/>
      <c r="JI15" s="249"/>
      <c r="JJ15" s="249"/>
      <c r="JK15" s="249"/>
      <c r="JL15" s="249"/>
      <c r="JM15" s="249"/>
      <c r="JN15" s="249"/>
      <c r="JO15" s="249"/>
      <c r="JP15" s="249"/>
      <c r="JQ15" s="249"/>
      <c r="JR15" s="249"/>
      <c r="JS15" s="249"/>
      <c r="JT15" s="249"/>
      <c r="JU15" s="249"/>
      <c r="JV15" s="249"/>
      <c r="JW15" s="249"/>
      <c r="JX15" s="249"/>
      <c r="JY15" s="249"/>
      <c r="JZ15" s="249"/>
      <c r="KA15" s="249"/>
      <c r="KB15" s="249"/>
      <c r="KC15" s="249"/>
      <c r="KD15" s="249"/>
      <c r="KE15" s="249"/>
      <c r="KF15" s="249"/>
      <c r="KG15" s="249"/>
      <c r="KH15" s="249"/>
      <c r="KI15" s="249"/>
      <c r="KJ15" s="249"/>
      <c r="KK15" s="249"/>
      <c r="KL15" s="249"/>
      <c r="KM15" s="249"/>
      <c r="KN15" s="249"/>
      <c r="KO15" s="249"/>
      <c r="KP15" s="249"/>
      <c r="KQ15" s="249"/>
      <c r="KR15" s="249"/>
      <c r="KS15" s="249"/>
      <c r="KT15" s="249"/>
      <c r="KU15" s="249"/>
      <c r="KV15" s="249"/>
      <c r="KW15" s="249"/>
      <c r="KX15" s="249"/>
      <c r="KY15" s="249"/>
      <c r="KZ15" s="249"/>
      <c r="LA15" s="249"/>
      <c r="LB15" s="249"/>
      <c r="LC15" s="249"/>
      <c r="LD15" s="249"/>
      <c r="LE15" s="249"/>
      <c r="LF15" s="249"/>
      <c r="LG15" s="249"/>
      <c r="LH15" s="249"/>
      <c r="LI15" s="249"/>
      <c r="LJ15" s="249"/>
      <c r="LK15" s="249"/>
      <c r="LL15" s="249"/>
      <c r="LM15" s="249"/>
      <c r="LN15" s="249"/>
      <c r="LO15" s="249"/>
      <c r="LP15" s="249"/>
      <c r="LQ15" s="249"/>
      <c r="LR15" s="249"/>
      <c r="LS15" s="249"/>
      <c r="LT15" s="249"/>
      <c r="LU15" s="249"/>
      <c r="LV15" s="249"/>
      <c r="LW15" s="249"/>
      <c r="LX15" s="249"/>
      <c r="LY15" s="249"/>
      <c r="LZ15" s="249"/>
      <c r="MA15" s="249"/>
      <c r="MB15" s="249"/>
      <c r="MC15" s="249"/>
      <c r="MD15" s="249"/>
      <c r="ME15" s="249"/>
      <c r="MF15" s="249"/>
      <c r="MG15" s="249"/>
      <c r="MH15" s="249"/>
      <c r="MI15" s="249"/>
      <c r="MJ15" s="249"/>
      <c r="MK15" s="249"/>
      <c r="ML15" s="249"/>
      <c r="MM15" s="249"/>
      <c r="MN15" s="249"/>
      <c r="MO15" s="249"/>
      <c r="MP15" s="249"/>
      <c r="MQ15" s="249"/>
      <c r="MR15" s="249"/>
      <c r="MS15" s="249"/>
      <c r="MT15" s="249"/>
      <c r="MU15" s="249"/>
      <c r="MV15" s="249"/>
      <c r="MW15" s="249"/>
      <c r="MX15" s="249"/>
      <c r="MY15" s="249"/>
      <c r="MZ15" s="249"/>
      <c r="NA15" s="249"/>
      <c r="NB15" s="249"/>
      <c r="NC15" s="249"/>
      <c r="ND15" s="249"/>
      <c r="NE15" s="249"/>
      <c r="NF15" s="249"/>
      <c r="NG15" s="249"/>
      <c r="NH15" s="249"/>
      <c r="NI15" s="249"/>
      <c r="NJ15" s="249"/>
      <c r="NK15" s="249"/>
      <c r="NL15" s="249"/>
      <c r="NM15" s="249"/>
      <c r="NN15" s="249"/>
      <c r="NO15" s="249"/>
      <c r="NP15" s="249"/>
      <c r="NQ15" s="249"/>
      <c r="NR15" s="249"/>
      <c r="NS15" s="249"/>
      <c r="NT15" s="249"/>
      <c r="NU15" s="249"/>
      <c r="NV15" s="249"/>
      <c r="NW15" s="249"/>
      <c r="NX15" s="249"/>
      <c r="NY15" s="249"/>
      <c r="NZ15" s="249"/>
      <c r="OA15" s="249"/>
      <c r="OB15" s="249"/>
      <c r="OC15" s="249"/>
      <c r="OD15" s="249"/>
      <c r="OE15" s="249"/>
      <c r="OF15" s="249"/>
      <c r="OG15" s="249"/>
      <c r="OH15" s="249"/>
      <c r="OI15" s="249"/>
      <c r="OJ15" s="249"/>
      <c r="OK15" s="249"/>
      <c r="OL15" s="249"/>
      <c r="OM15" s="249"/>
      <c r="ON15" s="249"/>
      <c r="OO15" s="249"/>
      <c r="OP15" s="249"/>
      <c r="OQ15" s="249"/>
      <c r="OR15" s="249"/>
      <c r="OS15" s="249"/>
      <c r="OT15" s="249"/>
      <c r="OU15" s="249"/>
      <c r="OV15" s="249"/>
      <c r="OW15" s="249"/>
      <c r="OX15" s="249"/>
      <c r="OY15" s="249"/>
      <c r="OZ15" s="249"/>
      <c r="PA15" s="249"/>
      <c r="PB15" s="249"/>
      <c r="PC15" s="249"/>
      <c r="PD15" s="249"/>
      <c r="PE15" s="249"/>
      <c r="PF15" s="249"/>
      <c r="PG15" s="249"/>
      <c r="PH15" s="249"/>
      <c r="PI15" s="249"/>
      <c r="PJ15" s="249"/>
      <c r="PK15" s="249"/>
      <c r="PL15" s="249"/>
      <c r="PM15" s="249"/>
      <c r="PN15" s="249"/>
      <c r="PO15" s="249"/>
      <c r="PP15" s="249"/>
      <c r="PQ15" s="249"/>
      <c r="PR15" s="249"/>
      <c r="PS15" s="249"/>
      <c r="PT15" s="249"/>
      <c r="PU15" s="249"/>
      <c r="PV15" s="249"/>
      <c r="PW15" s="249"/>
      <c r="PX15" s="249"/>
      <c r="PY15" s="249"/>
      <c r="PZ15" s="249"/>
      <c r="QA15" s="249"/>
      <c r="QB15" s="249"/>
      <c r="QC15" s="249"/>
      <c r="QD15" s="249"/>
      <c r="QE15" s="249"/>
      <c r="QF15" s="249"/>
      <c r="QG15" s="249"/>
      <c r="QH15" s="249"/>
      <c r="QI15" s="249"/>
      <c r="QJ15" s="249"/>
      <c r="QK15" s="249"/>
      <c r="QL15" s="249"/>
      <c r="QM15" s="249"/>
      <c r="QN15" s="249"/>
      <c r="QO15" s="249"/>
      <c r="QP15" s="250"/>
      <c r="QQ15" s="146"/>
      <c r="QR15" s="144"/>
    </row>
    <row r="16" spans="3:484" ht="5.0999999999999996" customHeight="1" x14ac:dyDescent="0.3">
      <c r="C16" s="149"/>
      <c r="D16" s="150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  <c r="AY16" s="151"/>
      <c r="AZ16" s="151"/>
      <c r="BA16" s="151"/>
      <c r="BB16" s="151"/>
      <c r="BC16" s="151"/>
      <c r="BD16" s="151"/>
      <c r="BE16" s="151"/>
      <c r="BF16" s="151"/>
      <c r="BG16" s="151"/>
      <c r="BH16" s="151"/>
      <c r="BI16" s="151"/>
      <c r="BJ16" s="151"/>
      <c r="BK16" s="151"/>
      <c r="BL16" s="151"/>
      <c r="BM16" s="151"/>
      <c r="BN16" s="151"/>
      <c r="BO16" s="151"/>
      <c r="BP16" s="151"/>
      <c r="BQ16" s="151"/>
      <c r="BR16" s="151"/>
      <c r="BS16" s="151"/>
      <c r="BT16" s="151"/>
      <c r="BU16" s="151"/>
      <c r="BV16" s="151"/>
      <c r="BW16" s="151"/>
      <c r="BX16" s="151"/>
      <c r="BY16" s="151"/>
      <c r="BZ16" s="151"/>
      <c r="CA16" s="151"/>
      <c r="CB16" s="151"/>
      <c r="CC16" s="151"/>
      <c r="CD16" s="151"/>
      <c r="CE16" s="151"/>
      <c r="CF16" s="151"/>
      <c r="CG16" s="151"/>
      <c r="CH16" s="151"/>
      <c r="CI16" s="151"/>
      <c r="CJ16" s="151"/>
      <c r="CK16" s="151"/>
      <c r="CL16" s="151"/>
      <c r="CM16" s="151"/>
      <c r="CN16" s="151"/>
      <c r="CO16" s="151"/>
      <c r="CP16" s="151"/>
      <c r="CQ16" s="151"/>
      <c r="CR16" s="151"/>
      <c r="CS16" s="151"/>
      <c r="CT16" s="151"/>
      <c r="CU16" s="151"/>
      <c r="CV16" s="151"/>
      <c r="CW16" s="151"/>
      <c r="CX16" s="151"/>
      <c r="CY16" s="151"/>
      <c r="CZ16" s="151"/>
      <c r="DA16" s="151"/>
      <c r="DB16" s="151"/>
      <c r="DC16" s="151"/>
      <c r="DD16" s="151"/>
      <c r="DE16" s="151"/>
      <c r="DF16" s="151"/>
      <c r="DG16" s="151"/>
      <c r="DH16" s="151"/>
      <c r="DI16" s="151"/>
      <c r="DJ16" s="151"/>
      <c r="DK16" s="151"/>
      <c r="DL16" s="151"/>
      <c r="DM16" s="151"/>
      <c r="DN16" s="151"/>
      <c r="DO16" s="151"/>
      <c r="DP16" s="151"/>
      <c r="DQ16" s="151"/>
      <c r="DR16" s="151"/>
      <c r="DS16" s="151"/>
      <c r="DT16" s="151"/>
      <c r="DU16" s="151"/>
      <c r="DV16" s="151"/>
      <c r="DW16" s="151"/>
      <c r="DX16" s="151"/>
      <c r="DY16" s="151"/>
      <c r="DZ16" s="151"/>
      <c r="EA16" s="151"/>
      <c r="EB16" s="151"/>
      <c r="EC16" s="151"/>
      <c r="ED16" s="151"/>
      <c r="EE16" s="151"/>
      <c r="EF16" s="151"/>
      <c r="EG16" s="151"/>
      <c r="EH16" s="151"/>
      <c r="EI16" s="151"/>
      <c r="EJ16" s="151"/>
      <c r="EK16" s="151"/>
      <c r="EL16" s="151"/>
      <c r="EM16" s="151"/>
      <c r="EN16" s="151"/>
      <c r="EO16" s="151"/>
      <c r="EP16" s="151"/>
      <c r="EQ16" s="151"/>
      <c r="ER16" s="151"/>
      <c r="ES16" s="151"/>
      <c r="ET16" s="151"/>
      <c r="EU16" s="151"/>
      <c r="EV16" s="151"/>
      <c r="EW16" s="151"/>
      <c r="EX16" s="151"/>
      <c r="EY16" s="151"/>
      <c r="EZ16" s="151"/>
      <c r="FA16" s="151"/>
      <c r="FB16" s="151"/>
      <c r="FC16" s="151"/>
      <c r="FD16" s="151"/>
      <c r="FE16" s="151"/>
      <c r="FF16" s="151"/>
      <c r="FG16" s="151"/>
      <c r="FH16" s="151"/>
      <c r="FI16" s="151"/>
      <c r="FJ16" s="151"/>
      <c r="FK16" s="151"/>
      <c r="FL16" s="151"/>
      <c r="FM16" s="151"/>
      <c r="FN16" s="151"/>
      <c r="FO16" s="151"/>
      <c r="FP16" s="151"/>
      <c r="FQ16" s="151"/>
      <c r="FR16" s="151"/>
      <c r="FS16" s="151"/>
      <c r="FT16" s="151"/>
      <c r="FU16" s="151"/>
      <c r="FV16" s="151"/>
      <c r="FW16" s="151"/>
      <c r="FX16" s="151"/>
      <c r="FY16" s="151"/>
      <c r="FZ16" s="151"/>
      <c r="GA16" s="151"/>
      <c r="GB16" s="151"/>
      <c r="GC16" s="151"/>
      <c r="GD16" s="151"/>
      <c r="GE16" s="151"/>
      <c r="GF16" s="151"/>
      <c r="GG16" s="151"/>
      <c r="GH16" s="151"/>
      <c r="GI16" s="151"/>
      <c r="GJ16" s="151"/>
      <c r="GK16" s="151"/>
      <c r="GL16" s="151"/>
      <c r="GM16" s="151"/>
      <c r="GN16" s="151"/>
      <c r="GO16" s="151"/>
      <c r="GP16" s="151"/>
      <c r="GQ16" s="151"/>
      <c r="GR16" s="151"/>
      <c r="GS16" s="151"/>
      <c r="GT16" s="151"/>
      <c r="GU16" s="151"/>
      <c r="GV16" s="151"/>
      <c r="GW16" s="151"/>
      <c r="GX16" s="151"/>
      <c r="GY16" s="151"/>
      <c r="GZ16" s="151"/>
      <c r="HA16" s="151"/>
      <c r="HB16" s="151"/>
      <c r="HC16" s="151"/>
      <c r="HD16" s="151"/>
      <c r="HE16" s="151"/>
      <c r="HF16" s="151"/>
      <c r="HG16" s="151"/>
      <c r="HH16" s="151"/>
      <c r="HI16" s="151"/>
      <c r="HJ16" s="151"/>
      <c r="HK16" s="151"/>
      <c r="HL16" s="151"/>
      <c r="HM16" s="151"/>
      <c r="HN16" s="151"/>
      <c r="HO16" s="151"/>
      <c r="HP16" s="151"/>
      <c r="HQ16" s="151"/>
      <c r="HR16" s="151"/>
      <c r="HS16" s="151"/>
      <c r="HT16" s="151"/>
      <c r="HU16" s="151"/>
      <c r="HV16" s="151"/>
      <c r="HW16" s="151"/>
      <c r="HX16" s="151"/>
      <c r="HY16" s="151"/>
      <c r="HZ16" s="151"/>
      <c r="IA16" s="151"/>
      <c r="IB16" s="151"/>
      <c r="IC16" s="151"/>
      <c r="ID16" s="151"/>
      <c r="IE16" s="151"/>
      <c r="IF16" s="151"/>
      <c r="IG16" s="151"/>
      <c r="IH16" s="151"/>
      <c r="II16" s="151"/>
      <c r="IJ16" s="151"/>
      <c r="IK16" s="151"/>
      <c r="IL16" s="151"/>
      <c r="IM16" s="151"/>
      <c r="IN16" s="151"/>
      <c r="IO16" s="151"/>
      <c r="IP16" s="151"/>
      <c r="IQ16" s="151"/>
      <c r="IR16" s="151"/>
      <c r="IS16" s="151"/>
      <c r="LU16" s="151"/>
      <c r="LV16" s="151"/>
      <c r="LW16" s="151"/>
      <c r="LX16" s="151"/>
      <c r="LY16" s="151"/>
      <c r="LZ16" s="151"/>
      <c r="MA16" s="151"/>
      <c r="MB16" s="151"/>
      <c r="MC16" s="151"/>
      <c r="MD16" s="151"/>
      <c r="ME16" s="151"/>
      <c r="MF16" s="151"/>
      <c r="MG16" s="151"/>
      <c r="MH16" s="151"/>
      <c r="MI16" s="151"/>
      <c r="MJ16" s="151"/>
      <c r="MK16" s="151"/>
      <c r="ML16" s="151"/>
      <c r="MM16" s="151"/>
      <c r="MN16" s="151"/>
      <c r="MO16" s="151"/>
      <c r="MP16" s="151"/>
      <c r="MQ16" s="151"/>
      <c r="MR16" s="151"/>
      <c r="MS16" s="151"/>
      <c r="MT16" s="151"/>
      <c r="MU16" s="151"/>
      <c r="MV16" s="151"/>
      <c r="MW16" s="151"/>
      <c r="MX16" s="151"/>
      <c r="MY16" s="151"/>
      <c r="MZ16" s="151"/>
      <c r="NA16" s="151"/>
      <c r="NB16" s="151"/>
      <c r="NC16" s="151"/>
      <c r="ND16" s="151"/>
      <c r="NE16" s="151"/>
      <c r="NF16" s="151"/>
      <c r="NG16" s="151"/>
      <c r="NH16" s="151"/>
      <c r="NI16" s="151"/>
      <c r="NJ16" s="151"/>
      <c r="NK16" s="151"/>
      <c r="NL16" s="151"/>
      <c r="NM16" s="151"/>
      <c r="NN16" s="151"/>
      <c r="NO16" s="151"/>
      <c r="NP16" s="151"/>
      <c r="NQ16" s="151"/>
      <c r="NR16" s="151"/>
      <c r="NS16" s="151"/>
      <c r="NT16" s="151"/>
      <c r="NU16" s="151"/>
      <c r="NV16" s="151"/>
      <c r="NW16" s="151"/>
      <c r="NX16" s="151"/>
      <c r="NY16" s="151"/>
      <c r="NZ16" s="151"/>
      <c r="OA16" s="151"/>
      <c r="OB16" s="151"/>
      <c r="OC16" s="151"/>
      <c r="OD16" s="151"/>
      <c r="OE16" s="151"/>
      <c r="OF16" s="151"/>
      <c r="OG16" s="151"/>
      <c r="OH16" s="151"/>
      <c r="OI16" s="151"/>
      <c r="OJ16" s="151"/>
      <c r="OK16" s="151"/>
      <c r="OL16" s="151"/>
      <c r="OM16" s="151"/>
      <c r="ON16" s="151"/>
      <c r="OO16" s="151"/>
      <c r="OP16" s="151"/>
      <c r="OQ16" s="151"/>
      <c r="OR16" s="151"/>
      <c r="OS16" s="151"/>
      <c r="OT16" s="151"/>
      <c r="OU16" s="151"/>
      <c r="OV16" s="151"/>
      <c r="OW16" s="151"/>
      <c r="OX16" s="151"/>
      <c r="OY16" s="151"/>
      <c r="OZ16" s="151"/>
      <c r="PA16" s="151"/>
      <c r="PB16" s="151"/>
      <c r="PC16" s="151"/>
      <c r="PD16" s="151"/>
      <c r="PE16" s="151"/>
      <c r="PF16" s="151"/>
      <c r="PG16" s="151"/>
      <c r="PH16" s="151"/>
      <c r="PI16" s="151"/>
      <c r="PJ16" s="151"/>
      <c r="PK16" s="151"/>
      <c r="PL16" s="151"/>
      <c r="PM16" s="151"/>
      <c r="PN16" s="151"/>
      <c r="PO16" s="151"/>
      <c r="PP16" s="151"/>
      <c r="PQ16" s="151"/>
      <c r="PR16" s="151"/>
      <c r="PS16" s="151"/>
      <c r="PT16" s="151"/>
      <c r="PU16" s="151"/>
      <c r="PV16" s="151"/>
      <c r="PW16" s="151"/>
      <c r="PX16" s="151"/>
      <c r="PY16" s="151"/>
      <c r="PZ16" s="151"/>
      <c r="QA16" s="151"/>
      <c r="QB16" s="151"/>
      <c r="QC16" s="151"/>
      <c r="QD16" s="151"/>
      <c r="QE16" s="151"/>
      <c r="QF16" s="151"/>
      <c r="QG16" s="151"/>
      <c r="QH16" s="151"/>
      <c r="QI16" s="151"/>
      <c r="QJ16" s="151"/>
      <c r="QK16" s="151"/>
      <c r="QL16" s="151"/>
      <c r="QM16" s="151"/>
      <c r="QN16" s="151"/>
      <c r="QO16" s="151"/>
      <c r="QP16" s="151"/>
      <c r="QQ16" s="152"/>
      <c r="QR16" s="153"/>
    </row>
    <row r="17" spans="3:460" ht="5.0999999999999996" customHeight="1" x14ac:dyDescent="0.3">
      <c r="C17" s="149"/>
      <c r="D17" s="150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1"/>
      <c r="AT17" s="151"/>
      <c r="AU17" s="151"/>
      <c r="AV17" s="151"/>
      <c r="AW17" s="151"/>
      <c r="AX17" s="151"/>
      <c r="AY17" s="151"/>
      <c r="AZ17" s="151"/>
      <c r="BA17" s="151"/>
      <c r="BB17" s="151"/>
      <c r="BC17" s="151"/>
      <c r="BD17" s="151"/>
      <c r="BE17" s="151"/>
      <c r="BF17" s="151"/>
      <c r="BG17" s="151"/>
      <c r="BH17" s="151"/>
      <c r="BI17" s="151"/>
      <c r="BJ17" s="151"/>
      <c r="BK17" s="151"/>
      <c r="BL17" s="151"/>
      <c r="BM17" s="151"/>
      <c r="BN17" s="151"/>
      <c r="BO17" s="151"/>
      <c r="BP17" s="151"/>
      <c r="BQ17" s="151"/>
      <c r="BR17" s="151"/>
      <c r="BS17" s="151"/>
      <c r="BT17" s="151"/>
      <c r="BU17" s="151"/>
      <c r="BV17" s="151"/>
      <c r="BW17" s="151"/>
      <c r="BX17" s="151"/>
      <c r="BY17" s="151"/>
      <c r="BZ17" s="151"/>
      <c r="CA17" s="151"/>
      <c r="CB17" s="151"/>
      <c r="CC17" s="151"/>
      <c r="CD17" s="151"/>
      <c r="CE17" s="151"/>
      <c r="CF17" s="151"/>
      <c r="CG17" s="151"/>
      <c r="CH17" s="151"/>
      <c r="CI17" s="151"/>
      <c r="CJ17" s="151"/>
      <c r="CK17" s="151"/>
      <c r="CL17" s="151"/>
      <c r="CM17" s="151"/>
      <c r="CN17" s="151"/>
      <c r="CO17" s="151"/>
      <c r="CP17" s="151"/>
      <c r="CQ17" s="151"/>
      <c r="CR17" s="151"/>
      <c r="CS17" s="151"/>
      <c r="CT17" s="151"/>
      <c r="CU17" s="151"/>
      <c r="CV17" s="151"/>
      <c r="CW17" s="151"/>
      <c r="CX17" s="151"/>
      <c r="CY17" s="151"/>
      <c r="CZ17" s="151"/>
      <c r="DA17" s="151"/>
      <c r="DB17" s="151"/>
      <c r="DC17" s="151"/>
      <c r="DD17" s="151"/>
      <c r="DE17" s="151"/>
      <c r="DF17" s="151"/>
      <c r="DG17" s="151"/>
      <c r="DH17" s="151"/>
      <c r="DI17" s="151"/>
      <c r="DJ17" s="151"/>
      <c r="DK17" s="151"/>
      <c r="DL17" s="151"/>
      <c r="DM17" s="151"/>
      <c r="DN17" s="151"/>
      <c r="DO17" s="151"/>
      <c r="DP17" s="151"/>
      <c r="DQ17" s="151"/>
      <c r="DR17" s="151"/>
      <c r="DS17" s="151"/>
      <c r="DT17" s="151"/>
      <c r="DU17" s="151"/>
      <c r="DV17" s="151"/>
      <c r="DW17" s="151"/>
      <c r="DX17" s="151"/>
      <c r="DY17" s="151"/>
      <c r="DZ17" s="151"/>
      <c r="EA17" s="151"/>
      <c r="EB17" s="151"/>
      <c r="EC17" s="151"/>
      <c r="ED17" s="151"/>
      <c r="EE17" s="151"/>
      <c r="EF17" s="151"/>
      <c r="EG17" s="151"/>
      <c r="EH17" s="151"/>
      <c r="EI17" s="151"/>
      <c r="EJ17" s="151"/>
      <c r="EK17" s="151"/>
      <c r="EL17" s="151"/>
      <c r="EM17" s="151"/>
      <c r="EN17" s="151"/>
      <c r="EO17" s="151"/>
      <c r="EP17" s="151"/>
      <c r="EQ17" s="151"/>
      <c r="ER17" s="151"/>
      <c r="ES17" s="151"/>
      <c r="ET17" s="151"/>
      <c r="EU17" s="151"/>
      <c r="EV17" s="151"/>
      <c r="EW17" s="151"/>
      <c r="EX17" s="151"/>
      <c r="EY17" s="151"/>
      <c r="EZ17" s="151"/>
      <c r="FA17" s="151"/>
      <c r="FB17" s="151"/>
      <c r="FC17" s="151"/>
      <c r="FD17" s="151"/>
      <c r="FE17" s="151"/>
      <c r="FF17" s="151"/>
      <c r="FG17" s="151"/>
      <c r="FH17" s="151"/>
      <c r="FI17" s="151"/>
      <c r="FJ17" s="151"/>
      <c r="FK17" s="151"/>
      <c r="FL17" s="151"/>
      <c r="FM17" s="151"/>
      <c r="FN17" s="151"/>
      <c r="FO17" s="151"/>
      <c r="FP17" s="151"/>
      <c r="FQ17" s="151"/>
      <c r="FR17" s="151"/>
      <c r="FS17" s="151"/>
      <c r="FT17" s="151"/>
      <c r="FU17" s="151"/>
      <c r="FV17" s="151"/>
      <c r="FW17" s="151"/>
      <c r="FX17" s="151"/>
      <c r="FY17" s="151"/>
      <c r="FZ17" s="151"/>
      <c r="GA17" s="151"/>
      <c r="GB17" s="151"/>
      <c r="GC17" s="151"/>
      <c r="GD17" s="151"/>
      <c r="GE17" s="151"/>
      <c r="GF17" s="151"/>
      <c r="GG17" s="151"/>
      <c r="GH17" s="151"/>
      <c r="GI17" s="151"/>
      <c r="GJ17" s="151"/>
      <c r="GK17" s="151"/>
      <c r="GL17" s="151"/>
      <c r="GM17" s="151"/>
      <c r="GN17" s="151"/>
      <c r="GO17" s="151"/>
      <c r="GP17" s="151"/>
      <c r="GQ17" s="151"/>
      <c r="GR17" s="151"/>
      <c r="GS17" s="151"/>
      <c r="GT17" s="151"/>
      <c r="GU17" s="151"/>
      <c r="GV17" s="151"/>
      <c r="GW17" s="151"/>
      <c r="GX17" s="151"/>
      <c r="GY17" s="151"/>
      <c r="GZ17" s="151"/>
      <c r="HA17" s="151"/>
      <c r="HB17" s="151"/>
      <c r="HC17" s="151"/>
      <c r="HD17" s="151"/>
      <c r="HE17" s="151"/>
      <c r="HF17" s="151"/>
      <c r="HG17" s="151"/>
      <c r="HH17" s="151"/>
      <c r="HI17" s="151"/>
      <c r="HJ17" s="151"/>
      <c r="HK17" s="151"/>
      <c r="HL17" s="151"/>
      <c r="HM17" s="151"/>
      <c r="HN17" s="151"/>
      <c r="HO17" s="151"/>
      <c r="HP17" s="151"/>
      <c r="HQ17" s="151"/>
      <c r="HR17" s="151"/>
      <c r="HS17" s="151"/>
      <c r="HT17" s="151"/>
      <c r="HU17" s="151"/>
      <c r="HV17" s="151"/>
      <c r="HW17" s="151"/>
      <c r="HX17" s="151"/>
      <c r="HY17" s="151"/>
      <c r="HZ17" s="151"/>
      <c r="IA17" s="151"/>
      <c r="IB17" s="151"/>
      <c r="IC17" s="151"/>
      <c r="ID17" s="151"/>
      <c r="IE17" s="151"/>
      <c r="IF17" s="151"/>
      <c r="IG17" s="151"/>
      <c r="IH17" s="151"/>
      <c r="II17" s="151"/>
      <c r="IJ17" s="151"/>
      <c r="IK17" s="151"/>
      <c r="IL17" s="151"/>
      <c r="IM17" s="151"/>
      <c r="IN17" s="151"/>
      <c r="IO17" s="151"/>
      <c r="IP17" s="151"/>
      <c r="IQ17" s="151"/>
      <c r="IR17" s="151"/>
      <c r="IS17" s="151"/>
      <c r="LU17" s="151"/>
      <c r="LV17" s="151"/>
      <c r="LW17" s="151"/>
      <c r="LX17" s="151"/>
      <c r="LY17" s="151"/>
      <c r="LZ17" s="151"/>
      <c r="MA17" s="151"/>
      <c r="MB17" s="151"/>
      <c r="MC17" s="151"/>
      <c r="MD17" s="151"/>
      <c r="ME17" s="151"/>
      <c r="MF17" s="151"/>
      <c r="MG17" s="151"/>
      <c r="MH17" s="151"/>
      <c r="MI17" s="151"/>
      <c r="MJ17" s="151"/>
      <c r="MK17" s="151"/>
      <c r="ML17" s="151"/>
      <c r="MM17" s="151"/>
      <c r="MN17" s="151"/>
      <c r="MO17" s="151"/>
      <c r="MP17" s="151"/>
      <c r="MQ17" s="151"/>
      <c r="MR17" s="151"/>
      <c r="MS17" s="151"/>
      <c r="MT17" s="151"/>
      <c r="MU17" s="151"/>
      <c r="MV17" s="151"/>
      <c r="MW17" s="151"/>
      <c r="MX17" s="151"/>
      <c r="MY17" s="151"/>
      <c r="MZ17" s="151"/>
      <c r="NA17" s="151"/>
      <c r="NB17" s="151"/>
      <c r="NC17" s="151"/>
      <c r="ND17" s="151"/>
      <c r="NE17" s="151"/>
      <c r="NF17" s="151"/>
      <c r="NG17" s="151"/>
      <c r="NH17" s="151"/>
      <c r="NI17" s="151"/>
      <c r="NJ17" s="151"/>
      <c r="NK17" s="151"/>
      <c r="NL17" s="151"/>
      <c r="NM17" s="151"/>
      <c r="NN17" s="151"/>
      <c r="NO17" s="151"/>
      <c r="NP17" s="151"/>
      <c r="NQ17" s="151"/>
      <c r="NR17" s="151"/>
      <c r="NS17" s="151"/>
      <c r="NT17" s="151"/>
      <c r="NU17" s="151"/>
      <c r="NV17" s="151"/>
      <c r="NW17" s="151"/>
      <c r="NX17" s="151"/>
      <c r="NY17" s="151"/>
      <c r="NZ17" s="151"/>
      <c r="OA17" s="151"/>
      <c r="OB17" s="151"/>
      <c r="OC17" s="151"/>
      <c r="OD17" s="151"/>
      <c r="OE17" s="151"/>
      <c r="OF17" s="151"/>
      <c r="OG17" s="151"/>
      <c r="OH17" s="151"/>
      <c r="OI17" s="151"/>
      <c r="OJ17" s="151"/>
      <c r="OK17" s="151"/>
      <c r="OL17" s="151"/>
      <c r="OM17" s="151"/>
      <c r="ON17" s="151"/>
      <c r="OO17" s="151"/>
      <c r="OP17" s="151"/>
      <c r="OQ17" s="151"/>
      <c r="OR17" s="151"/>
      <c r="OS17" s="151"/>
      <c r="OT17" s="151"/>
      <c r="OU17" s="151"/>
      <c r="OV17" s="151"/>
      <c r="OW17" s="151"/>
      <c r="OX17" s="151"/>
      <c r="OY17" s="151"/>
      <c r="OZ17" s="151"/>
      <c r="PA17" s="151"/>
      <c r="PB17" s="151"/>
      <c r="PC17" s="151"/>
      <c r="PD17" s="151"/>
      <c r="PE17" s="151"/>
      <c r="PF17" s="151"/>
      <c r="PG17" s="151"/>
      <c r="PH17" s="151"/>
      <c r="PI17" s="151"/>
      <c r="PJ17" s="151"/>
      <c r="PK17" s="151"/>
      <c r="PL17" s="151"/>
      <c r="PM17" s="151"/>
      <c r="PN17" s="151"/>
      <c r="PO17" s="151"/>
      <c r="PP17" s="151"/>
      <c r="PQ17" s="151"/>
      <c r="PR17" s="151"/>
      <c r="PS17" s="151"/>
      <c r="PT17" s="151"/>
      <c r="PU17" s="151"/>
      <c r="PV17" s="151"/>
      <c r="PW17" s="151"/>
      <c r="PX17" s="151"/>
      <c r="PY17" s="151"/>
      <c r="PZ17" s="151"/>
      <c r="QA17" s="151"/>
      <c r="QB17" s="151"/>
      <c r="QC17" s="151"/>
      <c r="QD17" s="151"/>
      <c r="QE17" s="151"/>
      <c r="QF17" s="151"/>
      <c r="QG17" s="151"/>
      <c r="QH17" s="151"/>
      <c r="QI17" s="151"/>
      <c r="QJ17" s="151"/>
      <c r="QK17" s="151"/>
      <c r="QL17" s="151"/>
      <c r="QM17" s="151"/>
      <c r="QN17" s="151"/>
      <c r="QO17" s="151"/>
      <c r="QP17" s="151"/>
      <c r="QQ17" s="152"/>
      <c r="QR17" s="153"/>
    </row>
    <row r="18" spans="3:460" ht="5.0999999999999996" customHeight="1" x14ac:dyDescent="0.3">
      <c r="C18" s="149"/>
      <c r="D18" s="150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1"/>
      <c r="AT18" s="151"/>
      <c r="AU18" s="151"/>
      <c r="AV18" s="151"/>
      <c r="AW18" s="151"/>
      <c r="AX18" s="151"/>
      <c r="AY18" s="151"/>
      <c r="AZ18" s="151"/>
      <c r="BA18" s="151"/>
      <c r="BB18" s="151"/>
      <c r="BC18" s="151"/>
      <c r="BD18" s="151"/>
      <c r="BE18" s="151"/>
      <c r="BF18" s="151"/>
      <c r="BG18" s="151"/>
      <c r="BH18" s="151"/>
      <c r="BI18" s="151"/>
      <c r="BJ18" s="151"/>
      <c r="BK18" s="151"/>
      <c r="BL18" s="151"/>
      <c r="BM18" s="151"/>
      <c r="BN18" s="151"/>
      <c r="BO18" s="151"/>
      <c r="BP18" s="151"/>
      <c r="BQ18" s="151"/>
      <c r="BR18" s="151"/>
      <c r="BS18" s="151"/>
      <c r="BT18" s="151"/>
      <c r="BU18" s="151"/>
      <c r="BV18" s="151"/>
      <c r="BW18" s="151"/>
      <c r="BX18" s="151"/>
      <c r="BY18" s="151"/>
      <c r="BZ18" s="151"/>
      <c r="CA18" s="151"/>
      <c r="CB18" s="151"/>
      <c r="CC18" s="151"/>
      <c r="CD18" s="151"/>
      <c r="CE18" s="151"/>
      <c r="CF18" s="151"/>
      <c r="CG18" s="151"/>
      <c r="CH18" s="151"/>
      <c r="CI18" s="151"/>
      <c r="CJ18" s="151"/>
      <c r="CK18" s="151"/>
      <c r="CL18" s="151"/>
      <c r="CM18" s="151"/>
      <c r="CN18" s="151"/>
      <c r="CO18" s="151"/>
      <c r="CP18" s="151"/>
      <c r="CQ18" s="151"/>
      <c r="CR18" s="151"/>
      <c r="CS18" s="151"/>
      <c r="CT18" s="151"/>
      <c r="CU18" s="151"/>
      <c r="CV18" s="151"/>
      <c r="CW18" s="151"/>
      <c r="CX18" s="151"/>
      <c r="CY18" s="151"/>
      <c r="CZ18" s="151"/>
      <c r="DA18" s="151"/>
      <c r="DB18" s="151"/>
      <c r="DC18" s="151"/>
      <c r="DD18" s="151"/>
      <c r="DE18" s="151"/>
      <c r="DF18" s="151"/>
      <c r="DG18" s="151"/>
      <c r="DH18" s="151"/>
      <c r="DI18" s="151"/>
      <c r="DJ18" s="151"/>
      <c r="DK18" s="151"/>
      <c r="DL18" s="151"/>
      <c r="DM18" s="151"/>
      <c r="DN18" s="151"/>
      <c r="DO18" s="151"/>
      <c r="DP18" s="151"/>
      <c r="DQ18" s="151"/>
      <c r="DR18" s="151"/>
      <c r="DS18" s="151"/>
      <c r="DT18" s="151"/>
      <c r="DU18" s="151"/>
      <c r="DV18" s="151"/>
      <c r="DW18" s="151"/>
      <c r="DX18" s="151"/>
      <c r="DY18" s="151"/>
      <c r="DZ18" s="151"/>
      <c r="EA18" s="151"/>
      <c r="EB18" s="151"/>
      <c r="EC18" s="151"/>
      <c r="ED18" s="151"/>
      <c r="EE18" s="151"/>
      <c r="EF18" s="151"/>
      <c r="EG18" s="151"/>
      <c r="EH18" s="151"/>
      <c r="EI18" s="151"/>
      <c r="EJ18" s="151"/>
      <c r="EK18" s="151"/>
      <c r="EL18" s="151"/>
      <c r="EM18" s="151"/>
      <c r="EN18" s="151"/>
      <c r="EO18" s="151"/>
      <c r="EP18" s="151"/>
      <c r="EQ18" s="151"/>
      <c r="ER18" s="151"/>
      <c r="ES18" s="151"/>
      <c r="ET18" s="151"/>
      <c r="EU18" s="151"/>
      <c r="EV18" s="151"/>
      <c r="EW18" s="151"/>
      <c r="EX18" s="151"/>
      <c r="EY18" s="151"/>
      <c r="EZ18" s="151"/>
      <c r="FA18" s="151"/>
      <c r="FB18" s="151"/>
      <c r="FC18" s="151"/>
      <c r="FD18" s="151"/>
      <c r="FE18" s="151"/>
      <c r="FF18" s="151"/>
      <c r="FG18" s="151"/>
      <c r="QK18" s="151"/>
      <c r="QL18" s="151"/>
      <c r="QM18" s="151"/>
      <c r="QN18" s="151"/>
      <c r="QO18" s="151"/>
      <c r="QP18" s="151"/>
      <c r="QQ18" s="152"/>
      <c r="QR18" s="153"/>
    </row>
    <row r="19" spans="3:460" ht="5.0999999999999996" customHeight="1" x14ac:dyDescent="0.3">
      <c r="C19" s="149"/>
      <c r="D19" s="150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51"/>
      <c r="AS19" s="151"/>
      <c r="AT19" s="151"/>
      <c r="AU19" s="151"/>
      <c r="AV19" s="151"/>
      <c r="AW19" s="151"/>
      <c r="AX19" s="151"/>
      <c r="AY19" s="151"/>
      <c r="AZ19" s="151"/>
      <c r="BA19" s="151"/>
      <c r="BB19" s="151"/>
      <c r="BC19" s="151"/>
      <c r="BD19" s="151"/>
      <c r="BE19" s="151"/>
      <c r="BF19" s="151"/>
      <c r="BG19" s="151"/>
      <c r="BH19" s="151"/>
      <c r="BI19" s="151"/>
      <c r="BJ19" s="151"/>
      <c r="BK19" s="151"/>
      <c r="BL19" s="151"/>
      <c r="BM19" s="151"/>
      <c r="BN19" s="151"/>
      <c r="BO19" s="151"/>
      <c r="BP19" s="151"/>
      <c r="BQ19" s="151"/>
      <c r="BR19" s="151"/>
      <c r="BS19" s="151"/>
      <c r="BT19" s="151"/>
      <c r="BU19" s="151"/>
      <c r="BV19" s="151"/>
      <c r="BW19" s="151"/>
      <c r="BX19" s="151"/>
      <c r="BY19" s="151"/>
      <c r="BZ19" s="151"/>
      <c r="CA19" s="151"/>
      <c r="CB19" s="151"/>
      <c r="CC19" s="151"/>
      <c r="CD19" s="151"/>
      <c r="CE19" s="151"/>
      <c r="CF19" s="151"/>
      <c r="CG19" s="151"/>
      <c r="CH19" s="151"/>
      <c r="CI19" s="151"/>
      <c r="CJ19" s="151"/>
      <c r="CK19" s="151"/>
      <c r="CL19" s="151"/>
      <c r="CM19" s="151"/>
      <c r="CN19" s="151"/>
      <c r="CO19" s="151"/>
      <c r="CP19" s="151"/>
      <c r="CQ19" s="151"/>
      <c r="CR19" s="151"/>
      <c r="CS19" s="151"/>
      <c r="CT19" s="151"/>
      <c r="CU19" s="151"/>
      <c r="CV19" s="151"/>
      <c r="CW19" s="151"/>
      <c r="CX19" s="151"/>
      <c r="CY19" s="151"/>
      <c r="CZ19" s="151"/>
      <c r="DA19" s="151"/>
      <c r="DB19" s="151"/>
      <c r="DC19" s="151"/>
      <c r="DD19" s="151"/>
      <c r="DE19" s="151"/>
      <c r="DF19" s="151"/>
      <c r="DG19" s="151"/>
      <c r="DH19" s="151"/>
      <c r="DI19" s="151"/>
      <c r="DJ19" s="151"/>
      <c r="DK19" s="151"/>
      <c r="DL19" s="151"/>
      <c r="DM19" s="151"/>
      <c r="DN19" s="151"/>
      <c r="DO19" s="151"/>
      <c r="DP19" s="151"/>
      <c r="DQ19" s="151"/>
      <c r="DR19" s="151"/>
      <c r="DS19" s="151"/>
      <c r="DT19" s="151"/>
      <c r="DU19" s="151"/>
      <c r="DV19" s="151"/>
      <c r="DW19" s="151"/>
      <c r="DX19" s="151"/>
      <c r="DY19" s="151"/>
      <c r="DZ19" s="151"/>
      <c r="EA19" s="151"/>
      <c r="EB19" s="151"/>
      <c r="EC19" s="151"/>
      <c r="ED19" s="151"/>
      <c r="EE19" s="151"/>
      <c r="EF19" s="151"/>
      <c r="EG19" s="151"/>
      <c r="EH19" s="151"/>
      <c r="EI19" s="151"/>
      <c r="EJ19" s="151"/>
      <c r="EK19" s="151"/>
      <c r="EL19" s="151"/>
      <c r="EM19" s="151"/>
      <c r="EN19" s="151"/>
      <c r="EO19" s="151"/>
      <c r="EP19" s="151"/>
      <c r="EQ19" s="151"/>
      <c r="ER19" s="151"/>
      <c r="ES19" s="151"/>
      <c r="ET19" s="151"/>
      <c r="EU19" s="151"/>
      <c r="EV19" s="151"/>
      <c r="EW19" s="151"/>
      <c r="EX19" s="151"/>
      <c r="EY19" s="151"/>
      <c r="EZ19" s="151"/>
      <c r="FA19" s="151"/>
      <c r="FB19" s="151"/>
      <c r="FC19" s="151"/>
      <c r="FD19" s="151"/>
      <c r="FE19" s="151"/>
      <c r="FF19" s="151"/>
      <c r="FG19" s="151"/>
      <c r="FH19" s="151"/>
      <c r="FI19" s="151"/>
      <c r="FJ19" s="151"/>
      <c r="FK19" s="151"/>
      <c r="FL19" s="151"/>
      <c r="FM19" s="151"/>
      <c r="FN19" s="151"/>
      <c r="FO19" s="151"/>
      <c r="FP19" s="151"/>
      <c r="FQ19" s="151"/>
      <c r="FR19" s="151"/>
      <c r="FS19" s="151"/>
      <c r="FT19" s="151"/>
      <c r="FU19" s="151"/>
      <c r="FV19" s="151"/>
      <c r="FW19" s="151"/>
      <c r="FX19" s="151"/>
      <c r="FY19" s="151"/>
      <c r="FZ19" s="151"/>
      <c r="GA19" s="151"/>
      <c r="GB19" s="151"/>
      <c r="GC19" s="151"/>
      <c r="GD19" s="151"/>
      <c r="GE19" s="151"/>
      <c r="GF19" s="151"/>
      <c r="GG19" s="151"/>
      <c r="GH19" s="151"/>
      <c r="GI19" s="151"/>
      <c r="GJ19" s="151"/>
      <c r="GK19" s="151"/>
      <c r="GL19" s="151"/>
      <c r="GM19" s="151"/>
      <c r="GN19" s="151"/>
      <c r="GO19" s="151"/>
      <c r="GP19" s="151"/>
      <c r="GQ19" s="151"/>
      <c r="GR19" s="151"/>
      <c r="GS19" s="151"/>
      <c r="GT19" s="151"/>
      <c r="GU19" s="151"/>
      <c r="GV19" s="151"/>
      <c r="GW19" s="151"/>
      <c r="GX19" s="151"/>
      <c r="GY19" s="151"/>
      <c r="GZ19" s="151"/>
      <c r="HC19" s="251" t="s">
        <v>263</v>
      </c>
      <c r="HD19" s="252"/>
      <c r="HE19" s="252"/>
      <c r="HF19" s="252"/>
      <c r="HG19" s="252"/>
      <c r="HH19" s="252"/>
      <c r="HI19" s="252"/>
      <c r="HJ19" s="252"/>
      <c r="HK19" s="252"/>
      <c r="HL19" s="252"/>
      <c r="HM19" s="252"/>
      <c r="HN19" s="252"/>
      <c r="HO19" s="252"/>
      <c r="HP19" s="252"/>
      <c r="HQ19" s="252"/>
      <c r="HR19" s="252"/>
      <c r="HS19" s="252"/>
      <c r="HT19" s="252"/>
      <c r="HU19" s="252"/>
      <c r="HV19" s="252"/>
      <c r="HW19" s="252"/>
      <c r="HX19" s="252"/>
      <c r="HY19" s="252"/>
      <c r="HZ19" s="252"/>
      <c r="IA19" s="252"/>
      <c r="IB19" s="252"/>
      <c r="IC19" s="252"/>
      <c r="ID19" s="252"/>
      <c r="IE19" s="252"/>
      <c r="IF19" s="252"/>
      <c r="IG19" s="252"/>
      <c r="IH19" s="252"/>
      <c r="II19" s="252"/>
      <c r="IJ19" s="252"/>
      <c r="IK19" s="252"/>
      <c r="IL19" s="252"/>
      <c r="IM19" s="252"/>
      <c r="IN19" s="252"/>
      <c r="IO19" s="252"/>
      <c r="IP19" s="252"/>
      <c r="IQ19" s="253"/>
      <c r="IR19" s="260">
        <v>1</v>
      </c>
      <c r="IS19" s="260"/>
      <c r="IT19" s="260"/>
      <c r="IU19" s="260"/>
      <c r="IV19" s="151"/>
      <c r="IW19" s="151"/>
      <c r="IX19" s="151"/>
      <c r="IY19" s="151"/>
      <c r="IZ19" s="151"/>
      <c r="JA19" s="151"/>
      <c r="JB19" s="151"/>
      <c r="JC19" s="151"/>
      <c r="JD19" s="151"/>
      <c r="JE19" s="151"/>
      <c r="JF19" s="151"/>
      <c r="JG19" s="151"/>
      <c r="JH19" s="151"/>
      <c r="JI19" s="151"/>
      <c r="JJ19" s="151"/>
      <c r="JK19" s="151"/>
      <c r="JL19" s="151"/>
      <c r="JM19" s="151"/>
      <c r="JN19" s="151"/>
      <c r="JO19" s="151"/>
      <c r="JP19" s="151"/>
      <c r="JQ19" s="151"/>
      <c r="JR19" s="151"/>
      <c r="JS19" s="151"/>
      <c r="JT19" s="151"/>
      <c r="JU19" s="151"/>
      <c r="JV19" s="151"/>
      <c r="JW19" s="151"/>
      <c r="JX19" s="151"/>
      <c r="JY19" s="151"/>
      <c r="JZ19" s="151"/>
      <c r="KA19" s="151"/>
      <c r="KB19" s="151"/>
      <c r="KC19" s="151"/>
      <c r="KD19" s="151"/>
      <c r="KE19" s="151"/>
      <c r="KF19" s="151"/>
      <c r="KG19" s="151"/>
      <c r="KH19" s="151"/>
      <c r="KI19" s="151"/>
      <c r="KJ19" s="151"/>
      <c r="KK19" s="151"/>
      <c r="KL19" s="151"/>
      <c r="KM19" s="151"/>
      <c r="KN19" s="151"/>
      <c r="KO19" s="151"/>
      <c r="LC19" s="151"/>
      <c r="LD19" s="151"/>
      <c r="LE19" s="151"/>
      <c r="LF19" s="151"/>
      <c r="LG19" s="151"/>
      <c r="LH19" s="151"/>
      <c r="LI19" s="151"/>
      <c r="LJ19" s="151"/>
      <c r="LK19" s="151"/>
      <c r="LL19" s="151"/>
      <c r="LM19" s="151"/>
      <c r="LN19" s="151"/>
      <c r="LO19" s="151"/>
      <c r="LP19" s="151"/>
      <c r="LQ19" s="151"/>
      <c r="LR19" s="151"/>
      <c r="LS19" s="151"/>
      <c r="LT19" s="151"/>
      <c r="LU19" s="151"/>
      <c r="LV19" s="151"/>
      <c r="LW19" s="151"/>
      <c r="LX19" s="151"/>
      <c r="LY19" s="151"/>
      <c r="LZ19" s="151"/>
      <c r="MA19" s="151"/>
      <c r="MB19" s="151"/>
      <c r="MC19" s="151"/>
      <c r="MD19" s="151"/>
      <c r="ME19" s="151"/>
      <c r="MF19" s="151"/>
      <c r="MG19" s="151"/>
      <c r="MH19" s="151"/>
      <c r="MI19" s="151"/>
      <c r="MJ19" s="151"/>
      <c r="MK19" s="151"/>
      <c r="ML19" s="151"/>
      <c r="MM19" s="151"/>
      <c r="QK19" s="151"/>
      <c r="QL19" s="151"/>
      <c r="QM19" s="151"/>
      <c r="QN19" s="151"/>
      <c r="QO19" s="151"/>
      <c r="QP19" s="151"/>
      <c r="QQ19" s="152"/>
      <c r="QR19" s="153"/>
    </row>
    <row r="20" spans="3:460" ht="5.0999999999999996" customHeight="1" x14ac:dyDescent="0.3">
      <c r="C20" s="149"/>
      <c r="D20" s="150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1"/>
      <c r="AQ20" s="151"/>
      <c r="AR20" s="151"/>
      <c r="AS20" s="151"/>
      <c r="AT20" s="151"/>
      <c r="AU20" s="151"/>
      <c r="AV20" s="151"/>
      <c r="AW20" s="151"/>
      <c r="AX20" s="151"/>
      <c r="AY20" s="151"/>
      <c r="AZ20" s="151"/>
      <c r="BA20" s="151"/>
      <c r="BB20" s="151"/>
      <c r="BC20" s="151"/>
      <c r="BD20" s="151"/>
      <c r="BE20" s="151"/>
      <c r="BF20" s="151"/>
      <c r="BG20" s="151"/>
      <c r="BH20" s="151"/>
      <c r="BI20" s="151"/>
      <c r="BJ20" s="151"/>
      <c r="BK20" s="151"/>
      <c r="BL20" s="151"/>
      <c r="BM20" s="151"/>
      <c r="BN20" s="151"/>
      <c r="BO20" s="151"/>
      <c r="BP20" s="151"/>
      <c r="BQ20" s="151"/>
      <c r="BR20" s="151"/>
      <c r="BS20" s="151"/>
      <c r="BT20" s="151"/>
      <c r="BU20" s="151"/>
      <c r="BV20" s="151"/>
      <c r="BW20" s="151"/>
      <c r="BX20" s="151"/>
      <c r="BY20" s="151"/>
      <c r="BZ20" s="151"/>
      <c r="CA20" s="151"/>
      <c r="CB20" s="151"/>
      <c r="CC20" s="151"/>
      <c r="CD20" s="151"/>
      <c r="CE20" s="151"/>
      <c r="CF20" s="151"/>
      <c r="CG20" s="151"/>
      <c r="CH20" s="151"/>
      <c r="CI20" s="151"/>
      <c r="CJ20" s="151"/>
      <c r="CK20" s="151"/>
      <c r="CL20" s="151"/>
      <c r="CM20" s="151"/>
      <c r="CN20" s="151"/>
      <c r="CO20" s="151"/>
      <c r="CP20" s="151"/>
      <c r="CQ20" s="151"/>
      <c r="CR20" s="151"/>
      <c r="CS20" s="151"/>
      <c r="CT20" s="151"/>
      <c r="CU20" s="151"/>
      <c r="CV20" s="151"/>
      <c r="CW20" s="151"/>
      <c r="CX20" s="151"/>
      <c r="CY20" s="151"/>
      <c r="CZ20" s="151"/>
      <c r="DA20" s="151"/>
      <c r="DB20" s="151"/>
      <c r="DC20" s="151"/>
      <c r="DD20" s="151"/>
      <c r="DE20" s="151"/>
      <c r="DF20" s="151"/>
      <c r="DG20" s="151"/>
      <c r="DH20" s="151"/>
      <c r="DI20" s="151"/>
      <c r="DJ20" s="151"/>
      <c r="DK20" s="151"/>
      <c r="DL20" s="151"/>
      <c r="DM20" s="151"/>
      <c r="DN20" s="151"/>
      <c r="DO20" s="151"/>
      <c r="DP20" s="151"/>
      <c r="DQ20" s="151"/>
      <c r="DR20" s="151"/>
      <c r="DS20" s="151"/>
      <c r="DT20" s="151"/>
      <c r="DU20" s="151"/>
      <c r="DV20" s="151"/>
      <c r="DW20" s="151"/>
      <c r="DX20" s="151"/>
      <c r="DY20" s="151"/>
      <c r="DZ20" s="151"/>
      <c r="EA20" s="151"/>
      <c r="EB20" s="151"/>
      <c r="EC20" s="151"/>
      <c r="ED20" s="151"/>
      <c r="EE20" s="151"/>
      <c r="EF20" s="151"/>
      <c r="EG20" s="151"/>
      <c r="EH20" s="151"/>
      <c r="EI20" s="151"/>
      <c r="EJ20" s="151"/>
      <c r="EK20" s="151"/>
      <c r="EL20" s="151"/>
      <c r="EM20" s="151"/>
      <c r="EN20" s="151"/>
      <c r="EO20" s="151"/>
      <c r="EP20" s="151"/>
      <c r="EQ20" s="151"/>
      <c r="ER20" s="151"/>
      <c r="ES20" s="151"/>
      <c r="ET20" s="151"/>
      <c r="EU20" s="151"/>
      <c r="EV20" s="151"/>
      <c r="EW20" s="151"/>
      <c r="EX20" s="151"/>
      <c r="EY20" s="151"/>
      <c r="EZ20" s="151"/>
      <c r="FA20" s="151"/>
      <c r="FB20" s="151"/>
      <c r="FC20" s="151"/>
      <c r="FD20" s="151"/>
      <c r="FE20" s="151"/>
      <c r="FF20" s="151"/>
      <c r="FG20" s="151"/>
      <c r="FH20" s="151"/>
      <c r="FI20" s="151"/>
      <c r="FJ20" s="151"/>
      <c r="FK20" s="151"/>
      <c r="FL20" s="151"/>
      <c r="FM20" s="151"/>
      <c r="FN20" s="151"/>
      <c r="FO20" s="151"/>
      <c r="FP20" s="151"/>
      <c r="FQ20" s="151"/>
      <c r="FR20" s="151"/>
      <c r="FS20" s="151"/>
      <c r="FT20" s="151"/>
      <c r="FU20" s="151"/>
      <c r="FV20" s="151"/>
      <c r="FW20" s="151"/>
      <c r="FX20" s="151"/>
      <c r="FY20" s="151"/>
      <c r="FZ20" s="151"/>
      <c r="GA20" s="151"/>
      <c r="GB20" s="151"/>
      <c r="GC20" s="151"/>
      <c r="GD20" s="151"/>
      <c r="GE20" s="151"/>
      <c r="GF20" s="151"/>
      <c r="GG20" s="151"/>
      <c r="GH20" s="151"/>
      <c r="GI20" s="151"/>
      <c r="GJ20" s="151"/>
      <c r="GK20" s="151"/>
      <c r="GL20" s="151"/>
      <c r="GM20" s="151"/>
      <c r="GN20" s="151"/>
      <c r="GO20" s="151"/>
      <c r="GP20" s="151"/>
      <c r="GQ20" s="151"/>
      <c r="GR20" s="151"/>
      <c r="GS20" s="151"/>
      <c r="GT20" s="151"/>
      <c r="GU20" s="151"/>
      <c r="GV20" s="151"/>
      <c r="GW20" s="151"/>
      <c r="GX20" s="151"/>
      <c r="GY20" s="151"/>
      <c r="GZ20" s="151"/>
      <c r="HC20" s="254"/>
      <c r="HD20" s="255"/>
      <c r="HE20" s="255"/>
      <c r="HF20" s="255"/>
      <c r="HG20" s="255"/>
      <c r="HH20" s="255"/>
      <c r="HI20" s="255"/>
      <c r="HJ20" s="255"/>
      <c r="HK20" s="255"/>
      <c r="HL20" s="255"/>
      <c r="HM20" s="255"/>
      <c r="HN20" s="255"/>
      <c r="HO20" s="255"/>
      <c r="HP20" s="255"/>
      <c r="HQ20" s="255"/>
      <c r="HR20" s="255"/>
      <c r="HS20" s="255"/>
      <c r="HT20" s="255"/>
      <c r="HU20" s="255"/>
      <c r="HV20" s="255"/>
      <c r="HW20" s="255"/>
      <c r="HX20" s="255"/>
      <c r="HY20" s="255"/>
      <c r="HZ20" s="255"/>
      <c r="IA20" s="255"/>
      <c r="IB20" s="255"/>
      <c r="IC20" s="255"/>
      <c r="ID20" s="255"/>
      <c r="IE20" s="255"/>
      <c r="IF20" s="255"/>
      <c r="IG20" s="255"/>
      <c r="IH20" s="255"/>
      <c r="II20" s="255"/>
      <c r="IJ20" s="255"/>
      <c r="IK20" s="255"/>
      <c r="IL20" s="255"/>
      <c r="IM20" s="255"/>
      <c r="IN20" s="255"/>
      <c r="IO20" s="255"/>
      <c r="IP20" s="255"/>
      <c r="IQ20" s="256"/>
      <c r="IR20" s="260"/>
      <c r="IS20" s="260"/>
      <c r="IT20" s="260"/>
      <c r="IU20" s="260"/>
      <c r="IV20" s="151"/>
      <c r="IW20" s="151"/>
      <c r="IX20" s="151"/>
      <c r="IY20" s="151"/>
      <c r="IZ20" s="151"/>
      <c r="JA20" s="151"/>
      <c r="JB20" s="151"/>
      <c r="JC20" s="151"/>
      <c r="JD20" s="151"/>
      <c r="JE20" s="151"/>
      <c r="JF20" s="151"/>
      <c r="JG20" s="151"/>
      <c r="JH20" s="151"/>
      <c r="JI20" s="151"/>
      <c r="JJ20" s="151"/>
      <c r="JK20" s="151"/>
      <c r="JL20" s="151"/>
      <c r="JM20" s="151"/>
      <c r="JN20" s="151"/>
      <c r="JO20" s="151"/>
      <c r="JP20" s="151"/>
      <c r="JQ20" s="151"/>
      <c r="JR20" s="151"/>
      <c r="JS20" s="151"/>
      <c r="JT20" s="151"/>
      <c r="JU20" s="151"/>
      <c r="JV20" s="151"/>
      <c r="JW20" s="151"/>
      <c r="JX20" s="151"/>
      <c r="JY20" s="151"/>
      <c r="JZ20" s="151"/>
      <c r="KA20" s="151"/>
      <c r="KB20" s="151"/>
      <c r="KC20" s="151"/>
      <c r="KD20" s="151"/>
      <c r="KE20" s="151"/>
      <c r="KF20" s="151"/>
      <c r="KG20" s="151"/>
      <c r="KH20" s="151"/>
      <c r="KI20" s="151"/>
      <c r="KJ20" s="151"/>
      <c r="KK20" s="151"/>
      <c r="KL20" s="151"/>
      <c r="KM20" s="151"/>
      <c r="KN20" s="151"/>
      <c r="KO20" s="151"/>
      <c r="LC20" s="151"/>
      <c r="LD20" s="151"/>
      <c r="LE20" s="151"/>
      <c r="LF20" s="151"/>
      <c r="LG20" s="151"/>
      <c r="LH20" s="151"/>
      <c r="LI20" s="151"/>
      <c r="LJ20" s="151"/>
      <c r="LK20" s="151"/>
      <c r="LL20" s="151"/>
      <c r="LM20" s="151"/>
      <c r="LN20" s="151"/>
      <c r="LO20" s="151"/>
      <c r="LP20" s="151"/>
      <c r="LQ20" s="151"/>
      <c r="LR20" s="151"/>
      <c r="LS20" s="151"/>
      <c r="LT20" s="151"/>
      <c r="LU20" s="151"/>
      <c r="LV20" s="151"/>
      <c r="LW20" s="151"/>
      <c r="LX20" s="151"/>
      <c r="LY20" s="151"/>
      <c r="LZ20" s="151"/>
      <c r="MA20" s="151"/>
      <c r="MB20" s="151"/>
      <c r="MC20" s="151"/>
      <c r="MD20" s="151"/>
      <c r="ME20" s="151"/>
      <c r="MF20" s="151"/>
      <c r="MG20" s="151"/>
      <c r="MH20" s="151"/>
      <c r="MI20" s="151"/>
      <c r="MJ20" s="151"/>
      <c r="MK20" s="151"/>
      <c r="ML20" s="151"/>
      <c r="MM20" s="151"/>
      <c r="QK20" s="151"/>
      <c r="QL20" s="151"/>
      <c r="QM20" s="151"/>
      <c r="QN20" s="151"/>
      <c r="QO20" s="151"/>
      <c r="QP20" s="151"/>
      <c r="QQ20" s="152"/>
      <c r="QR20" s="153"/>
    </row>
    <row r="21" spans="3:460" ht="5.0999999999999996" customHeight="1" x14ac:dyDescent="0.3">
      <c r="C21" s="149"/>
      <c r="D21" s="150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1"/>
      <c r="AU21" s="151"/>
      <c r="AV21" s="151"/>
      <c r="AW21" s="151"/>
      <c r="AX21" s="151"/>
      <c r="AY21" s="151"/>
      <c r="AZ21" s="151"/>
      <c r="BA21" s="151"/>
      <c r="BB21" s="151"/>
      <c r="BC21" s="151"/>
      <c r="BD21" s="151"/>
      <c r="BE21" s="151"/>
      <c r="BF21" s="151"/>
      <c r="BG21" s="151"/>
      <c r="BH21" s="151"/>
      <c r="BI21" s="151"/>
      <c r="BJ21" s="151"/>
      <c r="BK21" s="151"/>
      <c r="BL21" s="151"/>
      <c r="BM21" s="151"/>
      <c r="BN21" s="151"/>
      <c r="BO21" s="151"/>
      <c r="BP21" s="151"/>
      <c r="BQ21" s="151"/>
      <c r="BR21" s="151"/>
      <c r="BS21" s="151"/>
      <c r="BT21" s="151"/>
      <c r="BU21" s="151"/>
      <c r="BV21" s="151"/>
      <c r="BW21" s="151"/>
      <c r="BX21" s="151"/>
      <c r="BY21" s="151"/>
      <c r="BZ21" s="151"/>
      <c r="CA21" s="151"/>
      <c r="CB21" s="151"/>
      <c r="CC21" s="151"/>
      <c r="CD21" s="151"/>
      <c r="CE21" s="151"/>
      <c r="CF21" s="151"/>
      <c r="CG21" s="151"/>
      <c r="CH21" s="151"/>
      <c r="CI21" s="151"/>
      <c r="CJ21" s="151"/>
      <c r="CK21" s="151"/>
      <c r="CL21" s="151"/>
      <c r="CM21" s="151"/>
      <c r="CN21" s="151"/>
      <c r="CO21" s="151"/>
      <c r="CP21" s="151"/>
      <c r="CQ21" s="151"/>
      <c r="CR21" s="151"/>
      <c r="CS21" s="151"/>
      <c r="CT21" s="151"/>
      <c r="CU21" s="151"/>
      <c r="CV21" s="151"/>
      <c r="CW21" s="151"/>
      <c r="CX21" s="151"/>
      <c r="CY21" s="151"/>
      <c r="CZ21" s="151"/>
      <c r="DA21" s="151"/>
      <c r="DB21" s="151"/>
      <c r="DC21" s="151"/>
      <c r="DD21" s="151"/>
      <c r="DE21" s="151"/>
      <c r="DF21" s="151"/>
      <c r="DG21" s="151"/>
      <c r="DH21" s="151"/>
      <c r="DI21" s="151"/>
      <c r="DJ21" s="151"/>
      <c r="DK21" s="151"/>
      <c r="DL21" s="151"/>
      <c r="DM21" s="151"/>
      <c r="DN21" s="151"/>
      <c r="DO21" s="151"/>
      <c r="DP21" s="151"/>
      <c r="DQ21" s="151"/>
      <c r="DR21" s="151"/>
      <c r="DS21" s="151"/>
      <c r="DT21" s="151"/>
      <c r="DU21" s="151"/>
      <c r="DV21" s="151"/>
      <c r="DW21" s="151"/>
      <c r="DX21" s="151"/>
      <c r="DY21" s="151"/>
      <c r="DZ21" s="151"/>
      <c r="EA21" s="151"/>
      <c r="EB21" s="151"/>
      <c r="EC21" s="151"/>
      <c r="ED21" s="151"/>
      <c r="EE21" s="151"/>
      <c r="EF21" s="151"/>
      <c r="EG21" s="151"/>
      <c r="EH21" s="151"/>
      <c r="EI21" s="151"/>
      <c r="EJ21" s="151"/>
      <c r="EK21" s="151"/>
      <c r="EL21" s="151"/>
      <c r="EM21" s="151"/>
      <c r="EN21" s="151"/>
      <c r="EO21" s="151"/>
      <c r="EP21" s="151"/>
      <c r="EQ21" s="151"/>
      <c r="ER21" s="151"/>
      <c r="ES21" s="151"/>
      <c r="ET21" s="151"/>
      <c r="EU21" s="151"/>
      <c r="EV21" s="151"/>
      <c r="EW21" s="151"/>
      <c r="EX21" s="151"/>
      <c r="EY21" s="151"/>
      <c r="EZ21" s="151"/>
      <c r="FA21" s="151"/>
      <c r="FB21" s="151"/>
      <c r="FC21" s="151"/>
      <c r="FD21" s="151"/>
      <c r="FE21" s="151"/>
      <c r="FF21" s="151"/>
      <c r="FG21" s="151"/>
      <c r="FH21" s="151"/>
      <c r="FI21" s="151"/>
      <c r="FJ21" s="151"/>
      <c r="FK21" s="151"/>
      <c r="FL21" s="151"/>
      <c r="FM21" s="151"/>
      <c r="FN21" s="151"/>
      <c r="FO21" s="151"/>
      <c r="FP21" s="151"/>
      <c r="FQ21" s="151"/>
      <c r="FR21" s="151"/>
      <c r="FS21" s="151"/>
      <c r="FT21" s="151"/>
      <c r="FU21" s="151"/>
      <c r="FV21" s="151"/>
      <c r="FW21" s="151"/>
      <c r="FX21" s="151"/>
      <c r="FY21" s="151"/>
      <c r="FZ21" s="151"/>
      <c r="GA21" s="151"/>
      <c r="GB21" s="151"/>
      <c r="GC21" s="151"/>
      <c r="GD21" s="151"/>
      <c r="GE21" s="151"/>
      <c r="GF21" s="151"/>
      <c r="GG21" s="151"/>
      <c r="GH21" s="151"/>
      <c r="GI21" s="151"/>
      <c r="GJ21" s="151"/>
      <c r="GK21" s="151"/>
      <c r="GL21" s="151"/>
      <c r="GM21" s="151"/>
      <c r="GN21" s="151"/>
      <c r="GO21" s="151"/>
      <c r="GP21" s="151"/>
      <c r="GQ21" s="151"/>
      <c r="GR21" s="151"/>
      <c r="GS21" s="151"/>
      <c r="GT21" s="151"/>
      <c r="GU21" s="151"/>
      <c r="GV21" s="151"/>
      <c r="GW21" s="151"/>
      <c r="GX21" s="151"/>
      <c r="GY21" s="151"/>
      <c r="GZ21" s="151"/>
      <c r="HC21" s="254"/>
      <c r="HD21" s="255"/>
      <c r="HE21" s="255"/>
      <c r="HF21" s="255"/>
      <c r="HG21" s="255"/>
      <c r="HH21" s="255"/>
      <c r="HI21" s="255"/>
      <c r="HJ21" s="255"/>
      <c r="HK21" s="255"/>
      <c r="HL21" s="255"/>
      <c r="HM21" s="255"/>
      <c r="HN21" s="255"/>
      <c r="HO21" s="255"/>
      <c r="HP21" s="255"/>
      <c r="HQ21" s="255"/>
      <c r="HR21" s="255"/>
      <c r="HS21" s="255"/>
      <c r="HT21" s="255"/>
      <c r="HU21" s="255"/>
      <c r="HV21" s="255"/>
      <c r="HW21" s="255"/>
      <c r="HX21" s="255"/>
      <c r="HY21" s="255"/>
      <c r="HZ21" s="255"/>
      <c r="IA21" s="255"/>
      <c r="IB21" s="255"/>
      <c r="IC21" s="255"/>
      <c r="ID21" s="255"/>
      <c r="IE21" s="255"/>
      <c r="IF21" s="255"/>
      <c r="IG21" s="255"/>
      <c r="IH21" s="255"/>
      <c r="II21" s="255"/>
      <c r="IJ21" s="255"/>
      <c r="IK21" s="255"/>
      <c r="IL21" s="255"/>
      <c r="IM21" s="255"/>
      <c r="IN21" s="255"/>
      <c r="IO21" s="255"/>
      <c r="IP21" s="255"/>
      <c r="IQ21" s="256"/>
      <c r="IR21" s="260"/>
      <c r="IS21" s="260"/>
      <c r="IT21" s="260"/>
      <c r="IU21" s="260"/>
      <c r="IV21" s="151"/>
      <c r="IW21" s="151"/>
      <c r="IX21" s="151"/>
      <c r="IY21" s="151"/>
      <c r="IZ21" s="151"/>
      <c r="JA21" s="151"/>
      <c r="JB21" s="151"/>
      <c r="JC21" s="151"/>
      <c r="JD21" s="151"/>
      <c r="JE21" s="151"/>
      <c r="JF21" s="151"/>
      <c r="JG21" s="151"/>
      <c r="JH21" s="151"/>
      <c r="JI21" s="151"/>
      <c r="JJ21" s="151"/>
      <c r="JK21" s="151"/>
      <c r="JL21" s="151"/>
      <c r="JM21" s="151"/>
      <c r="JN21" s="151"/>
      <c r="JO21" s="151"/>
      <c r="JP21" s="151"/>
      <c r="JQ21" s="151"/>
      <c r="JR21" s="151"/>
      <c r="JS21" s="151"/>
      <c r="JT21" s="151"/>
      <c r="JU21" s="151"/>
      <c r="JV21" s="151"/>
      <c r="JW21" s="151"/>
      <c r="JX21" s="151"/>
      <c r="JY21" s="151"/>
      <c r="JZ21" s="151"/>
      <c r="KA21" s="151"/>
      <c r="KB21" s="151"/>
      <c r="KC21" s="151"/>
      <c r="KD21" s="151"/>
      <c r="KE21" s="151"/>
      <c r="KF21" s="151"/>
      <c r="KG21" s="151"/>
      <c r="KH21" s="151"/>
      <c r="KI21" s="151"/>
      <c r="KJ21" s="151"/>
      <c r="KK21" s="151"/>
      <c r="KL21" s="151"/>
      <c r="KM21" s="151"/>
      <c r="KN21" s="151"/>
      <c r="KO21" s="151"/>
      <c r="LC21" s="151"/>
      <c r="LD21" s="151"/>
      <c r="LE21" s="151"/>
      <c r="LF21" s="151"/>
      <c r="LG21" s="151"/>
      <c r="LH21" s="151"/>
      <c r="LI21" s="151"/>
      <c r="LJ21" s="151"/>
      <c r="LK21" s="151"/>
      <c r="LL21" s="151"/>
      <c r="LM21" s="151"/>
      <c r="LN21" s="151"/>
      <c r="LO21" s="151"/>
      <c r="LP21" s="151"/>
      <c r="LQ21" s="151"/>
      <c r="LR21" s="151"/>
      <c r="LS21" s="151"/>
      <c r="LT21" s="151"/>
      <c r="LU21" s="151"/>
      <c r="LV21" s="151"/>
      <c r="LW21" s="151"/>
      <c r="LX21" s="151"/>
      <c r="LY21" s="151"/>
      <c r="LZ21" s="151"/>
      <c r="MA21" s="151"/>
      <c r="MB21" s="151"/>
      <c r="MC21" s="151"/>
      <c r="MD21" s="151"/>
      <c r="ME21" s="151"/>
      <c r="MF21" s="151"/>
      <c r="MG21" s="151"/>
      <c r="MH21" s="151"/>
      <c r="MI21" s="151"/>
      <c r="MJ21" s="151"/>
      <c r="MK21" s="151"/>
      <c r="ML21" s="151"/>
      <c r="MM21" s="151"/>
      <c r="QK21" s="151"/>
      <c r="QL21" s="151"/>
      <c r="QM21" s="151"/>
      <c r="QN21" s="151"/>
      <c r="QO21" s="151"/>
      <c r="QP21" s="151"/>
      <c r="QQ21" s="152"/>
      <c r="QR21" s="153"/>
    </row>
    <row r="22" spans="3:460" ht="5.0999999999999996" customHeight="1" x14ac:dyDescent="0.3">
      <c r="C22" s="149"/>
      <c r="D22" s="150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151"/>
      <c r="AT22" s="151"/>
      <c r="AU22" s="151"/>
      <c r="AV22" s="151"/>
      <c r="AW22" s="151"/>
      <c r="AX22" s="151"/>
      <c r="AY22" s="151"/>
      <c r="AZ22" s="151"/>
      <c r="BA22" s="151"/>
      <c r="BB22" s="151"/>
      <c r="BC22" s="151"/>
      <c r="BD22" s="151"/>
      <c r="BE22" s="151"/>
      <c r="BF22" s="151"/>
      <c r="BG22" s="151"/>
      <c r="BH22" s="151"/>
      <c r="BI22" s="151"/>
      <c r="BJ22" s="151"/>
      <c r="BK22" s="151"/>
      <c r="BL22" s="151"/>
      <c r="BM22" s="151"/>
      <c r="BN22" s="151"/>
      <c r="BO22" s="151"/>
      <c r="BP22" s="151"/>
      <c r="BQ22" s="151"/>
      <c r="BR22" s="151"/>
      <c r="BS22" s="151"/>
      <c r="BT22" s="151"/>
      <c r="BU22" s="151"/>
      <c r="BV22" s="151"/>
      <c r="BW22" s="151"/>
      <c r="BX22" s="151"/>
      <c r="BY22" s="151"/>
      <c r="BZ22" s="151"/>
      <c r="CA22" s="151"/>
      <c r="CB22" s="151"/>
      <c r="CC22" s="151"/>
      <c r="CD22" s="151"/>
      <c r="CE22" s="151"/>
      <c r="CF22" s="151"/>
      <c r="CG22" s="151"/>
      <c r="CH22" s="151"/>
      <c r="CI22" s="151"/>
      <c r="CJ22" s="151"/>
      <c r="CK22" s="151"/>
      <c r="CL22" s="151"/>
      <c r="CM22" s="151"/>
      <c r="CN22" s="151"/>
      <c r="CO22" s="151"/>
      <c r="CP22" s="151"/>
      <c r="CQ22" s="151"/>
      <c r="CR22" s="151"/>
      <c r="CS22" s="151"/>
      <c r="CT22" s="151"/>
      <c r="CU22" s="151"/>
      <c r="CV22" s="151"/>
      <c r="CW22" s="151"/>
      <c r="CX22" s="151"/>
      <c r="CY22" s="151"/>
      <c r="CZ22" s="151"/>
      <c r="DA22" s="151"/>
      <c r="DB22" s="151"/>
      <c r="DC22" s="151"/>
      <c r="DD22" s="151"/>
      <c r="DE22" s="151"/>
      <c r="DF22" s="151"/>
      <c r="DG22" s="151"/>
      <c r="DH22" s="151"/>
      <c r="DI22" s="151"/>
      <c r="DJ22" s="151"/>
      <c r="DK22" s="151"/>
      <c r="DL22" s="151"/>
      <c r="DM22" s="151"/>
      <c r="DN22" s="151"/>
      <c r="DO22" s="151"/>
      <c r="DP22" s="151"/>
      <c r="DQ22" s="151"/>
      <c r="DR22" s="151"/>
      <c r="DS22" s="151"/>
      <c r="DT22" s="151"/>
      <c r="DU22" s="151"/>
      <c r="DV22" s="151"/>
      <c r="DW22" s="151"/>
      <c r="DX22" s="151"/>
      <c r="DY22" s="151"/>
      <c r="DZ22" s="151"/>
      <c r="EA22" s="151"/>
      <c r="EB22" s="151"/>
      <c r="EC22" s="151"/>
      <c r="ED22" s="151"/>
      <c r="EE22" s="151"/>
      <c r="EF22" s="151"/>
      <c r="EG22" s="151"/>
      <c r="EH22" s="151"/>
      <c r="EI22" s="151"/>
      <c r="EJ22" s="151"/>
      <c r="EK22" s="151"/>
      <c r="EL22" s="151"/>
      <c r="EM22" s="151"/>
      <c r="EN22" s="151"/>
      <c r="EO22" s="151"/>
      <c r="EP22" s="151"/>
      <c r="EQ22" s="151"/>
      <c r="ER22" s="151"/>
      <c r="ES22" s="151"/>
      <c r="ET22" s="151"/>
      <c r="EU22" s="151"/>
      <c r="EV22" s="151"/>
      <c r="EW22" s="151"/>
      <c r="EX22" s="151"/>
      <c r="EY22" s="151"/>
      <c r="EZ22" s="151"/>
      <c r="FA22" s="151"/>
      <c r="FB22" s="151"/>
      <c r="FC22" s="151"/>
      <c r="FD22" s="151"/>
      <c r="FE22" s="151"/>
      <c r="FF22" s="151"/>
      <c r="FG22" s="151"/>
      <c r="FH22" s="151"/>
      <c r="FI22" s="151"/>
      <c r="FJ22" s="151"/>
      <c r="FK22" s="151"/>
      <c r="FL22" s="151"/>
      <c r="FM22" s="151"/>
      <c r="FN22" s="151"/>
      <c r="FO22" s="151"/>
      <c r="FP22" s="151"/>
      <c r="FQ22" s="151"/>
      <c r="FR22" s="151"/>
      <c r="FS22" s="151"/>
      <c r="FT22" s="151"/>
      <c r="FU22" s="151"/>
      <c r="FV22" s="151"/>
      <c r="FW22" s="151"/>
      <c r="FX22" s="151"/>
      <c r="FY22" s="151"/>
      <c r="FZ22" s="151"/>
      <c r="GA22" s="151"/>
      <c r="GB22" s="151"/>
      <c r="GC22" s="151"/>
      <c r="GD22" s="151"/>
      <c r="GE22" s="151"/>
      <c r="GF22" s="151"/>
      <c r="GG22" s="151"/>
      <c r="GH22" s="151"/>
      <c r="GI22" s="151"/>
      <c r="GJ22" s="151"/>
      <c r="GK22" s="151"/>
      <c r="GL22" s="151"/>
      <c r="GM22" s="151"/>
      <c r="GN22" s="151"/>
      <c r="GO22" s="151"/>
      <c r="GP22" s="151"/>
      <c r="GQ22" s="151"/>
      <c r="GR22" s="151"/>
      <c r="GS22" s="151"/>
      <c r="GT22" s="151"/>
      <c r="GU22" s="151"/>
      <c r="GV22" s="151"/>
      <c r="GW22" s="151"/>
      <c r="GX22" s="151"/>
      <c r="GY22" s="151"/>
      <c r="GZ22" s="151"/>
      <c r="HC22" s="254"/>
      <c r="HD22" s="255"/>
      <c r="HE22" s="255"/>
      <c r="HF22" s="255"/>
      <c r="HG22" s="255"/>
      <c r="HH22" s="255"/>
      <c r="HI22" s="255"/>
      <c r="HJ22" s="255"/>
      <c r="HK22" s="255"/>
      <c r="HL22" s="255"/>
      <c r="HM22" s="255"/>
      <c r="HN22" s="255"/>
      <c r="HO22" s="255"/>
      <c r="HP22" s="255"/>
      <c r="HQ22" s="255"/>
      <c r="HR22" s="255"/>
      <c r="HS22" s="255"/>
      <c r="HT22" s="255"/>
      <c r="HU22" s="255"/>
      <c r="HV22" s="255"/>
      <c r="HW22" s="255"/>
      <c r="HX22" s="255"/>
      <c r="HY22" s="255"/>
      <c r="HZ22" s="255"/>
      <c r="IA22" s="255"/>
      <c r="IB22" s="255"/>
      <c r="IC22" s="255"/>
      <c r="ID22" s="255"/>
      <c r="IE22" s="255"/>
      <c r="IF22" s="255"/>
      <c r="IG22" s="255"/>
      <c r="IH22" s="255"/>
      <c r="II22" s="255"/>
      <c r="IJ22" s="255"/>
      <c r="IK22" s="255"/>
      <c r="IL22" s="255"/>
      <c r="IM22" s="255"/>
      <c r="IN22" s="255"/>
      <c r="IO22" s="255"/>
      <c r="IP22" s="255"/>
      <c r="IQ22" s="256"/>
      <c r="IR22" s="260"/>
      <c r="IS22" s="260"/>
      <c r="IT22" s="260"/>
      <c r="IU22" s="260"/>
      <c r="IV22" s="151"/>
      <c r="IW22" s="151"/>
      <c r="IX22" s="151"/>
      <c r="IY22" s="151"/>
      <c r="IZ22" s="151"/>
      <c r="JA22" s="151"/>
      <c r="JB22" s="151"/>
      <c r="JC22" s="151"/>
      <c r="JD22" s="151"/>
      <c r="JE22" s="151"/>
      <c r="JF22" s="151"/>
      <c r="JG22" s="151"/>
      <c r="JH22" s="151"/>
      <c r="JI22" s="151"/>
      <c r="JJ22" s="151"/>
      <c r="JK22" s="151"/>
      <c r="JL22" s="151"/>
      <c r="JM22" s="151"/>
      <c r="JN22" s="151"/>
      <c r="JO22" s="151"/>
      <c r="JP22" s="151"/>
      <c r="JQ22" s="151"/>
      <c r="JR22" s="151"/>
      <c r="JS22" s="151"/>
      <c r="JT22" s="151"/>
      <c r="JU22" s="151"/>
      <c r="JV22" s="151"/>
      <c r="JW22" s="151"/>
      <c r="JX22" s="151"/>
      <c r="JY22" s="151"/>
      <c r="JZ22" s="151"/>
      <c r="KA22" s="151"/>
      <c r="KB22" s="151"/>
      <c r="KC22" s="151"/>
      <c r="KD22" s="151"/>
      <c r="KE22" s="151"/>
      <c r="KF22" s="151"/>
      <c r="KG22" s="151"/>
      <c r="KH22" s="151"/>
      <c r="KI22" s="151"/>
      <c r="KJ22" s="151"/>
      <c r="KK22" s="151"/>
      <c r="KL22" s="151"/>
      <c r="KM22" s="151"/>
      <c r="KN22" s="151"/>
      <c r="KO22" s="151"/>
      <c r="LC22" s="151"/>
      <c r="LD22" s="151"/>
      <c r="LE22" s="151"/>
      <c r="LF22" s="151"/>
      <c r="LG22" s="151"/>
      <c r="LH22" s="151"/>
      <c r="LI22" s="151"/>
      <c r="LJ22" s="151"/>
      <c r="LK22" s="151"/>
      <c r="LL22" s="151"/>
      <c r="LM22" s="151"/>
      <c r="LN22" s="151"/>
      <c r="LO22" s="151"/>
      <c r="LP22" s="151"/>
      <c r="LQ22" s="151"/>
      <c r="LR22" s="151"/>
      <c r="LS22" s="151"/>
      <c r="LT22" s="151"/>
      <c r="LU22" s="151"/>
      <c r="LV22" s="151"/>
      <c r="LW22" s="151"/>
      <c r="LX22" s="151"/>
      <c r="LY22" s="151"/>
      <c r="LZ22" s="151"/>
      <c r="MA22" s="151"/>
      <c r="MB22" s="151"/>
      <c r="MC22" s="151"/>
      <c r="MD22" s="151"/>
      <c r="ME22" s="151"/>
      <c r="MF22" s="151"/>
      <c r="MG22" s="151"/>
      <c r="MH22" s="151"/>
      <c r="MI22" s="151"/>
      <c r="MJ22" s="151"/>
      <c r="MK22" s="151"/>
      <c r="ML22" s="151"/>
      <c r="MM22" s="151"/>
      <c r="QK22" s="151"/>
      <c r="QL22" s="151"/>
      <c r="QM22" s="151"/>
      <c r="QN22" s="151"/>
      <c r="QO22" s="151"/>
      <c r="QP22" s="151"/>
      <c r="QQ22" s="152"/>
      <c r="QR22" s="153"/>
    </row>
    <row r="23" spans="3:460" ht="5.0999999999999996" customHeight="1" x14ac:dyDescent="0.3">
      <c r="C23" s="149"/>
      <c r="D23" s="150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1"/>
      <c r="AT23" s="151"/>
      <c r="AU23" s="151"/>
      <c r="AV23" s="151"/>
      <c r="AW23" s="151"/>
      <c r="AX23" s="151"/>
      <c r="AY23" s="151"/>
      <c r="AZ23" s="151"/>
      <c r="BA23" s="151"/>
      <c r="BB23" s="151"/>
      <c r="BC23" s="151"/>
      <c r="BD23" s="151"/>
      <c r="BE23" s="151"/>
      <c r="BF23" s="151"/>
      <c r="BG23" s="151"/>
      <c r="BH23" s="151"/>
      <c r="BI23" s="151"/>
      <c r="BJ23" s="151"/>
      <c r="BK23" s="151"/>
      <c r="BL23" s="151"/>
      <c r="BM23" s="151"/>
      <c r="BN23" s="151"/>
      <c r="BO23" s="151"/>
      <c r="BP23" s="151"/>
      <c r="BQ23" s="151"/>
      <c r="BR23" s="151"/>
      <c r="BS23" s="151"/>
      <c r="BT23" s="151"/>
      <c r="BU23" s="151"/>
      <c r="BV23" s="151"/>
      <c r="BW23" s="151"/>
      <c r="BX23" s="151"/>
      <c r="BY23" s="151"/>
      <c r="BZ23" s="151"/>
      <c r="CA23" s="151"/>
      <c r="CB23" s="151"/>
      <c r="CC23" s="151"/>
      <c r="CD23" s="151"/>
      <c r="CE23" s="151"/>
      <c r="CF23" s="151"/>
      <c r="CG23" s="151"/>
      <c r="CH23" s="151"/>
      <c r="CI23" s="151"/>
      <c r="CJ23" s="151"/>
      <c r="CK23" s="151"/>
      <c r="CL23" s="151"/>
      <c r="CM23" s="151"/>
      <c r="CN23" s="151"/>
      <c r="CO23" s="151"/>
      <c r="CP23" s="151"/>
      <c r="CQ23" s="151"/>
      <c r="CR23" s="151"/>
      <c r="CS23" s="151"/>
      <c r="CT23" s="151"/>
      <c r="CU23" s="151"/>
      <c r="CV23" s="151"/>
      <c r="CW23" s="151"/>
      <c r="CX23" s="151"/>
      <c r="CY23" s="151"/>
      <c r="CZ23" s="151"/>
      <c r="DA23" s="151"/>
      <c r="DB23" s="151"/>
      <c r="DC23" s="151"/>
      <c r="DD23" s="151"/>
      <c r="DE23" s="151"/>
      <c r="DF23" s="151"/>
      <c r="DG23" s="151"/>
      <c r="DH23" s="151"/>
      <c r="DI23" s="151"/>
      <c r="DJ23" s="151"/>
      <c r="DK23" s="151"/>
      <c r="DL23" s="151"/>
      <c r="DM23" s="151"/>
      <c r="DN23" s="151"/>
      <c r="DO23" s="151"/>
      <c r="DP23" s="151"/>
      <c r="DQ23" s="151"/>
      <c r="DR23" s="151"/>
      <c r="DS23" s="151"/>
      <c r="DT23" s="151"/>
      <c r="DU23" s="151"/>
      <c r="DV23" s="151"/>
      <c r="DW23" s="151"/>
      <c r="DX23" s="151"/>
      <c r="DY23" s="151"/>
      <c r="DZ23" s="151"/>
      <c r="EA23" s="151"/>
      <c r="EB23" s="151"/>
      <c r="EC23" s="151"/>
      <c r="ED23" s="151"/>
      <c r="EE23" s="151"/>
      <c r="EF23" s="151"/>
      <c r="EG23" s="151"/>
      <c r="EH23" s="151"/>
      <c r="EI23" s="151"/>
      <c r="EJ23" s="151"/>
      <c r="EK23" s="151"/>
      <c r="EL23" s="151"/>
      <c r="EM23" s="151"/>
      <c r="EN23" s="151"/>
      <c r="EO23" s="151"/>
      <c r="EP23" s="151"/>
      <c r="EQ23" s="151"/>
      <c r="ER23" s="151"/>
      <c r="ES23" s="151"/>
      <c r="ET23" s="151"/>
      <c r="EU23" s="151"/>
      <c r="EV23" s="151"/>
      <c r="EW23" s="151"/>
      <c r="EX23" s="151"/>
      <c r="EY23" s="151"/>
      <c r="EZ23" s="151"/>
      <c r="FA23" s="151"/>
      <c r="FB23" s="151"/>
      <c r="FC23" s="151"/>
      <c r="FD23" s="151"/>
      <c r="FE23" s="151"/>
      <c r="FF23" s="151"/>
      <c r="FG23" s="151"/>
      <c r="FH23" s="151"/>
      <c r="FI23" s="151"/>
      <c r="FJ23" s="151"/>
      <c r="FK23" s="151"/>
      <c r="FL23" s="151"/>
      <c r="FM23" s="151"/>
      <c r="FN23" s="151"/>
      <c r="FO23" s="151"/>
      <c r="FP23" s="151"/>
      <c r="FQ23" s="151"/>
      <c r="FR23" s="151"/>
      <c r="FS23" s="151"/>
      <c r="FT23" s="151"/>
      <c r="FU23" s="151"/>
      <c r="FV23" s="151"/>
      <c r="FW23" s="151"/>
      <c r="FX23" s="151"/>
      <c r="FY23" s="151"/>
      <c r="FZ23" s="151"/>
      <c r="GA23" s="151"/>
      <c r="GB23" s="151"/>
      <c r="GC23" s="151"/>
      <c r="GD23" s="151"/>
      <c r="GE23" s="151"/>
      <c r="GF23" s="151"/>
      <c r="GG23" s="151"/>
      <c r="GH23" s="151"/>
      <c r="GI23" s="151"/>
      <c r="GJ23" s="151"/>
      <c r="GK23" s="151"/>
      <c r="GL23" s="151"/>
      <c r="GM23" s="151"/>
      <c r="GN23" s="151"/>
      <c r="GO23" s="151"/>
      <c r="GP23" s="151"/>
      <c r="GQ23" s="151"/>
      <c r="GR23" s="151"/>
      <c r="GS23" s="151"/>
      <c r="GT23" s="151"/>
      <c r="GU23" s="151"/>
      <c r="GV23" s="151"/>
      <c r="GW23" s="151"/>
      <c r="GX23" s="151"/>
      <c r="GY23" s="151"/>
      <c r="GZ23" s="151"/>
      <c r="HC23" s="254"/>
      <c r="HD23" s="255"/>
      <c r="HE23" s="255"/>
      <c r="HF23" s="255"/>
      <c r="HG23" s="255"/>
      <c r="HH23" s="255"/>
      <c r="HI23" s="255"/>
      <c r="HJ23" s="255"/>
      <c r="HK23" s="255"/>
      <c r="HL23" s="255"/>
      <c r="HM23" s="255"/>
      <c r="HN23" s="255"/>
      <c r="HO23" s="255"/>
      <c r="HP23" s="255"/>
      <c r="HQ23" s="255"/>
      <c r="HR23" s="255"/>
      <c r="HS23" s="255"/>
      <c r="HT23" s="255"/>
      <c r="HU23" s="255"/>
      <c r="HV23" s="255"/>
      <c r="HW23" s="255"/>
      <c r="HX23" s="255"/>
      <c r="HY23" s="255"/>
      <c r="HZ23" s="255"/>
      <c r="IA23" s="255"/>
      <c r="IB23" s="255"/>
      <c r="IC23" s="255"/>
      <c r="ID23" s="255"/>
      <c r="IE23" s="255"/>
      <c r="IF23" s="255"/>
      <c r="IG23" s="255"/>
      <c r="IH23" s="255"/>
      <c r="II23" s="255"/>
      <c r="IJ23" s="255"/>
      <c r="IK23" s="255"/>
      <c r="IL23" s="255"/>
      <c r="IM23" s="255"/>
      <c r="IN23" s="255"/>
      <c r="IO23" s="255"/>
      <c r="IP23" s="255"/>
      <c r="IQ23" s="256"/>
      <c r="IR23" s="260"/>
      <c r="IS23" s="260"/>
      <c r="IT23" s="260"/>
      <c r="IU23" s="260"/>
      <c r="IV23" s="151"/>
      <c r="IW23" s="151"/>
      <c r="IX23" s="151"/>
      <c r="IY23" s="151"/>
      <c r="IZ23" s="151"/>
      <c r="JA23" s="151"/>
      <c r="JB23" s="151"/>
      <c r="JC23" s="151"/>
      <c r="JD23" s="151"/>
      <c r="JE23" s="151"/>
      <c r="JF23" s="151"/>
      <c r="JG23" s="151"/>
      <c r="JH23" s="151"/>
      <c r="JI23" s="151"/>
      <c r="JJ23" s="151"/>
      <c r="JK23" s="151"/>
      <c r="JL23" s="151"/>
      <c r="JM23" s="151"/>
      <c r="JN23" s="151"/>
      <c r="JO23" s="151"/>
      <c r="JP23" s="151"/>
      <c r="JQ23" s="151"/>
      <c r="JR23" s="151"/>
      <c r="JS23" s="151"/>
      <c r="JT23" s="151"/>
      <c r="JU23" s="151"/>
      <c r="JV23" s="151"/>
      <c r="JW23" s="151"/>
      <c r="JX23" s="151"/>
      <c r="JY23" s="151"/>
      <c r="JZ23" s="151"/>
      <c r="KA23" s="151"/>
      <c r="KB23" s="151"/>
      <c r="KC23" s="151"/>
      <c r="KD23" s="151"/>
      <c r="KE23" s="151"/>
      <c r="KF23" s="151"/>
      <c r="KG23" s="151"/>
      <c r="KH23" s="151"/>
      <c r="KI23" s="151"/>
      <c r="KJ23" s="151"/>
      <c r="KK23" s="151"/>
      <c r="KL23" s="151"/>
      <c r="KM23" s="151"/>
      <c r="KN23" s="151"/>
      <c r="KO23" s="151"/>
      <c r="LC23" s="151"/>
      <c r="LD23" s="151"/>
      <c r="LE23" s="151"/>
      <c r="LF23" s="151"/>
      <c r="LG23" s="151"/>
      <c r="LH23" s="151"/>
      <c r="LI23" s="151"/>
      <c r="LJ23" s="151"/>
      <c r="LK23" s="151"/>
      <c r="LL23" s="151"/>
      <c r="LM23" s="151"/>
      <c r="LN23" s="151"/>
      <c r="LO23" s="151"/>
      <c r="LP23" s="151"/>
      <c r="LQ23" s="151"/>
      <c r="LR23" s="151"/>
      <c r="LS23" s="151"/>
      <c r="LT23" s="151"/>
      <c r="LU23" s="151"/>
      <c r="LV23" s="151"/>
      <c r="LW23" s="151"/>
      <c r="LX23" s="151"/>
      <c r="LY23" s="151"/>
      <c r="LZ23" s="151"/>
      <c r="MA23" s="151"/>
      <c r="MB23" s="151"/>
      <c r="MC23" s="151"/>
      <c r="MD23" s="151"/>
      <c r="ME23" s="151"/>
      <c r="MF23" s="151"/>
      <c r="MG23" s="151"/>
      <c r="MH23" s="151"/>
      <c r="MI23" s="151"/>
      <c r="MJ23" s="151"/>
      <c r="MK23" s="151"/>
      <c r="ML23" s="151"/>
      <c r="MM23" s="151"/>
      <c r="QK23" s="151"/>
      <c r="QL23" s="151"/>
      <c r="QM23" s="151"/>
      <c r="QN23" s="151"/>
      <c r="QO23" s="151"/>
      <c r="QP23" s="151"/>
      <c r="QQ23" s="152"/>
      <c r="QR23" s="153"/>
    </row>
    <row r="24" spans="3:460" ht="5.0999999999999996" customHeight="1" x14ac:dyDescent="0.3">
      <c r="C24" s="149"/>
      <c r="D24" s="150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1"/>
      <c r="BB24" s="151"/>
      <c r="BC24" s="151"/>
      <c r="BD24" s="151"/>
      <c r="BE24" s="151"/>
      <c r="BF24" s="151"/>
      <c r="BG24" s="151"/>
      <c r="BH24" s="151"/>
      <c r="BI24" s="151"/>
      <c r="BJ24" s="151"/>
      <c r="BK24" s="151"/>
      <c r="BL24" s="151"/>
      <c r="BM24" s="151"/>
      <c r="BN24" s="151"/>
      <c r="BO24" s="151"/>
      <c r="BP24" s="151"/>
      <c r="BQ24" s="151"/>
      <c r="BR24" s="151"/>
      <c r="BS24" s="151"/>
      <c r="BT24" s="151"/>
      <c r="BU24" s="151"/>
      <c r="BV24" s="151"/>
      <c r="BW24" s="151"/>
      <c r="BX24" s="151"/>
      <c r="BY24" s="151"/>
      <c r="BZ24" s="151"/>
      <c r="CA24" s="151"/>
      <c r="CB24" s="151"/>
      <c r="CC24" s="151"/>
      <c r="CD24" s="151"/>
      <c r="CE24" s="151"/>
      <c r="CF24" s="151"/>
      <c r="CG24" s="151"/>
      <c r="CH24" s="151"/>
      <c r="CI24" s="151"/>
      <c r="CJ24" s="151"/>
      <c r="CK24" s="151"/>
      <c r="CL24" s="151"/>
      <c r="CM24" s="151"/>
      <c r="CN24" s="151"/>
      <c r="CO24" s="151"/>
      <c r="CP24" s="151"/>
      <c r="CQ24" s="151"/>
      <c r="CR24" s="151"/>
      <c r="CS24" s="151"/>
      <c r="CT24" s="151"/>
      <c r="CU24" s="151"/>
      <c r="CV24" s="151"/>
      <c r="CW24" s="151"/>
      <c r="CX24" s="151"/>
      <c r="CY24" s="151"/>
      <c r="CZ24" s="151"/>
      <c r="DA24" s="151"/>
      <c r="DB24" s="151"/>
      <c r="DC24" s="151"/>
      <c r="DD24" s="151"/>
      <c r="DE24" s="151"/>
      <c r="DF24" s="151"/>
      <c r="DG24" s="151"/>
      <c r="DH24" s="151"/>
      <c r="DI24" s="151"/>
      <c r="DJ24" s="151"/>
      <c r="DK24" s="151"/>
      <c r="DL24" s="151"/>
      <c r="DM24" s="151"/>
      <c r="DN24" s="151"/>
      <c r="DO24" s="151"/>
      <c r="DP24" s="151"/>
      <c r="DQ24" s="151"/>
      <c r="DR24" s="151"/>
      <c r="DS24" s="151"/>
      <c r="DT24" s="151"/>
      <c r="DU24" s="151"/>
      <c r="DV24" s="151"/>
      <c r="DW24" s="151"/>
      <c r="DX24" s="151"/>
      <c r="DY24" s="151"/>
      <c r="DZ24" s="151"/>
      <c r="EA24" s="151"/>
      <c r="EB24" s="151"/>
      <c r="EC24" s="151"/>
      <c r="ED24" s="151"/>
      <c r="EE24" s="151"/>
      <c r="EF24" s="151"/>
      <c r="EG24" s="151"/>
      <c r="EH24" s="151"/>
      <c r="EI24" s="151"/>
      <c r="EJ24" s="151"/>
      <c r="EK24" s="151"/>
      <c r="EL24" s="151"/>
      <c r="EM24" s="151"/>
      <c r="EN24" s="151"/>
      <c r="EO24" s="151"/>
      <c r="EP24" s="151"/>
      <c r="EQ24" s="151"/>
      <c r="ER24" s="151"/>
      <c r="ES24" s="151"/>
      <c r="ET24" s="151"/>
      <c r="EU24" s="151"/>
      <c r="EV24" s="151"/>
      <c r="EW24" s="151"/>
      <c r="EX24" s="151"/>
      <c r="EY24" s="151"/>
      <c r="EZ24" s="151"/>
      <c r="FA24" s="151"/>
      <c r="FB24" s="151"/>
      <c r="FC24" s="151"/>
      <c r="FD24" s="151"/>
      <c r="FE24" s="151"/>
      <c r="FF24" s="151"/>
      <c r="FG24" s="151"/>
      <c r="FH24" s="151"/>
      <c r="FI24" s="151"/>
      <c r="FJ24" s="151"/>
      <c r="FK24" s="151"/>
      <c r="FL24" s="151"/>
      <c r="FM24" s="151"/>
      <c r="FN24" s="151"/>
      <c r="FO24" s="151"/>
      <c r="FP24" s="151"/>
      <c r="FQ24" s="151"/>
      <c r="FR24" s="151"/>
      <c r="FS24" s="151"/>
      <c r="FT24" s="151"/>
      <c r="FU24" s="151"/>
      <c r="FV24" s="151"/>
      <c r="FW24" s="151"/>
      <c r="FX24" s="151"/>
      <c r="FY24" s="151"/>
      <c r="FZ24" s="151"/>
      <c r="GA24" s="151"/>
      <c r="GB24" s="151"/>
      <c r="GC24" s="151"/>
      <c r="GD24" s="151"/>
      <c r="GE24" s="151"/>
      <c r="GF24" s="151"/>
      <c r="GG24" s="151"/>
      <c r="GH24" s="151"/>
      <c r="GI24" s="151"/>
      <c r="GJ24" s="151"/>
      <c r="GK24" s="151"/>
      <c r="GL24" s="151"/>
      <c r="GM24" s="151"/>
      <c r="GN24" s="151"/>
      <c r="GO24" s="151"/>
      <c r="GP24" s="151"/>
      <c r="GQ24" s="151"/>
      <c r="GR24" s="151"/>
      <c r="GS24" s="151"/>
      <c r="GT24" s="151"/>
      <c r="GU24" s="151"/>
      <c r="GV24" s="151"/>
      <c r="GW24" s="151"/>
      <c r="GX24" s="151"/>
      <c r="GY24" s="151"/>
      <c r="GZ24" s="151"/>
      <c r="HC24" s="254"/>
      <c r="HD24" s="255"/>
      <c r="HE24" s="255"/>
      <c r="HF24" s="255"/>
      <c r="HG24" s="255"/>
      <c r="HH24" s="255"/>
      <c r="HI24" s="255"/>
      <c r="HJ24" s="255"/>
      <c r="HK24" s="255"/>
      <c r="HL24" s="255"/>
      <c r="HM24" s="255"/>
      <c r="HN24" s="255"/>
      <c r="HO24" s="255"/>
      <c r="HP24" s="255"/>
      <c r="HQ24" s="255"/>
      <c r="HR24" s="255"/>
      <c r="HS24" s="255"/>
      <c r="HT24" s="255"/>
      <c r="HU24" s="255"/>
      <c r="HV24" s="255"/>
      <c r="HW24" s="255"/>
      <c r="HX24" s="255"/>
      <c r="HY24" s="255"/>
      <c r="HZ24" s="255"/>
      <c r="IA24" s="255"/>
      <c r="IB24" s="255"/>
      <c r="IC24" s="255"/>
      <c r="ID24" s="255"/>
      <c r="IE24" s="255"/>
      <c r="IF24" s="255"/>
      <c r="IG24" s="255"/>
      <c r="IH24" s="255"/>
      <c r="II24" s="255"/>
      <c r="IJ24" s="255"/>
      <c r="IK24" s="255"/>
      <c r="IL24" s="255"/>
      <c r="IM24" s="255"/>
      <c r="IN24" s="255"/>
      <c r="IO24" s="255"/>
      <c r="IP24" s="255"/>
      <c r="IQ24" s="256"/>
      <c r="IR24" s="260"/>
      <c r="IS24" s="260"/>
      <c r="IT24" s="260"/>
      <c r="IU24" s="260"/>
      <c r="IV24" s="151"/>
      <c r="IW24" s="151"/>
      <c r="IX24" s="151"/>
      <c r="IY24" s="151"/>
      <c r="IZ24" s="151"/>
      <c r="JA24" s="151"/>
      <c r="JB24" s="151"/>
      <c r="JC24" s="151"/>
      <c r="JD24" s="151"/>
      <c r="JE24" s="151"/>
      <c r="JF24" s="151"/>
      <c r="JG24" s="151"/>
      <c r="JH24" s="151"/>
      <c r="JI24" s="151"/>
      <c r="JJ24" s="151"/>
      <c r="JK24" s="151"/>
      <c r="JL24" s="151"/>
      <c r="JM24" s="151"/>
      <c r="JN24" s="151"/>
      <c r="JO24" s="151"/>
      <c r="JP24" s="151"/>
      <c r="JQ24" s="151"/>
      <c r="JR24" s="151"/>
      <c r="JS24" s="151"/>
      <c r="JT24" s="151"/>
      <c r="JU24" s="151"/>
      <c r="JV24" s="151"/>
      <c r="JW24" s="151"/>
      <c r="JX24" s="151"/>
      <c r="JY24" s="151"/>
      <c r="JZ24" s="151"/>
      <c r="KA24" s="151"/>
      <c r="KB24" s="151"/>
      <c r="KC24" s="151"/>
      <c r="KD24" s="151"/>
      <c r="KE24" s="151"/>
      <c r="KF24" s="151"/>
      <c r="KG24" s="151"/>
      <c r="KH24" s="151"/>
      <c r="KI24" s="151"/>
      <c r="KJ24" s="151"/>
      <c r="KK24" s="151"/>
      <c r="KL24" s="151"/>
      <c r="KM24" s="151"/>
      <c r="KN24" s="151"/>
      <c r="KO24" s="151"/>
      <c r="LC24" s="151"/>
      <c r="LD24" s="151"/>
      <c r="LE24" s="151"/>
      <c r="LF24" s="151"/>
      <c r="LG24" s="151"/>
      <c r="LH24" s="151"/>
      <c r="LI24" s="151"/>
      <c r="LJ24" s="151"/>
      <c r="LK24" s="151"/>
      <c r="LL24" s="151"/>
      <c r="LM24" s="151"/>
      <c r="LN24" s="151"/>
      <c r="LO24" s="151"/>
      <c r="LP24" s="151"/>
      <c r="LQ24" s="151"/>
      <c r="LR24" s="151"/>
      <c r="LS24" s="151"/>
      <c r="LT24" s="151"/>
      <c r="LU24" s="151"/>
      <c r="LV24" s="151"/>
      <c r="LW24" s="151"/>
      <c r="LX24" s="151"/>
      <c r="LY24" s="151"/>
      <c r="LZ24" s="151"/>
      <c r="MA24" s="151"/>
      <c r="MB24" s="151"/>
      <c r="MC24" s="151"/>
      <c r="MD24" s="151"/>
      <c r="ME24" s="151"/>
      <c r="MF24" s="151"/>
      <c r="MG24" s="151"/>
      <c r="MH24" s="151"/>
      <c r="MI24" s="151"/>
      <c r="MJ24" s="151"/>
      <c r="MK24" s="151"/>
      <c r="ML24" s="151"/>
      <c r="MM24" s="151"/>
      <c r="QK24" s="151"/>
      <c r="QL24" s="151"/>
      <c r="QM24" s="151"/>
      <c r="QN24" s="151"/>
      <c r="QO24" s="151"/>
      <c r="QP24" s="151"/>
      <c r="QQ24" s="152"/>
      <c r="QR24" s="153"/>
    </row>
    <row r="25" spans="3:460" ht="5.0999999999999996" customHeight="1" x14ac:dyDescent="0.3">
      <c r="C25" s="149"/>
      <c r="D25" s="150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1"/>
      <c r="AX25" s="151"/>
      <c r="AY25" s="151"/>
      <c r="AZ25" s="151"/>
      <c r="BA25" s="151"/>
      <c r="BB25" s="151"/>
      <c r="BC25" s="151"/>
      <c r="BD25" s="151"/>
      <c r="BE25" s="151"/>
      <c r="BF25" s="151"/>
      <c r="BG25" s="151"/>
      <c r="BH25" s="151"/>
      <c r="BI25" s="151"/>
      <c r="BJ25" s="151"/>
      <c r="BK25" s="151"/>
      <c r="BL25" s="151"/>
      <c r="BM25" s="151"/>
      <c r="BN25" s="151"/>
      <c r="BO25" s="151"/>
      <c r="BP25" s="151"/>
      <c r="BQ25" s="151"/>
      <c r="BR25" s="151"/>
      <c r="BS25" s="151"/>
      <c r="BT25" s="151"/>
      <c r="BU25" s="151"/>
      <c r="BV25" s="151"/>
      <c r="BW25" s="151"/>
      <c r="BX25" s="151"/>
      <c r="BY25" s="151"/>
      <c r="BZ25" s="151"/>
      <c r="CA25" s="151"/>
      <c r="CB25" s="151"/>
      <c r="CC25" s="151"/>
      <c r="CD25" s="151"/>
      <c r="CE25" s="151"/>
      <c r="CF25" s="151"/>
      <c r="CG25" s="151"/>
      <c r="CH25" s="151"/>
      <c r="CI25" s="151"/>
      <c r="CJ25" s="151"/>
      <c r="CK25" s="151"/>
      <c r="CL25" s="151"/>
      <c r="CM25" s="151"/>
      <c r="CN25" s="151"/>
      <c r="CO25" s="151"/>
      <c r="CP25" s="151"/>
      <c r="CQ25" s="151"/>
      <c r="CR25" s="151"/>
      <c r="CS25" s="151"/>
      <c r="CT25" s="151"/>
      <c r="CU25" s="151"/>
      <c r="CV25" s="151"/>
      <c r="CW25" s="151"/>
      <c r="CX25" s="151"/>
      <c r="CY25" s="151"/>
      <c r="CZ25" s="151"/>
      <c r="DA25" s="151"/>
      <c r="DB25" s="151"/>
      <c r="DC25" s="151"/>
      <c r="DD25" s="151"/>
      <c r="DE25" s="151"/>
      <c r="DF25" s="151"/>
      <c r="DG25" s="151"/>
      <c r="DH25" s="151"/>
      <c r="DI25" s="151"/>
      <c r="DJ25" s="151"/>
      <c r="DK25" s="151"/>
      <c r="DL25" s="151"/>
      <c r="DM25" s="151"/>
      <c r="DN25" s="151"/>
      <c r="DO25" s="151"/>
      <c r="DP25" s="151"/>
      <c r="DQ25" s="151"/>
      <c r="DR25" s="151"/>
      <c r="DS25" s="151"/>
      <c r="DT25" s="151"/>
      <c r="DU25" s="151"/>
      <c r="DV25" s="151"/>
      <c r="DW25" s="151"/>
      <c r="DX25" s="151"/>
      <c r="DY25" s="151"/>
      <c r="DZ25" s="151"/>
      <c r="EA25" s="151"/>
      <c r="EB25" s="151"/>
      <c r="EC25" s="151"/>
      <c r="ED25" s="151"/>
      <c r="EE25" s="151"/>
      <c r="EF25" s="151"/>
      <c r="EG25" s="151"/>
      <c r="EH25" s="151"/>
      <c r="EI25" s="151"/>
      <c r="EJ25" s="151"/>
      <c r="EK25" s="151"/>
      <c r="EL25" s="151"/>
      <c r="EM25" s="151"/>
      <c r="EN25" s="151"/>
      <c r="EO25" s="151"/>
      <c r="EP25" s="151"/>
      <c r="EQ25" s="151"/>
      <c r="ER25" s="151"/>
      <c r="ES25" s="151"/>
      <c r="ET25" s="151"/>
      <c r="EU25" s="151"/>
      <c r="EV25" s="151"/>
      <c r="EW25" s="151"/>
      <c r="EX25" s="151"/>
      <c r="EY25" s="151"/>
      <c r="EZ25" s="151"/>
      <c r="FA25" s="151"/>
      <c r="FB25" s="151"/>
      <c r="FC25" s="151"/>
      <c r="FD25" s="151"/>
      <c r="FE25" s="151"/>
      <c r="FF25" s="151"/>
      <c r="FG25" s="151"/>
      <c r="FH25" s="151"/>
      <c r="FI25" s="151"/>
      <c r="FJ25" s="151"/>
      <c r="FK25" s="151"/>
      <c r="FL25" s="151"/>
      <c r="FM25" s="151"/>
      <c r="FN25" s="151"/>
      <c r="FO25" s="151"/>
      <c r="FP25" s="151"/>
      <c r="FQ25" s="151"/>
      <c r="FR25" s="151"/>
      <c r="FS25" s="151"/>
      <c r="FT25" s="151"/>
      <c r="FU25" s="151"/>
      <c r="FV25" s="151"/>
      <c r="FW25" s="151"/>
      <c r="FX25" s="151"/>
      <c r="FY25" s="151"/>
      <c r="FZ25" s="151"/>
      <c r="GA25" s="151"/>
      <c r="GB25" s="151"/>
      <c r="GC25" s="151"/>
      <c r="GD25" s="151"/>
      <c r="GE25" s="151"/>
      <c r="GF25" s="151"/>
      <c r="GG25" s="151"/>
      <c r="GH25" s="151"/>
      <c r="GI25" s="151"/>
      <c r="GJ25" s="151"/>
      <c r="GK25" s="151"/>
      <c r="GL25" s="151"/>
      <c r="GM25" s="151"/>
      <c r="GN25" s="151"/>
      <c r="GO25" s="151"/>
      <c r="GP25" s="151"/>
      <c r="GQ25" s="151"/>
      <c r="GR25" s="151"/>
      <c r="GS25" s="151"/>
      <c r="GT25" s="151"/>
      <c r="GU25" s="151"/>
      <c r="GV25" s="151"/>
      <c r="GW25" s="151"/>
      <c r="GX25" s="151"/>
      <c r="GY25" s="151"/>
      <c r="GZ25" s="151"/>
      <c r="HC25" s="254"/>
      <c r="HD25" s="255"/>
      <c r="HE25" s="255"/>
      <c r="HF25" s="255"/>
      <c r="HG25" s="255"/>
      <c r="HH25" s="255"/>
      <c r="HI25" s="255"/>
      <c r="HJ25" s="255"/>
      <c r="HK25" s="255"/>
      <c r="HL25" s="255"/>
      <c r="HM25" s="255"/>
      <c r="HN25" s="255"/>
      <c r="HO25" s="255"/>
      <c r="HP25" s="255"/>
      <c r="HQ25" s="255"/>
      <c r="HR25" s="255"/>
      <c r="HS25" s="255"/>
      <c r="HT25" s="255"/>
      <c r="HU25" s="255"/>
      <c r="HV25" s="255"/>
      <c r="HW25" s="255"/>
      <c r="HX25" s="255"/>
      <c r="HY25" s="255"/>
      <c r="HZ25" s="255"/>
      <c r="IA25" s="255"/>
      <c r="IB25" s="255"/>
      <c r="IC25" s="255"/>
      <c r="ID25" s="255"/>
      <c r="IE25" s="255"/>
      <c r="IF25" s="255"/>
      <c r="IG25" s="255"/>
      <c r="IH25" s="255"/>
      <c r="II25" s="255"/>
      <c r="IJ25" s="255"/>
      <c r="IK25" s="255"/>
      <c r="IL25" s="255"/>
      <c r="IM25" s="255"/>
      <c r="IN25" s="255"/>
      <c r="IO25" s="255"/>
      <c r="IP25" s="255"/>
      <c r="IQ25" s="256"/>
      <c r="IR25" s="260"/>
      <c r="IS25" s="260"/>
      <c r="IT25" s="260"/>
      <c r="IU25" s="260"/>
      <c r="KA25" s="151"/>
      <c r="KB25" s="151"/>
      <c r="KC25" s="151"/>
      <c r="KD25" s="151"/>
      <c r="KE25" s="151"/>
      <c r="KF25" s="151"/>
      <c r="KG25" s="151"/>
      <c r="KH25" s="151"/>
      <c r="KI25" s="151"/>
      <c r="KJ25" s="151"/>
      <c r="KK25" s="151"/>
      <c r="KL25" s="151"/>
      <c r="KM25" s="151"/>
      <c r="KN25" s="151"/>
      <c r="KO25" s="151"/>
      <c r="LC25" s="151"/>
      <c r="LD25" s="151"/>
      <c r="LE25" s="151"/>
      <c r="LF25" s="151"/>
      <c r="LG25" s="151"/>
      <c r="LH25" s="151"/>
      <c r="LI25" s="151"/>
      <c r="LJ25" s="151"/>
      <c r="LK25" s="151"/>
      <c r="LL25" s="151"/>
      <c r="LM25" s="151"/>
      <c r="LN25" s="151"/>
      <c r="LO25" s="151"/>
      <c r="LP25" s="151"/>
      <c r="LQ25" s="151"/>
      <c r="LR25" s="151"/>
      <c r="LS25" s="151"/>
      <c r="LT25" s="151"/>
      <c r="LU25" s="151"/>
      <c r="LV25" s="151"/>
      <c r="LW25" s="151"/>
      <c r="LX25" s="151"/>
      <c r="LY25" s="151"/>
      <c r="LZ25" s="151"/>
      <c r="MA25" s="151"/>
      <c r="MB25" s="151"/>
      <c r="MC25" s="151"/>
      <c r="MD25" s="151"/>
      <c r="ME25" s="151"/>
      <c r="MF25" s="151"/>
      <c r="MG25" s="151"/>
      <c r="MH25" s="151"/>
      <c r="MI25" s="151"/>
      <c r="MJ25" s="151"/>
      <c r="MK25" s="151"/>
      <c r="ML25" s="151"/>
      <c r="MM25" s="151"/>
      <c r="QK25" s="151"/>
      <c r="QL25" s="151"/>
      <c r="QM25" s="151"/>
      <c r="QN25" s="151"/>
      <c r="QO25" s="151"/>
      <c r="QP25" s="151"/>
      <c r="QQ25" s="152"/>
      <c r="QR25" s="153"/>
    </row>
    <row r="26" spans="3:460" ht="5.0999999999999996" customHeight="1" x14ac:dyDescent="0.3">
      <c r="C26" s="149"/>
      <c r="D26" s="150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51"/>
      <c r="AT26" s="151"/>
      <c r="AU26" s="151"/>
      <c r="AV26" s="151"/>
      <c r="AW26" s="151"/>
      <c r="AX26" s="151"/>
      <c r="AY26" s="151"/>
      <c r="AZ26" s="151"/>
      <c r="BA26" s="151"/>
      <c r="BB26" s="151"/>
      <c r="BC26" s="151"/>
      <c r="BD26" s="151"/>
      <c r="BE26" s="151"/>
      <c r="BF26" s="151"/>
      <c r="BG26" s="151"/>
      <c r="BH26" s="151"/>
      <c r="BI26" s="151"/>
      <c r="BJ26" s="151"/>
      <c r="BK26" s="151"/>
      <c r="BL26" s="151"/>
      <c r="BM26" s="151"/>
      <c r="BN26" s="151"/>
      <c r="BO26" s="151"/>
      <c r="BP26" s="151"/>
      <c r="BQ26" s="151"/>
      <c r="BR26" s="151"/>
      <c r="BS26" s="151"/>
      <c r="BT26" s="151"/>
      <c r="BU26" s="151"/>
      <c r="BV26" s="151"/>
      <c r="BW26" s="151"/>
      <c r="BX26" s="151"/>
      <c r="BY26" s="151"/>
      <c r="BZ26" s="151"/>
      <c r="CA26" s="151"/>
      <c r="CB26" s="151"/>
      <c r="CC26" s="151"/>
      <c r="CD26" s="151"/>
      <c r="CE26" s="151"/>
      <c r="CF26" s="151"/>
      <c r="CG26" s="151"/>
      <c r="CH26" s="151"/>
      <c r="CI26" s="151"/>
      <c r="CJ26" s="151"/>
      <c r="CK26" s="151"/>
      <c r="CL26" s="151"/>
      <c r="CM26" s="151"/>
      <c r="CN26" s="151"/>
      <c r="CO26" s="151"/>
      <c r="CP26" s="151"/>
      <c r="CQ26" s="151"/>
      <c r="CR26" s="151"/>
      <c r="CS26" s="151"/>
      <c r="CT26" s="151"/>
      <c r="CU26" s="151"/>
      <c r="CV26" s="151"/>
      <c r="CW26" s="151"/>
      <c r="CX26" s="151"/>
      <c r="CY26" s="151"/>
      <c r="CZ26" s="151"/>
      <c r="DA26" s="151"/>
      <c r="DB26" s="151"/>
      <c r="DC26" s="151"/>
      <c r="DD26" s="151"/>
      <c r="DE26" s="151"/>
      <c r="DF26" s="151"/>
      <c r="DG26" s="151"/>
      <c r="DH26" s="151"/>
      <c r="DI26" s="151"/>
      <c r="DJ26" s="151"/>
      <c r="DK26" s="151"/>
      <c r="DL26" s="151"/>
      <c r="DM26" s="151"/>
      <c r="DN26" s="151"/>
      <c r="DO26" s="151"/>
      <c r="DP26" s="151"/>
      <c r="DQ26" s="151"/>
      <c r="DR26" s="151"/>
      <c r="DS26" s="151"/>
      <c r="DT26" s="151"/>
      <c r="DU26" s="151"/>
      <c r="DV26" s="151"/>
      <c r="DW26" s="151"/>
      <c r="DX26" s="151"/>
      <c r="DY26" s="151"/>
      <c r="DZ26" s="151"/>
      <c r="EA26" s="151"/>
      <c r="EB26" s="151"/>
      <c r="EC26" s="151"/>
      <c r="ED26" s="151"/>
      <c r="EE26" s="151"/>
      <c r="EF26" s="151"/>
      <c r="EG26" s="151"/>
      <c r="EH26" s="151"/>
      <c r="EI26" s="151"/>
      <c r="EJ26" s="151"/>
      <c r="EK26" s="151"/>
      <c r="EL26" s="151"/>
      <c r="EM26" s="151"/>
      <c r="EN26" s="151"/>
      <c r="EO26" s="151"/>
      <c r="EP26" s="151"/>
      <c r="EQ26" s="151"/>
      <c r="ER26" s="151"/>
      <c r="ES26" s="151"/>
      <c r="ET26" s="151"/>
      <c r="EU26" s="151"/>
      <c r="EV26" s="151"/>
      <c r="HC26" s="254"/>
      <c r="HD26" s="255"/>
      <c r="HE26" s="255"/>
      <c r="HF26" s="255"/>
      <c r="HG26" s="255"/>
      <c r="HH26" s="255"/>
      <c r="HI26" s="255"/>
      <c r="HJ26" s="255"/>
      <c r="HK26" s="255"/>
      <c r="HL26" s="255"/>
      <c r="HM26" s="255"/>
      <c r="HN26" s="255"/>
      <c r="HO26" s="255"/>
      <c r="HP26" s="255"/>
      <c r="HQ26" s="255"/>
      <c r="HR26" s="255"/>
      <c r="HS26" s="255"/>
      <c r="HT26" s="255"/>
      <c r="HU26" s="255"/>
      <c r="HV26" s="255"/>
      <c r="HW26" s="255"/>
      <c r="HX26" s="255"/>
      <c r="HY26" s="255"/>
      <c r="HZ26" s="255"/>
      <c r="IA26" s="255"/>
      <c r="IB26" s="255"/>
      <c r="IC26" s="255"/>
      <c r="ID26" s="255"/>
      <c r="IE26" s="255"/>
      <c r="IF26" s="255"/>
      <c r="IG26" s="255"/>
      <c r="IH26" s="255"/>
      <c r="II26" s="255"/>
      <c r="IJ26" s="255"/>
      <c r="IK26" s="255"/>
      <c r="IL26" s="255"/>
      <c r="IM26" s="255"/>
      <c r="IN26" s="255"/>
      <c r="IO26" s="255"/>
      <c r="IP26" s="255"/>
      <c r="IQ26" s="256"/>
      <c r="IR26" s="260"/>
      <c r="IS26" s="260"/>
      <c r="IT26" s="260"/>
      <c r="IU26" s="260"/>
      <c r="KA26" s="151"/>
      <c r="KB26" s="151"/>
      <c r="KC26" s="151"/>
      <c r="KD26" s="151"/>
      <c r="KE26" s="151"/>
      <c r="KF26" s="151"/>
      <c r="KG26" s="151"/>
      <c r="KH26" s="151"/>
      <c r="KI26" s="151"/>
      <c r="KJ26" s="151"/>
      <c r="KK26" s="151"/>
      <c r="KL26" s="151"/>
      <c r="KM26" s="151"/>
      <c r="KN26" s="151"/>
      <c r="KO26" s="151"/>
      <c r="LC26" s="151"/>
      <c r="LD26" s="151"/>
      <c r="LE26" s="151"/>
      <c r="LF26" s="151"/>
      <c r="LG26" s="151"/>
      <c r="LH26" s="151"/>
      <c r="LI26" s="151"/>
      <c r="LJ26" s="151"/>
      <c r="LK26" s="151"/>
      <c r="LL26" s="151"/>
      <c r="LM26" s="151"/>
      <c r="LN26" s="151"/>
      <c r="LO26" s="151"/>
      <c r="LP26" s="151"/>
      <c r="LQ26" s="151"/>
      <c r="LR26" s="151"/>
      <c r="LS26" s="151"/>
      <c r="LT26" s="151"/>
      <c r="LU26" s="151"/>
      <c r="LV26" s="151"/>
      <c r="LW26" s="151"/>
      <c r="LX26" s="151"/>
      <c r="LY26" s="151"/>
      <c r="LZ26" s="151"/>
      <c r="MA26" s="151"/>
      <c r="MB26" s="151"/>
      <c r="MC26" s="151"/>
      <c r="MD26" s="151"/>
      <c r="ME26" s="151"/>
      <c r="MF26" s="151"/>
      <c r="MG26" s="151"/>
      <c r="MH26" s="151"/>
      <c r="MI26" s="151"/>
      <c r="MJ26" s="151"/>
      <c r="MK26" s="151"/>
      <c r="ML26" s="151"/>
      <c r="MM26" s="151"/>
      <c r="QK26" s="151"/>
      <c r="QL26" s="151"/>
      <c r="QM26" s="151"/>
      <c r="QN26" s="151"/>
      <c r="QO26" s="151"/>
      <c r="QP26" s="151"/>
      <c r="QQ26" s="152"/>
      <c r="QR26" s="153"/>
    </row>
    <row r="27" spans="3:460" ht="5.0999999999999996" customHeight="1" x14ac:dyDescent="0.3">
      <c r="C27" s="149"/>
      <c r="D27" s="150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/>
      <c r="AW27" s="151"/>
      <c r="AX27" s="151"/>
      <c r="AY27" s="151"/>
      <c r="AZ27" s="151"/>
      <c r="BA27" s="151"/>
      <c r="BB27" s="151"/>
      <c r="BC27" s="151"/>
      <c r="BD27" s="151"/>
      <c r="BE27" s="151"/>
      <c r="BF27" s="151"/>
      <c r="BG27" s="151"/>
      <c r="BH27" s="151"/>
      <c r="BI27" s="151"/>
      <c r="BJ27" s="151"/>
      <c r="BK27" s="151"/>
      <c r="BL27" s="151"/>
      <c r="BM27" s="151"/>
      <c r="BN27" s="151"/>
      <c r="BO27" s="151"/>
      <c r="BP27" s="151"/>
      <c r="BQ27" s="151"/>
      <c r="BR27" s="151"/>
      <c r="BS27" s="151"/>
      <c r="BT27" s="151"/>
      <c r="BU27" s="151"/>
      <c r="BV27" s="151"/>
      <c r="BW27" s="151"/>
      <c r="BX27" s="151"/>
      <c r="BY27" s="151"/>
      <c r="BZ27" s="151"/>
      <c r="CA27" s="151"/>
      <c r="CB27" s="151"/>
      <c r="CC27" s="151"/>
      <c r="CD27" s="151"/>
      <c r="CE27" s="151"/>
      <c r="CF27" s="151"/>
      <c r="CG27" s="151"/>
      <c r="CH27" s="151"/>
      <c r="CI27" s="151"/>
      <c r="CJ27" s="151"/>
      <c r="CK27" s="151"/>
      <c r="CL27" s="151"/>
      <c r="CM27" s="151"/>
      <c r="CN27" s="151"/>
      <c r="CO27" s="151"/>
      <c r="CP27" s="151"/>
      <c r="CQ27" s="151"/>
      <c r="CR27" s="151"/>
      <c r="CS27" s="151"/>
      <c r="CT27" s="151"/>
      <c r="CU27" s="151"/>
      <c r="CV27" s="151"/>
      <c r="CW27" s="151"/>
      <c r="CX27" s="151"/>
      <c r="CY27" s="151"/>
      <c r="CZ27" s="151"/>
      <c r="DA27" s="151"/>
      <c r="DB27" s="151"/>
      <c r="DC27" s="151"/>
      <c r="DD27" s="151"/>
      <c r="DE27" s="151"/>
      <c r="DF27" s="151"/>
      <c r="DG27" s="151"/>
      <c r="DH27" s="151"/>
      <c r="DI27" s="151"/>
      <c r="DJ27" s="151"/>
      <c r="DK27" s="151"/>
      <c r="DL27" s="151"/>
      <c r="DM27" s="151"/>
      <c r="DN27" s="151"/>
      <c r="DO27" s="151"/>
      <c r="DP27" s="151"/>
      <c r="DQ27" s="151"/>
      <c r="DR27" s="151"/>
      <c r="DS27" s="151"/>
      <c r="DT27" s="151"/>
      <c r="DU27" s="151"/>
      <c r="DV27" s="151"/>
      <c r="DW27" s="151"/>
      <c r="DX27" s="151"/>
      <c r="DY27" s="151"/>
      <c r="DZ27" s="151"/>
      <c r="EA27" s="151"/>
      <c r="EB27" s="151"/>
      <c r="EC27" s="151"/>
      <c r="ED27" s="151"/>
      <c r="EE27" s="151"/>
      <c r="EF27" s="151"/>
      <c r="EG27" s="151"/>
      <c r="EH27" s="151"/>
      <c r="EI27" s="151"/>
      <c r="EJ27" s="151"/>
      <c r="EK27" s="151"/>
      <c r="EL27" s="151"/>
      <c r="EM27" s="151"/>
      <c r="EN27" s="151"/>
      <c r="EO27" s="151"/>
      <c r="EP27" s="151"/>
      <c r="EQ27" s="151"/>
      <c r="ER27" s="151"/>
      <c r="ES27" s="151"/>
      <c r="ET27" s="151"/>
      <c r="EU27" s="151"/>
      <c r="EV27" s="151"/>
      <c r="HC27" s="257"/>
      <c r="HD27" s="258"/>
      <c r="HE27" s="258"/>
      <c r="HF27" s="258"/>
      <c r="HG27" s="258"/>
      <c r="HH27" s="258"/>
      <c r="HI27" s="258"/>
      <c r="HJ27" s="258"/>
      <c r="HK27" s="258"/>
      <c r="HL27" s="258"/>
      <c r="HM27" s="258"/>
      <c r="HN27" s="258"/>
      <c r="HO27" s="258"/>
      <c r="HP27" s="258"/>
      <c r="HQ27" s="258"/>
      <c r="HR27" s="258"/>
      <c r="HS27" s="258"/>
      <c r="HT27" s="258"/>
      <c r="HU27" s="258"/>
      <c r="HV27" s="258"/>
      <c r="HW27" s="258"/>
      <c r="HX27" s="258"/>
      <c r="HY27" s="258"/>
      <c r="HZ27" s="258"/>
      <c r="IA27" s="258"/>
      <c r="IB27" s="258"/>
      <c r="IC27" s="258"/>
      <c r="ID27" s="258"/>
      <c r="IE27" s="258"/>
      <c r="IF27" s="258"/>
      <c r="IG27" s="258"/>
      <c r="IH27" s="258"/>
      <c r="II27" s="258"/>
      <c r="IJ27" s="258"/>
      <c r="IK27" s="258"/>
      <c r="IL27" s="258"/>
      <c r="IM27" s="258"/>
      <c r="IN27" s="258"/>
      <c r="IO27" s="258"/>
      <c r="IP27" s="258"/>
      <c r="IQ27" s="259"/>
      <c r="IR27" s="260"/>
      <c r="IS27" s="260"/>
      <c r="IT27" s="260"/>
      <c r="IU27" s="260"/>
      <c r="KA27" s="151"/>
      <c r="KB27" s="151"/>
      <c r="KC27" s="151"/>
      <c r="KD27" s="151"/>
      <c r="KE27" s="151"/>
      <c r="KF27" s="151"/>
      <c r="KG27" s="151"/>
      <c r="KH27" s="151"/>
      <c r="KI27" s="151"/>
      <c r="KJ27" s="151"/>
      <c r="KK27" s="151"/>
      <c r="KL27" s="151"/>
      <c r="KM27" s="151"/>
      <c r="KN27" s="151"/>
      <c r="KO27" s="151"/>
      <c r="LC27" s="151"/>
      <c r="LD27" s="151"/>
      <c r="LE27" s="151"/>
      <c r="LF27" s="151"/>
      <c r="LG27" s="151"/>
      <c r="LH27" s="151"/>
      <c r="LI27" s="151"/>
      <c r="LJ27" s="151"/>
      <c r="LK27" s="151"/>
      <c r="LL27" s="151"/>
      <c r="LM27" s="151"/>
      <c r="LN27" s="151"/>
      <c r="LO27" s="151"/>
      <c r="LP27" s="151"/>
      <c r="LQ27" s="151"/>
      <c r="LR27" s="151"/>
      <c r="LS27" s="151"/>
      <c r="LT27" s="151"/>
      <c r="LU27" s="151"/>
      <c r="LV27" s="151"/>
      <c r="LW27" s="151"/>
      <c r="LX27" s="151"/>
      <c r="LY27" s="151"/>
      <c r="LZ27" s="151"/>
      <c r="MA27" s="151"/>
      <c r="MB27" s="151"/>
      <c r="MC27" s="151"/>
      <c r="MD27" s="151"/>
      <c r="ME27" s="151"/>
      <c r="MF27" s="151"/>
      <c r="MG27" s="151"/>
      <c r="MH27" s="151"/>
      <c r="MI27" s="151"/>
      <c r="MJ27" s="151"/>
      <c r="MK27" s="151"/>
      <c r="ML27" s="151"/>
      <c r="MM27" s="151"/>
      <c r="QK27" s="151"/>
      <c r="QL27" s="151"/>
      <c r="QM27" s="151"/>
      <c r="QN27" s="151"/>
      <c r="QO27" s="151"/>
      <c r="QP27" s="151"/>
      <c r="QQ27" s="152"/>
      <c r="QR27" s="153"/>
    </row>
    <row r="28" spans="3:460" ht="5.0999999999999996" customHeight="1" x14ac:dyDescent="0.3">
      <c r="C28" s="149"/>
      <c r="D28" s="150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1"/>
      <c r="AU28" s="151"/>
      <c r="AV28" s="151"/>
      <c r="AW28" s="151"/>
      <c r="AX28" s="151"/>
      <c r="AY28" s="151"/>
      <c r="AZ28" s="151"/>
      <c r="BA28" s="151"/>
      <c r="BB28" s="151"/>
      <c r="BC28" s="151"/>
      <c r="BD28" s="151"/>
      <c r="BE28" s="151"/>
      <c r="BF28" s="151"/>
      <c r="BG28" s="151"/>
      <c r="BH28" s="151"/>
      <c r="BI28" s="151"/>
      <c r="BJ28" s="151"/>
      <c r="BK28" s="151"/>
      <c r="BL28" s="151"/>
      <c r="BM28" s="151"/>
      <c r="BN28" s="151"/>
      <c r="BO28" s="151"/>
      <c r="BP28" s="151"/>
      <c r="BQ28" s="151"/>
      <c r="BR28" s="151"/>
      <c r="BS28" s="151"/>
      <c r="BT28" s="151"/>
      <c r="BU28" s="151"/>
      <c r="BV28" s="151"/>
      <c r="BW28" s="151"/>
      <c r="BX28" s="151"/>
      <c r="BY28" s="151"/>
      <c r="BZ28" s="151"/>
      <c r="CA28" s="151"/>
      <c r="CB28" s="151"/>
      <c r="CC28" s="151"/>
      <c r="CD28" s="151"/>
      <c r="CE28" s="151"/>
      <c r="CF28" s="151"/>
      <c r="CG28" s="151"/>
      <c r="CH28" s="151"/>
      <c r="CI28" s="151"/>
      <c r="CJ28" s="151"/>
      <c r="CK28" s="151"/>
      <c r="CL28" s="151"/>
      <c r="CM28" s="151"/>
      <c r="CN28" s="151"/>
      <c r="CO28" s="151"/>
      <c r="CP28" s="151"/>
      <c r="CQ28" s="151"/>
      <c r="CR28" s="151"/>
      <c r="CS28" s="151"/>
      <c r="CT28" s="151"/>
      <c r="CU28" s="151"/>
      <c r="CV28" s="151"/>
      <c r="CW28" s="151"/>
      <c r="CX28" s="151"/>
      <c r="CY28" s="151"/>
      <c r="CZ28" s="151"/>
      <c r="DA28" s="151"/>
      <c r="DB28" s="151"/>
      <c r="DC28" s="151"/>
      <c r="DD28" s="151"/>
      <c r="DE28" s="151"/>
      <c r="DF28" s="151"/>
      <c r="DG28" s="151"/>
      <c r="DH28" s="151"/>
      <c r="DI28" s="151"/>
      <c r="DJ28" s="151"/>
      <c r="DK28" s="151"/>
      <c r="DL28" s="151"/>
      <c r="DM28" s="151"/>
      <c r="DN28" s="151"/>
      <c r="DO28" s="151"/>
      <c r="DP28" s="151"/>
      <c r="DQ28" s="151"/>
      <c r="DR28" s="151"/>
      <c r="DS28" s="151"/>
      <c r="DT28" s="151"/>
      <c r="DU28" s="151"/>
      <c r="DV28" s="151"/>
      <c r="DW28" s="151"/>
      <c r="DX28" s="151"/>
      <c r="DY28" s="151"/>
      <c r="DZ28" s="151"/>
      <c r="EA28" s="151"/>
      <c r="EB28" s="151"/>
      <c r="EC28" s="151"/>
      <c r="ED28" s="151"/>
      <c r="EE28" s="151"/>
      <c r="EF28" s="151"/>
      <c r="EG28" s="151"/>
      <c r="EH28" s="151"/>
      <c r="EI28" s="151"/>
      <c r="EJ28" s="151"/>
      <c r="EK28" s="151"/>
      <c r="EL28" s="151"/>
      <c r="EM28" s="151"/>
      <c r="EN28" s="151"/>
      <c r="EO28" s="151"/>
      <c r="EP28" s="151"/>
      <c r="EQ28" s="151"/>
      <c r="ER28" s="151"/>
      <c r="ES28" s="151"/>
      <c r="ET28" s="151"/>
      <c r="EU28" s="151"/>
      <c r="EV28" s="151"/>
      <c r="HK28" s="151"/>
      <c r="HL28" s="151"/>
      <c r="HM28" s="151"/>
      <c r="HN28" s="151"/>
      <c r="HO28" s="151"/>
      <c r="HP28" s="151"/>
      <c r="HQ28" s="151"/>
      <c r="HR28" s="151"/>
      <c r="HS28" s="151"/>
      <c r="HT28" s="151"/>
      <c r="HU28" s="151"/>
      <c r="HV28" s="151"/>
      <c r="HW28" s="154"/>
      <c r="HX28" s="151"/>
      <c r="HY28" s="151"/>
      <c r="HZ28" s="151"/>
      <c r="IA28" s="151"/>
      <c r="IB28" s="151"/>
      <c r="IC28" s="151"/>
      <c r="ID28" s="151"/>
      <c r="IE28" s="151"/>
      <c r="IF28" s="151"/>
      <c r="IG28" s="151"/>
      <c r="IH28" s="151"/>
      <c r="II28" s="151"/>
      <c r="KA28" s="151"/>
      <c r="KB28" s="151"/>
      <c r="KC28" s="151"/>
      <c r="KD28" s="151"/>
      <c r="KE28" s="151"/>
      <c r="KF28" s="151"/>
      <c r="KG28" s="151"/>
      <c r="KH28" s="151"/>
      <c r="KI28" s="151"/>
      <c r="KJ28" s="151"/>
      <c r="KK28" s="151"/>
      <c r="KL28" s="151"/>
      <c r="KM28" s="151"/>
      <c r="KN28" s="151"/>
      <c r="KO28" s="151"/>
      <c r="LC28" s="151"/>
      <c r="LD28" s="151"/>
      <c r="LE28" s="151"/>
      <c r="LF28" s="151"/>
      <c r="LG28" s="151"/>
      <c r="LH28" s="151"/>
      <c r="LI28" s="151"/>
      <c r="LJ28" s="151"/>
      <c r="LK28" s="151"/>
      <c r="LL28" s="151"/>
      <c r="LM28" s="151"/>
      <c r="LN28" s="151"/>
      <c r="LO28" s="151"/>
      <c r="LP28" s="151"/>
      <c r="LQ28" s="151"/>
      <c r="LR28" s="151"/>
      <c r="LS28" s="151"/>
      <c r="LT28" s="151"/>
      <c r="LU28" s="151"/>
      <c r="LV28" s="151"/>
      <c r="LW28" s="151"/>
      <c r="LX28" s="151"/>
      <c r="QK28" s="151"/>
      <c r="QL28" s="151"/>
      <c r="QM28" s="151"/>
      <c r="QN28" s="151"/>
      <c r="QO28" s="151"/>
      <c r="QP28" s="151"/>
      <c r="QQ28" s="152"/>
      <c r="QR28" s="153"/>
    </row>
    <row r="29" spans="3:460" ht="5.0999999999999996" customHeight="1" x14ac:dyDescent="0.3">
      <c r="C29" s="149"/>
      <c r="D29" s="150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BK29" s="151"/>
      <c r="BL29" s="151"/>
      <c r="BM29" s="151"/>
      <c r="BN29" s="151"/>
      <c r="BO29" s="151"/>
      <c r="BP29" s="151"/>
      <c r="BQ29" s="151"/>
      <c r="BR29" s="151"/>
      <c r="BS29" s="151"/>
      <c r="BT29" s="151"/>
      <c r="BU29" s="151"/>
      <c r="BV29" s="151"/>
      <c r="BW29" s="151"/>
      <c r="BX29" s="151"/>
      <c r="BY29" s="151"/>
      <c r="BZ29" s="151"/>
      <c r="CA29" s="151"/>
      <c r="CB29" s="151"/>
      <c r="CC29" s="151"/>
      <c r="CD29" s="151"/>
      <c r="CE29" s="151"/>
      <c r="CF29" s="151"/>
      <c r="CG29" s="151"/>
      <c r="CH29" s="151"/>
      <c r="CI29" s="151"/>
      <c r="CJ29" s="151"/>
      <c r="CK29" s="151"/>
      <c r="CL29" s="151"/>
      <c r="CM29" s="151"/>
      <c r="CN29" s="151"/>
      <c r="CO29" s="151"/>
      <c r="CP29" s="151"/>
      <c r="CQ29" s="151"/>
      <c r="CR29" s="151"/>
      <c r="CS29" s="151"/>
      <c r="CT29" s="151"/>
      <c r="CU29" s="151"/>
      <c r="CV29" s="151"/>
      <c r="CW29" s="151"/>
      <c r="CX29" s="151"/>
      <c r="CY29" s="151"/>
      <c r="CZ29" s="151"/>
      <c r="DA29" s="151"/>
      <c r="DB29" s="151"/>
      <c r="DC29" s="151"/>
      <c r="DD29" s="151"/>
      <c r="DE29" s="151"/>
      <c r="DF29" s="151"/>
      <c r="DG29" s="151"/>
      <c r="DH29" s="151"/>
      <c r="DI29" s="151"/>
      <c r="DJ29" s="151"/>
      <c r="DK29" s="151"/>
      <c r="DL29" s="151"/>
      <c r="DM29" s="151"/>
      <c r="DN29" s="151"/>
      <c r="DO29" s="151"/>
      <c r="DP29" s="151"/>
      <c r="DQ29" s="151"/>
      <c r="DR29" s="151"/>
      <c r="DS29" s="151"/>
      <c r="DT29" s="151"/>
      <c r="DU29" s="151"/>
      <c r="DV29" s="151"/>
      <c r="DW29" s="151"/>
      <c r="DX29" s="151"/>
      <c r="DY29" s="151"/>
      <c r="DZ29" s="151"/>
      <c r="EA29" s="151"/>
      <c r="EB29" s="151"/>
      <c r="EC29" s="151"/>
      <c r="ED29" s="151"/>
      <c r="EE29" s="151"/>
      <c r="EF29" s="151"/>
      <c r="EG29" s="151"/>
      <c r="EH29" s="151"/>
      <c r="EI29" s="151"/>
      <c r="EJ29" s="151"/>
      <c r="EK29" s="151"/>
      <c r="EL29" s="151"/>
      <c r="EM29" s="151"/>
      <c r="EN29" s="151"/>
      <c r="EO29" s="151"/>
      <c r="EP29" s="151"/>
      <c r="EQ29" s="151"/>
      <c r="ER29" s="151"/>
      <c r="ES29" s="151"/>
      <c r="ET29" s="151"/>
      <c r="EU29" s="151"/>
      <c r="EV29" s="151"/>
      <c r="HK29" s="151"/>
      <c r="HL29" s="151"/>
      <c r="HM29" s="151"/>
      <c r="HN29" s="151"/>
      <c r="HO29" s="151"/>
      <c r="HP29" s="151"/>
      <c r="HQ29" s="151"/>
      <c r="HR29" s="151"/>
      <c r="HS29" s="151"/>
      <c r="HT29" s="151"/>
      <c r="HU29" s="151"/>
      <c r="HV29" s="151"/>
      <c r="HW29" s="154"/>
      <c r="HX29" s="151"/>
      <c r="HY29" s="151"/>
      <c r="HZ29" s="151"/>
      <c r="IA29" s="151"/>
      <c r="IB29" s="151"/>
      <c r="IC29" s="151"/>
      <c r="ID29" s="151"/>
      <c r="IE29" s="151"/>
      <c r="IF29" s="151"/>
      <c r="IG29" s="151"/>
      <c r="IH29" s="151"/>
      <c r="II29" s="151"/>
      <c r="KA29" s="151"/>
      <c r="KB29" s="151"/>
      <c r="KC29" s="151"/>
      <c r="KD29" s="151"/>
      <c r="KE29" s="151"/>
      <c r="KF29" s="151"/>
      <c r="KG29" s="151"/>
      <c r="KH29" s="151"/>
      <c r="KI29" s="151"/>
      <c r="KJ29" s="151"/>
      <c r="KK29" s="151"/>
      <c r="KL29" s="151"/>
      <c r="KM29" s="151"/>
      <c r="KN29" s="151"/>
      <c r="KO29" s="151"/>
      <c r="LC29" s="151"/>
      <c r="LD29" s="151"/>
      <c r="LE29" s="151"/>
      <c r="LF29" s="151"/>
      <c r="LG29" s="151"/>
      <c r="LH29" s="151"/>
      <c r="LI29" s="151"/>
      <c r="LJ29" s="151"/>
      <c r="LK29" s="151"/>
      <c r="LL29" s="151"/>
      <c r="LM29" s="151"/>
      <c r="LN29" s="151"/>
      <c r="LO29" s="151"/>
      <c r="LP29" s="151"/>
      <c r="LQ29" s="151"/>
      <c r="LR29" s="151"/>
      <c r="LS29" s="151"/>
      <c r="LT29" s="151"/>
      <c r="LU29" s="151"/>
      <c r="LV29" s="151"/>
      <c r="LW29" s="151"/>
      <c r="LX29" s="151"/>
      <c r="QQ29" s="152"/>
      <c r="QR29" s="153"/>
    </row>
    <row r="30" spans="3:460" ht="5.0999999999999996" customHeight="1" x14ac:dyDescent="0.3">
      <c r="C30" s="149"/>
      <c r="D30" s="150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HW30" s="155"/>
      <c r="IJ30" s="156"/>
      <c r="IK30" s="156"/>
      <c r="IL30" s="156"/>
      <c r="IM30" s="156"/>
      <c r="IN30" s="156"/>
      <c r="IO30" s="156"/>
      <c r="IP30" s="156"/>
      <c r="IQ30" s="156"/>
      <c r="IR30" s="156"/>
      <c r="IS30" s="156"/>
      <c r="IT30" s="156"/>
      <c r="IU30" s="156"/>
      <c r="IV30" s="156"/>
      <c r="IW30" s="156"/>
      <c r="IX30" s="156"/>
      <c r="IY30" s="156"/>
      <c r="IZ30" s="156"/>
      <c r="JJ30" s="156"/>
      <c r="JK30" s="156"/>
      <c r="QQ30" s="152"/>
      <c r="QR30" s="153"/>
    </row>
    <row r="31" spans="3:460" ht="5.0999999999999996" customHeight="1" x14ac:dyDescent="0.3">
      <c r="C31" s="149"/>
      <c r="D31" s="150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HW31" s="155"/>
      <c r="IJ31" s="156"/>
      <c r="IK31" s="156"/>
      <c r="IL31" s="156"/>
      <c r="IM31" s="156"/>
      <c r="IN31" s="156"/>
      <c r="IO31" s="156"/>
      <c r="IP31" s="156"/>
      <c r="IQ31" s="156"/>
      <c r="IR31" s="156"/>
      <c r="IS31" s="156"/>
      <c r="IT31" s="156"/>
      <c r="IU31" s="156"/>
      <c r="IV31" s="156"/>
      <c r="IW31" s="156"/>
      <c r="IX31" s="156"/>
      <c r="IY31" s="156"/>
      <c r="IZ31" s="156"/>
      <c r="JJ31" s="156"/>
      <c r="JK31" s="156"/>
      <c r="QQ31" s="152"/>
      <c r="QR31" s="153"/>
    </row>
    <row r="32" spans="3:460" ht="5.0999999999999996" customHeight="1" x14ac:dyDescent="0.3">
      <c r="C32" s="149"/>
      <c r="D32" s="150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HW32" s="155"/>
      <c r="QQ32" s="152"/>
      <c r="QR32" s="153"/>
    </row>
    <row r="33" spans="3:460" ht="5.0999999999999996" customHeight="1" thickBot="1" x14ac:dyDescent="0.35">
      <c r="C33" s="149"/>
      <c r="D33" s="150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  <c r="AX33" s="157"/>
      <c r="AY33" s="157"/>
      <c r="AZ33" s="157"/>
      <c r="BA33" s="157"/>
      <c r="BB33" s="157"/>
      <c r="BC33" s="157"/>
      <c r="BD33" s="157"/>
      <c r="BE33" s="157"/>
      <c r="BF33" s="157"/>
      <c r="BG33" s="157"/>
      <c r="BH33" s="157"/>
      <c r="BI33" s="157"/>
      <c r="BJ33" s="157"/>
      <c r="BK33" s="157"/>
      <c r="BL33" s="157"/>
      <c r="BM33" s="157"/>
      <c r="BN33" s="157"/>
      <c r="BO33" s="157"/>
      <c r="BP33" s="157"/>
      <c r="BQ33" s="157"/>
      <c r="BR33" s="157"/>
      <c r="BS33" s="157"/>
      <c r="BT33" s="157"/>
      <c r="BU33" s="157"/>
      <c r="BV33" s="157"/>
      <c r="BW33" s="157"/>
      <c r="BX33" s="157"/>
      <c r="BY33" s="157"/>
      <c r="BZ33" s="157"/>
      <c r="CA33" s="157"/>
      <c r="CB33" s="157"/>
      <c r="CC33" s="157"/>
      <c r="CD33" s="157"/>
      <c r="CE33" s="157"/>
      <c r="CF33" s="157"/>
      <c r="CG33" s="157"/>
      <c r="CH33" s="157"/>
      <c r="CI33" s="157"/>
      <c r="CJ33" s="157"/>
      <c r="CK33" s="157"/>
      <c r="CL33" s="157"/>
      <c r="CM33" s="157"/>
      <c r="CN33" s="157"/>
      <c r="CO33" s="157"/>
      <c r="CP33" s="157"/>
      <c r="CQ33" s="157"/>
      <c r="CR33" s="157"/>
      <c r="CS33" s="157"/>
      <c r="CT33" s="157"/>
      <c r="CU33" s="157"/>
      <c r="CV33" s="157"/>
      <c r="CW33" s="157"/>
      <c r="CX33" s="157"/>
      <c r="DR33" s="157"/>
      <c r="DS33" s="157"/>
      <c r="DT33" s="157"/>
      <c r="DU33" s="157"/>
      <c r="DV33" s="157"/>
      <c r="DW33" s="157"/>
      <c r="DX33" s="157"/>
      <c r="DY33" s="157"/>
      <c r="DZ33" s="157"/>
      <c r="EA33" s="157"/>
      <c r="EB33" s="157"/>
      <c r="EC33" s="157"/>
      <c r="ED33" s="157"/>
      <c r="EE33" s="157"/>
      <c r="EF33" s="157"/>
      <c r="EG33" s="157"/>
      <c r="EH33" s="157"/>
      <c r="EI33" s="157"/>
      <c r="EJ33" s="157"/>
      <c r="EK33" s="157"/>
      <c r="EL33" s="157"/>
      <c r="EM33" s="157"/>
      <c r="EN33" s="157"/>
      <c r="EO33" s="157"/>
      <c r="EP33" s="157"/>
      <c r="EQ33" s="157"/>
      <c r="ER33" s="157"/>
      <c r="ES33" s="157"/>
      <c r="ET33" s="157"/>
      <c r="EU33" s="157"/>
      <c r="EV33" s="157"/>
      <c r="EW33" s="157"/>
      <c r="EX33" s="157"/>
      <c r="EY33" s="157"/>
      <c r="EZ33" s="157"/>
      <c r="FA33" s="157"/>
      <c r="FB33" s="157"/>
      <c r="FC33" s="157"/>
      <c r="FD33" s="157"/>
      <c r="FE33" s="157"/>
      <c r="FF33" s="157"/>
      <c r="FG33" s="157"/>
      <c r="FH33" s="157"/>
      <c r="FI33" s="157"/>
      <c r="FJ33" s="157"/>
      <c r="FK33" s="157"/>
      <c r="FL33" s="157"/>
      <c r="FM33" s="157"/>
      <c r="FN33" s="157"/>
      <c r="FO33" s="157"/>
      <c r="FP33" s="157"/>
      <c r="FQ33" s="157"/>
      <c r="FR33" s="157"/>
      <c r="FS33" s="157"/>
      <c r="FT33" s="157"/>
      <c r="FU33" s="157"/>
      <c r="FV33" s="157"/>
      <c r="FW33" s="157"/>
      <c r="FX33" s="157"/>
      <c r="FY33" s="157"/>
      <c r="FZ33" s="157"/>
      <c r="GA33" s="157"/>
      <c r="GB33" s="157"/>
      <c r="GC33" s="157"/>
      <c r="GD33" s="157"/>
      <c r="GE33" s="157"/>
      <c r="GF33" s="157"/>
      <c r="GG33" s="157"/>
      <c r="GH33" s="157"/>
      <c r="GI33" s="157"/>
      <c r="GJ33" s="157"/>
      <c r="GK33" s="157"/>
      <c r="GL33" s="157"/>
      <c r="GM33" s="157"/>
      <c r="GN33" s="157"/>
      <c r="GO33" s="157"/>
      <c r="GP33" s="157"/>
      <c r="GQ33" s="157"/>
      <c r="GR33" s="157"/>
      <c r="GS33" s="157"/>
      <c r="GT33" s="157"/>
      <c r="GU33" s="157"/>
      <c r="GV33" s="157"/>
      <c r="GW33" s="157"/>
      <c r="GX33" s="157"/>
      <c r="GY33" s="157"/>
      <c r="GZ33" s="157"/>
      <c r="HA33" s="157"/>
      <c r="HB33" s="157"/>
      <c r="HC33" s="157"/>
      <c r="HD33" s="157"/>
      <c r="HE33" s="157"/>
      <c r="HF33" s="157"/>
      <c r="HG33" s="157"/>
      <c r="HH33" s="157"/>
      <c r="HI33" s="157"/>
      <c r="HJ33" s="157"/>
      <c r="HK33" s="157"/>
      <c r="HL33" s="157"/>
      <c r="HM33" s="157"/>
      <c r="HN33" s="157"/>
      <c r="HV33" s="158"/>
      <c r="HW33" s="155"/>
      <c r="II33" s="157"/>
      <c r="IJ33" s="157"/>
      <c r="IK33" s="157"/>
      <c r="IL33" s="157"/>
      <c r="IM33" s="157"/>
      <c r="IN33" s="157"/>
      <c r="IO33" s="157"/>
      <c r="IP33" s="157"/>
      <c r="IQ33" s="157"/>
      <c r="IR33" s="157"/>
      <c r="IS33" s="157"/>
      <c r="IT33" s="157"/>
      <c r="IU33" s="157"/>
      <c r="QQ33" s="152"/>
      <c r="QR33" s="153"/>
    </row>
    <row r="34" spans="3:460" ht="5.0999999999999996" customHeight="1" x14ac:dyDescent="0.3">
      <c r="C34" s="149"/>
      <c r="D34" s="150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AF34" s="159"/>
      <c r="CY34" s="160"/>
      <c r="CZ34" s="160"/>
      <c r="DA34" s="160"/>
      <c r="DB34" s="160"/>
      <c r="DC34" s="160"/>
      <c r="DD34" s="160"/>
      <c r="DE34" s="160"/>
      <c r="DF34" s="160"/>
      <c r="DG34" s="160"/>
      <c r="DH34" s="160"/>
      <c r="DI34" s="160"/>
      <c r="DJ34" s="160"/>
      <c r="DK34" s="160"/>
      <c r="DL34" s="160"/>
      <c r="DM34" s="160"/>
      <c r="DN34" s="160"/>
      <c r="DO34" s="160"/>
      <c r="DP34" s="160"/>
      <c r="DQ34" s="160"/>
      <c r="ED34" s="159"/>
      <c r="EE34" s="160"/>
      <c r="EF34" s="160"/>
      <c r="HO34" s="160"/>
      <c r="HP34" s="160"/>
      <c r="HQ34" s="160"/>
      <c r="HR34" s="160"/>
      <c r="HS34" s="160"/>
      <c r="HT34" s="160"/>
      <c r="HU34" s="160"/>
      <c r="HV34" s="160"/>
      <c r="HW34" s="160"/>
      <c r="HX34" s="160"/>
      <c r="HY34" s="160"/>
      <c r="HZ34" s="160"/>
      <c r="IA34" s="160"/>
      <c r="IB34" s="160"/>
      <c r="IC34" s="160"/>
      <c r="ID34" s="160"/>
      <c r="IE34" s="160"/>
      <c r="IF34" s="160"/>
      <c r="IG34" s="160"/>
      <c r="IH34" s="160"/>
      <c r="II34" s="160"/>
      <c r="IV34" s="160"/>
      <c r="IW34" s="160"/>
      <c r="IX34" s="160"/>
      <c r="IY34" s="160"/>
      <c r="IZ34" s="160"/>
      <c r="JA34" s="160"/>
      <c r="JB34" s="160"/>
      <c r="JC34" s="160"/>
      <c r="JD34" s="160"/>
      <c r="JE34" s="160"/>
      <c r="JF34" s="160"/>
      <c r="JG34" s="160"/>
      <c r="JH34" s="160"/>
      <c r="JI34" s="160"/>
      <c r="JJ34" s="160"/>
      <c r="JK34" s="160"/>
      <c r="JL34" s="160"/>
      <c r="JM34" s="160"/>
      <c r="JN34" s="160"/>
      <c r="JO34" s="160"/>
      <c r="JP34" s="160"/>
      <c r="JQ34" s="160"/>
      <c r="JR34" s="160"/>
      <c r="JS34" s="160"/>
      <c r="JT34" s="160"/>
      <c r="JU34" s="160"/>
      <c r="JV34" s="160"/>
      <c r="JW34" s="160"/>
      <c r="JX34" s="160"/>
      <c r="JY34" s="160"/>
      <c r="JZ34" s="160"/>
      <c r="KA34" s="160"/>
      <c r="KB34" s="160"/>
      <c r="KC34" s="160"/>
      <c r="KD34" s="160"/>
      <c r="KE34" s="160"/>
      <c r="KF34" s="160"/>
      <c r="KG34" s="160"/>
      <c r="KH34" s="160"/>
      <c r="KI34" s="160"/>
      <c r="KJ34" s="160"/>
      <c r="KK34" s="160"/>
      <c r="KL34" s="160"/>
      <c r="KM34" s="160"/>
      <c r="KN34" s="160"/>
      <c r="KO34" s="160"/>
      <c r="KP34" s="160"/>
      <c r="KQ34" s="160"/>
      <c r="KR34" s="160"/>
      <c r="KS34" s="160"/>
      <c r="KT34" s="160"/>
      <c r="KU34" s="160"/>
      <c r="KV34" s="160"/>
      <c r="KW34" s="160"/>
      <c r="KX34" s="160"/>
      <c r="KY34" s="160"/>
      <c r="KZ34" s="160"/>
      <c r="LA34" s="160"/>
      <c r="LB34" s="160"/>
      <c r="LC34" s="160"/>
      <c r="LD34" s="160"/>
      <c r="LE34" s="160"/>
      <c r="LF34" s="159"/>
      <c r="LG34" s="160"/>
      <c r="LH34" s="160"/>
      <c r="LI34" s="160"/>
      <c r="LJ34" s="160"/>
      <c r="LK34" s="160"/>
      <c r="LL34" s="160"/>
      <c r="LM34" s="160"/>
      <c r="LN34" s="160"/>
      <c r="LO34" s="160"/>
      <c r="LP34" s="160"/>
      <c r="LQ34" s="160"/>
      <c r="LR34" s="160"/>
      <c r="LS34" s="160"/>
      <c r="LT34" s="160"/>
      <c r="LU34" s="160"/>
      <c r="LV34" s="160"/>
      <c r="LW34" s="160"/>
      <c r="LX34" s="161"/>
      <c r="LY34" s="161"/>
      <c r="LZ34" s="161"/>
      <c r="MA34" s="161"/>
      <c r="MB34" s="161"/>
      <c r="MC34" s="161"/>
      <c r="MD34" s="160"/>
      <c r="ME34" s="160"/>
      <c r="MF34" s="160"/>
      <c r="MG34" s="160"/>
      <c r="MH34" s="160"/>
      <c r="MI34" s="160"/>
      <c r="MJ34" s="160"/>
      <c r="MK34" s="160"/>
      <c r="ML34" s="160"/>
      <c r="MM34" s="160"/>
      <c r="MN34" s="160"/>
      <c r="MO34" s="160"/>
      <c r="MP34" s="160"/>
      <c r="MQ34" s="160"/>
      <c r="MR34" s="160"/>
      <c r="MS34" s="160"/>
      <c r="MT34" s="160"/>
      <c r="MU34" s="160"/>
      <c r="MV34" s="160"/>
      <c r="MW34" s="160"/>
      <c r="MX34" s="160"/>
      <c r="MY34" s="160"/>
      <c r="MZ34" s="160"/>
      <c r="NA34" s="160"/>
      <c r="NB34" s="160"/>
      <c r="NC34" s="160"/>
      <c r="ND34" s="160"/>
      <c r="NE34" s="160"/>
      <c r="NF34" s="160"/>
      <c r="NG34" s="160"/>
      <c r="NH34" s="160"/>
      <c r="NI34" s="160"/>
      <c r="NJ34" s="160"/>
      <c r="NK34" s="160"/>
      <c r="NL34" s="160"/>
      <c r="NM34" s="160"/>
      <c r="NN34" s="160"/>
      <c r="NO34" s="160"/>
      <c r="NP34" s="160"/>
      <c r="NQ34" s="160"/>
      <c r="NR34" s="160"/>
      <c r="NS34" s="160"/>
      <c r="NT34" s="160"/>
      <c r="NU34" s="160"/>
      <c r="NV34" s="160"/>
      <c r="NW34" s="160"/>
      <c r="NX34" s="160"/>
      <c r="NY34" s="160"/>
      <c r="NZ34" s="160"/>
      <c r="OA34" s="160"/>
      <c r="OB34" s="160"/>
      <c r="OC34" s="160"/>
      <c r="OD34" s="160"/>
      <c r="OE34" s="160"/>
      <c r="OF34" s="160"/>
      <c r="OG34" s="160"/>
      <c r="OH34" s="162"/>
      <c r="QQ34" s="152"/>
      <c r="QR34" s="153"/>
    </row>
    <row r="35" spans="3:460" ht="5.0999999999999996" customHeight="1" x14ac:dyDescent="0.3">
      <c r="C35" s="149"/>
      <c r="D35" s="150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W35" s="151"/>
      <c r="AC35" s="151"/>
      <c r="AD35" s="151"/>
      <c r="AF35" s="155"/>
      <c r="ED35" s="155"/>
      <c r="LF35" s="155"/>
      <c r="OH35" s="158"/>
      <c r="QQ35" s="152"/>
      <c r="QR35" s="153"/>
    </row>
    <row r="36" spans="3:460" ht="5.0999999999999996" customHeight="1" x14ac:dyDescent="0.3">
      <c r="C36" s="149"/>
      <c r="D36" s="150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AC36" s="151"/>
      <c r="AD36" s="151"/>
      <c r="AE36" s="151"/>
      <c r="AF36" s="163"/>
      <c r="AG36" s="151"/>
      <c r="AH36" s="151"/>
      <c r="AI36" s="151"/>
      <c r="AJ36" s="151"/>
      <c r="AK36" s="151"/>
      <c r="AL36" s="151"/>
      <c r="AM36" s="151"/>
      <c r="AN36" s="151"/>
      <c r="AO36" s="151"/>
      <c r="AP36" s="151"/>
      <c r="AQ36" s="151"/>
      <c r="AR36" s="151"/>
      <c r="AS36" s="151"/>
      <c r="AT36" s="151"/>
      <c r="AU36" s="151"/>
      <c r="AV36" s="151"/>
      <c r="AW36" s="151"/>
      <c r="AX36" s="151"/>
      <c r="AY36" s="151"/>
      <c r="AZ36" s="151"/>
      <c r="BA36" s="151"/>
      <c r="BB36" s="151"/>
      <c r="BC36" s="151"/>
      <c r="BD36" s="151"/>
      <c r="BI36" s="151"/>
      <c r="BJ36" s="151"/>
      <c r="ED36" s="155"/>
      <c r="LF36" s="155"/>
      <c r="OH36" s="164"/>
      <c r="QQ36" s="152"/>
      <c r="QR36" s="153"/>
    </row>
    <row r="37" spans="3:460" ht="5.0999999999999996" customHeight="1" x14ac:dyDescent="0.3">
      <c r="C37" s="149"/>
      <c r="D37" s="150"/>
      <c r="F37" s="151"/>
      <c r="G37" s="151"/>
      <c r="H37" s="151"/>
      <c r="I37" s="260" t="s">
        <v>264</v>
      </c>
      <c r="J37" s="260"/>
      <c r="K37" s="260"/>
      <c r="L37" s="260"/>
      <c r="M37" s="260"/>
      <c r="N37" s="260"/>
      <c r="O37" s="260"/>
      <c r="P37" s="260"/>
      <c r="Q37" s="260"/>
      <c r="R37" s="260"/>
      <c r="S37" s="260"/>
      <c r="T37" s="260"/>
      <c r="U37" s="260"/>
      <c r="V37" s="260"/>
      <c r="W37" s="260"/>
      <c r="X37" s="260"/>
      <c r="Y37" s="260"/>
      <c r="Z37" s="260"/>
      <c r="AA37" s="260"/>
      <c r="AB37" s="260"/>
      <c r="AC37" s="260"/>
      <c r="AD37" s="260"/>
      <c r="AE37" s="260"/>
      <c r="AF37" s="260"/>
      <c r="AG37" s="260"/>
      <c r="AH37" s="260"/>
      <c r="AI37" s="260"/>
      <c r="AJ37" s="260"/>
      <c r="AK37" s="260"/>
      <c r="AL37" s="260"/>
      <c r="AM37" s="260"/>
      <c r="AN37" s="260"/>
      <c r="AO37" s="260"/>
      <c r="AP37" s="260"/>
      <c r="AQ37" s="260"/>
      <c r="AR37" s="260"/>
      <c r="AS37" s="260"/>
      <c r="AT37" s="260"/>
      <c r="AU37" s="260"/>
      <c r="AV37" s="260"/>
      <c r="AW37" s="260"/>
      <c r="AX37" s="260">
        <f>SUM(AX48:BB96)</f>
        <v>10</v>
      </c>
      <c r="AY37" s="260"/>
      <c r="AZ37" s="260"/>
      <c r="BA37" s="260"/>
      <c r="BB37" s="260"/>
      <c r="BC37" s="151"/>
      <c r="BD37" s="151"/>
      <c r="ED37" s="155"/>
      <c r="LF37" s="155"/>
      <c r="NN37" s="261" t="s">
        <v>265</v>
      </c>
      <c r="NO37" s="262"/>
      <c r="NP37" s="262"/>
      <c r="NQ37" s="262"/>
      <c r="NR37" s="262"/>
      <c r="NS37" s="262"/>
      <c r="NT37" s="262"/>
      <c r="NU37" s="262"/>
      <c r="NV37" s="262"/>
      <c r="NW37" s="262"/>
      <c r="NX37" s="262"/>
      <c r="NY37" s="262"/>
      <c r="NZ37" s="262"/>
      <c r="OA37" s="262"/>
      <c r="OB37" s="262"/>
      <c r="OC37" s="262"/>
      <c r="OD37" s="262"/>
      <c r="OE37" s="262"/>
      <c r="OF37" s="262"/>
      <c r="OG37" s="262"/>
      <c r="OH37" s="262"/>
      <c r="OI37" s="262"/>
      <c r="OJ37" s="262"/>
      <c r="OK37" s="262"/>
      <c r="OL37" s="262"/>
      <c r="OM37" s="262"/>
      <c r="ON37" s="262"/>
      <c r="OO37" s="262"/>
      <c r="OP37" s="262"/>
      <c r="OQ37" s="262"/>
      <c r="OR37" s="262"/>
      <c r="OS37" s="262"/>
      <c r="OT37" s="262"/>
      <c r="OU37" s="262"/>
      <c r="OV37" s="262"/>
      <c r="OW37" s="262"/>
      <c r="OX37" s="262"/>
      <c r="OY37" s="262"/>
      <c r="OZ37" s="262"/>
      <c r="PA37" s="262"/>
      <c r="PB37" s="263"/>
      <c r="PC37" s="261">
        <f>SUM(OD51,QF51,OE65)</f>
        <v>3</v>
      </c>
      <c r="PD37" s="262"/>
      <c r="PE37" s="262"/>
      <c r="PF37" s="262"/>
      <c r="PG37" s="262"/>
      <c r="PH37" s="263"/>
      <c r="QQ37" s="152"/>
      <c r="QR37" s="153"/>
    </row>
    <row r="38" spans="3:460" ht="5.0999999999999996" customHeight="1" x14ac:dyDescent="0.3">
      <c r="C38" s="149"/>
      <c r="D38" s="150"/>
      <c r="F38" s="151"/>
      <c r="G38" s="151"/>
      <c r="H38" s="151"/>
      <c r="I38" s="260"/>
      <c r="J38" s="260"/>
      <c r="K38" s="260"/>
      <c r="L38" s="260"/>
      <c r="M38" s="260"/>
      <c r="N38" s="260"/>
      <c r="O38" s="260"/>
      <c r="P38" s="260"/>
      <c r="Q38" s="260"/>
      <c r="R38" s="260"/>
      <c r="S38" s="260"/>
      <c r="T38" s="260"/>
      <c r="U38" s="260"/>
      <c r="V38" s="260"/>
      <c r="W38" s="260"/>
      <c r="X38" s="260"/>
      <c r="Y38" s="260"/>
      <c r="Z38" s="260"/>
      <c r="AA38" s="260"/>
      <c r="AB38" s="260"/>
      <c r="AC38" s="260"/>
      <c r="AD38" s="260"/>
      <c r="AE38" s="260"/>
      <c r="AF38" s="260"/>
      <c r="AG38" s="260"/>
      <c r="AH38" s="260"/>
      <c r="AI38" s="260"/>
      <c r="AJ38" s="260"/>
      <c r="AK38" s="260"/>
      <c r="AL38" s="260"/>
      <c r="AM38" s="260"/>
      <c r="AN38" s="260"/>
      <c r="AO38" s="260"/>
      <c r="AP38" s="260"/>
      <c r="AQ38" s="260"/>
      <c r="AR38" s="260"/>
      <c r="AS38" s="260"/>
      <c r="AT38" s="260"/>
      <c r="AU38" s="260"/>
      <c r="AV38" s="260"/>
      <c r="AW38" s="260"/>
      <c r="AX38" s="260"/>
      <c r="AY38" s="260"/>
      <c r="AZ38" s="260"/>
      <c r="BA38" s="260"/>
      <c r="BB38" s="260"/>
      <c r="BC38" s="151"/>
      <c r="BD38" s="151"/>
      <c r="ED38" s="155"/>
      <c r="LF38" s="155"/>
      <c r="NN38" s="264"/>
      <c r="NO38" s="255"/>
      <c r="NP38" s="255"/>
      <c r="NQ38" s="255"/>
      <c r="NR38" s="255"/>
      <c r="NS38" s="255"/>
      <c r="NT38" s="255"/>
      <c r="NU38" s="255"/>
      <c r="NV38" s="255"/>
      <c r="NW38" s="255"/>
      <c r="NX38" s="255"/>
      <c r="NY38" s="255"/>
      <c r="NZ38" s="255"/>
      <c r="OA38" s="255"/>
      <c r="OB38" s="255"/>
      <c r="OC38" s="255"/>
      <c r="OD38" s="255"/>
      <c r="OE38" s="255"/>
      <c r="OF38" s="255"/>
      <c r="OG38" s="255"/>
      <c r="OH38" s="255"/>
      <c r="OI38" s="255"/>
      <c r="OJ38" s="255"/>
      <c r="OK38" s="255"/>
      <c r="OL38" s="255"/>
      <c r="OM38" s="255"/>
      <c r="ON38" s="255"/>
      <c r="OO38" s="255"/>
      <c r="OP38" s="255"/>
      <c r="OQ38" s="255"/>
      <c r="OR38" s="255"/>
      <c r="OS38" s="255"/>
      <c r="OT38" s="255"/>
      <c r="OU38" s="255"/>
      <c r="OV38" s="255"/>
      <c r="OW38" s="255"/>
      <c r="OX38" s="255"/>
      <c r="OY38" s="255"/>
      <c r="OZ38" s="255"/>
      <c r="PA38" s="255"/>
      <c r="PB38" s="256"/>
      <c r="PC38" s="264"/>
      <c r="PD38" s="255"/>
      <c r="PE38" s="255"/>
      <c r="PF38" s="255"/>
      <c r="PG38" s="255"/>
      <c r="PH38" s="256"/>
      <c r="QQ38" s="152"/>
      <c r="QR38" s="153"/>
    </row>
    <row r="39" spans="3:460" ht="5.0999999999999996" customHeight="1" x14ac:dyDescent="0.3">
      <c r="C39" s="149"/>
      <c r="D39" s="150"/>
      <c r="F39" s="151"/>
      <c r="G39" s="151"/>
      <c r="H39" s="151"/>
      <c r="I39" s="260"/>
      <c r="J39" s="260"/>
      <c r="K39" s="260"/>
      <c r="L39" s="260"/>
      <c r="M39" s="260"/>
      <c r="N39" s="260"/>
      <c r="O39" s="260"/>
      <c r="P39" s="260"/>
      <c r="Q39" s="260"/>
      <c r="R39" s="260"/>
      <c r="S39" s="260"/>
      <c r="T39" s="260"/>
      <c r="U39" s="260"/>
      <c r="V39" s="260"/>
      <c r="W39" s="260"/>
      <c r="X39" s="260"/>
      <c r="Y39" s="260"/>
      <c r="Z39" s="260"/>
      <c r="AA39" s="260"/>
      <c r="AB39" s="260"/>
      <c r="AC39" s="260"/>
      <c r="AD39" s="260"/>
      <c r="AE39" s="260"/>
      <c r="AF39" s="260"/>
      <c r="AG39" s="260"/>
      <c r="AH39" s="260"/>
      <c r="AI39" s="260"/>
      <c r="AJ39" s="260"/>
      <c r="AK39" s="260"/>
      <c r="AL39" s="260"/>
      <c r="AM39" s="260"/>
      <c r="AN39" s="260"/>
      <c r="AO39" s="260"/>
      <c r="AP39" s="260"/>
      <c r="AQ39" s="260"/>
      <c r="AR39" s="260"/>
      <c r="AS39" s="260"/>
      <c r="AT39" s="260"/>
      <c r="AU39" s="260"/>
      <c r="AV39" s="260"/>
      <c r="AW39" s="260"/>
      <c r="AX39" s="260"/>
      <c r="AY39" s="260"/>
      <c r="AZ39" s="260"/>
      <c r="BA39" s="260"/>
      <c r="BB39" s="260"/>
      <c r="BC39" s="151"/>
      <c r="BD39" s="151"/>
      <c r="ED39" s="155"/>
      <c r="LF39" s="165"/>
      <c r="NN39" s="264"/>
      <c r="NO39" s="255"/>
      <c r="NP39" s="255"/>
      <c r="NQ39" s="255"/>
      <c r="NR39" s="255"/>
      <c r="NS39" s="255"/>
      <c r="NT39" s="255"/>
      <c r="NU39" s="255"/>
      <c r="NV39" s="255"/>
      <c r="NW39" s="255"/>
      <c r="NX39" s="255"/>
      <c r="NY39" s="255"/>
      <c r="NZ39" s="255"/>
      <c r="OA39" s="255"/>
      <c r="OB39" s="255"/>
      <c r="OC39" s="255"/>
      <c r="OD39" s="255"/>
      <c r="OE39" s="255"/>
      <c r="OF39" s="255"/>
      <c r="OG39" s="255"/>
      <c r="OH39" s="255"/>
      <c r="OI39" s="255"/>
      <c r="OJ39" s="255"/>
      <c r="OK39" s="255"/>
      <c r="OL39" s="255"/>
      <c r="OM39" s="255"/>
      <c r="ON39" s="255"/>
      <c r="OO39" s="255"/>
      <c r="OP39" s="255"/>
      <c r="OQ39" s="255"/>
      <c r="OR39" s="255"/>
      <c r="OS39" s="255"/>
      <c r="OT39" s="255"/>
      <c r="OU39" s="255"/>
      <c r="OV39" s="255"/>
      <c r="OW39" s="255"/>
      <c r="OX39" s="255"/>
      <c r="OY39" s="255"/>
      <c r="OZ39" s="255"/>
      <c r="PA39" s="255"/>
      <c r="PB39" s="256"/>
      <c r="PC39" s="264"/>
      <c r="PD39" s="255"/>
      <c r="PE39" s="255"/>
      <c r="PF39" s="255"/>
      <c r="PG39" s="255"/>
      <c r="PH39" s="256"/>
      <c r="QQ39" s="152"/>
      <c r="QR39" s="153"/>
    </row>
    <row r="40" spans="3:460" ht="5.0999999999999996" customHeight="1" x14ac:dyDescent="0.3">
      <c r="C40" s="149"/>
      <c r="D40" s="150"/>
      <c r="F40" s="151"/>
      <c r="G40" s="151"/>
      <c r="H40" s="151"/>
      <c r="I40" s="260"/>
      <c r="J40" s="260"/>
      <c r="K40" s="260"/>
      <c r="L40" s="260"/>
      <c r="M40" s="260"/>
      <c r="N40" s="260"/>
      <c r="O40" s="260"/>
      <c r="P40" s="260"/>
      <c r="Q40" s="260"/>
      <c r="R40" s="260"/>
      <c r="S40" s="260"/>
      <c r="T40" s="260"/>
      <c r="U40" s="260"/>
      <c r="V40" s="260"/>
      <c r="W40" s="260"/>
      <c r="X40" s="260"/>
      <c r="Y40" s="260"/>
      <c r="Z40" s="260"/>
      <c r="AA40" s="260"/>
      <c r="AB40" s="260"/>
      <c r="AC40" s="260"/>
      <c r="AD40" s="260"/>
      <c r="AE40" s="260"/>
      <c r="AF40" s="260"/>
      <c r="AG40" s="260"/>
      <c r="AH40" s="260"/>
      <c r="AI40" s="260"/>
      <c r="AJ40" s="260"/>
      <c r="AK40" s="260"/>
      <c r="AL40" s="260"/>
      <c r="AM40" s="260"/>
      <c r="AN40" s="260"/>
      <c r="AO40" s="260"/>
      <c r="AP40" s="260"/>
      <c r="AQ40" s="260"/>
      <c r="AR40" s="260"/>
      <c r="AS40" s="260"/>
      <c r="AT40" s="260"/>
      <c r="AU40" s="260"/>
      <c r="AV40" s="260"/>
      <c r="AW40" s="260"/>
      <c r="AX40" s="260"/>
      <c r="AY40" s="260"/>
      <c r="AZ40" s="260"/>
      <c r="BA40" s="260"/>
      <c r="BB40" s="260"/>
      <c r="BC40" s="151"/>
      <c r="BD40" s="151"/>
      <c r="ED40" s="155"/>
      <c r="KI40" s="268" t="s">
        <v>266</v>
      </c>
      <c r="KJ40" s="268"/>
      <c r="KK40" s="268"/>
      <c r="KL40" s="268"/>
      <c r="KM40" s="268"/>
      <c r="KN40" s="268"/>
      <c r="KO40" s="268"/>
      <c r="KP40" s="268"/>
      <c r="KQ40" s="268"/>
      <c r="KR40" s="268"/>
      <c r="KS40" s="268"/>
      <c r="KT40" s="268"/>
      <c r="KU40" s="268"/>
      <c r="KV40" s="268"/>
      <c r="KW40" s="268"/>
      <c r="KX40" s="268"/>
      <c r="KY40" s="268"/>
      <c r="KZ40" s="268"/>
      <c r="LA40" s="268"/>
      <c r="LB40" s="268"/>
      <c r="LC40" s="268"/>
      <c r="LD40" s="268"/>
      <c r="LE40" s="268"/>
      <c r="LF40" s="268"/>
      <c r="LG40" s="268"/>
      <c r="LH40" s="268"/>
      <c r="LI40" s="268"/>
      <c r="LJ40" s="268"/>
      <c r="LK40" s="268"/>
      <c r="LL40" s="268"/>
      <c r="LM40" s="268"/>
      <c r="LN40" s="268"/>
      <c r="LO40" s="268"/>
      <c r="LP40" s="268"/>
      <c r="LQ40" s="268"/>
      <c r="LR40" s="268"/>
      <c r="LS40" s="268"/>
      <c r="LT40" s="268"/>
      <c r="LU40" s="268"/>
      <c r="LV40" s="297">
        <f>SUM(LV52,KF81,MD81,OA81)</f>
        <v>49</v>
      </c>
      <c r="LW40" s="298"/>
      <c r="LX40" s="298"/>
      <c r="LY40" s="298"/>
      <c r="LZ40" s="299"/>
      <c r="NN40" s="264"/>
      <c r="NO40" s="255"/>
      <c r="NP40" s="255"/>
      <c r="NQ40" s="255"/>
      <c r="NR40" s="255"/>
      <c r="NS40" s="255"/>
      <c r="NT40" s="255"/>
      <c r="NU40" s="255"/>
      <c r="NV40" s="255"/>
      <c r="NW40" s="255"/>
      <c r="NX40" s="255"/>
      <c r="NY40" s="255"/>
      <c r="NZ40" s="255"/>
      <c r="OA40" s="255"/>
      <c r="OB40" s="255"/>
      <c r="OC40" s="255"/>
      <c r="OD40" s="255"/>
      <c r="OE40" s="255"/>
      <c r="OF40" s="255"/>
      <c r="OG40" s="255"/>
      <c r="OH40" s="255"/>
      <c r="OI40" s="255"/>
      <c r="OJ40" s="255"/>
      <c r="OK40" s="255"/>
      <c r="OL40" s="255"/>
      <c r="OM40" s="255"/>
      <c r="ON40" s="255"/>
      <c r="OO40" s="255"/>
      <c r="OP40" s="255"/>
      <c r="OQ40" s="255"/>
      <c r="OR40" s="255"/>
      <c r="OS40" s="255"/>
      <c r="OT40" s="255"/>
      <c r="OU40" s="255"/>
      <c r="OV40" s="255"/>
      <c r="OW40" s="255"/>
      <c r="OX40" s="255"/>
      <c r="OY40" s="255"/>
      <c r="OZ40" s="255"/>
      <c r="PA40" s="255"/>
      <c r="PB40" s="256"/>
      <c r="PC40" s="264"/>
      <c r="PD40" s="255"/>
      <c r="PE40" s="255"/>
      <c r="PF40" s="255"/>
      <c r="PG40" s="255"/>
      <c r="PH40" s="256"/>
      <c r="QQ40" s="152"/>
      <c r="QR40" s="153"/>
    </row>
    <row r="41" spans="3:460" ht="5.0999999999999996" customHeight="1" x14ac:dyDescent="0.3">
      <c r="C41" s="149"/>
      <c r="D41" s="150"/>
      <c r="F41" s="151"/>
      <c r="G41" s="151"/>
      <c r="H41" s="151"/>
      <c r="I41" s="260"/>
      <c r="J41" s="260"/>
      <c r="K41" s="260"/>
      <c r="L41" s="260"/>
      <c r="M41" s="260"/>
      <c r="N41" s="260"/>
      <c r="O41" s="260"/>
      <c r="P41" s="260"/>
      <c r="Q41" s="260"/>
      <c r="R41" s="260"/>
      <c r="S41" s="260"/>
      <c r="T41" s="260"/>
      <c r="U41" s="260"/>
      <c r="V41" s="260"/>
      <c r="W41" s="260"/>
      <c r="X41" s="260"/>
      <c r="Y41" s="260"/>
      <c r="Z41" s="260"/>
      <c r="AA41" s="260"/>
      <c r="AB41" s="260"/>
      <c r="AC41" s="260"/>
      <c r="AD41" s="260"/>
      <c r="AE41" s="260"/>
      <c r="AF41" s="260"/>
      <c r="AG41" s="260"/>
      <c r="AH41" s="260"/>
      <c r="AI41" s="260"/>
      <c r="AJ41" s="260"/>
      <c r="AK41" s="260"/>
      <c r="AL41" s="260"/>
      <c r="AM41" s="260"/>
      <c r="AN41" s="260"/>
      <c r="AO41" s="260"/>
      <c r="AP41" s="260"/>
      <c r="AQ41" s="260"/>
      <c r="AR41" s="260"/>
      <c r="AS41" s="260"/>
      <c r="AT41" s="260"/>
      <c r="AU41" s="260"/>
      <c r="AV41" s="260"/>
      <c r="AW41" s="260"/>
      <c r="AX41" s="260"/>
      <c r="AY41" s="260"/>
      <c r="AZ41" s="260"/>
      <c r="BA41" s="260"/>
      <c r="BB41" s="260"/>
      <c r="BC41" s="151"/>
      <c r="BD41" s="151"/>
      <c r="ED41" s="155"/>
      <c r="KI41" s="268"/>
      <c r="KJ41" s="268"/>
      <c r="KK41" s="268"/>
      <c r="KL41" s="268"/>
      <c r="KM41" s="268"/>
      <c r="KN41" s="268"/>
      <c r="KO41" s="268"/>
      <c r="KP41" s="268"/>
      <c r="KQ41" s="268"/>
      <c r="KR41" s="268"/>
      <c r="KS41" s="268"/>
      <c r="KT41" s="268"/>
      <c r="KU41" s="268"/>
      <c r="KV41" s="268"/>
      <c r="KW41" s="268"/>
      <c r="KX41" s="268"/>
      <c r="KY41" s="268"/>
      <c r="KZ41" s="268"/>
      <c r="LA41" s="268"/>
      <c r="LB41" s="268"/>
      <c r="LC41" s="268"/>
      <c r="LD41" s="268"/>
      <c r="LE41" s="268"/>
      <c r="LF41" s="268"/>
      <c r="LG41" s="268"/>
      <c r="LH41" s="268"/>
      <c r="LI41" s="268"/>
      <c r="LJ41" s="268"/>
      <c r="LK41" s="268"/>
      <c r="LL41" s="268"/>
      <c r="LM41" s="268"/>
      <c r="LN41" s="268"/>
      <c r="LO41" s="268"/>
      <c r="LP41" s="268"/>
      <c r="LQ41" s="268"/>
      <c r="LR41" s="268"/>
      <c r="LS41" s="268"/>
      <c r="LT41" s="268"/>
      <c r="LU41" s="268"/>
      <c r="LV41" s="300"/>
      <c r="LW41" s="301"/>
      <c r="LX41" s="301"/>
      <c r="LY41" s="301"/>
      <c r="LZ41" s="302"/>
      <c r="NN41" s="264"/>
      <c r="NO41" s="255"/>
      <c r="NP41" s="255"/>
      <c r="NQ41" s="255"/>
      <c r="NR41" s="255"/>
      <c r="NS41" s="255"/>
      <c r="NT41" s="255"/>
      <c r="NU41" s="255"/>
      <c r="NV41" s="255"/>
      <c r="NW41" s="255"/>
      <c r="NX41" s="255"/>
      <c r="NY41" s="255"/>
      <c r="NZ41" s="255"/>
      <c r="OA41" s="255"/>
      <c r="OB41" s="255"/>
      <c r="OC41" s="255"/>
      <c r="OD41" s="255"/>
      <c r="OE41" s="255"/>
      <c r="OF41" s="255"/>
      <c r="OG41" s="255"/>
      <c r="OH41" s="255"/>
      <c r="OI41" s="255"/>
      <c r="OJ41" s="255"/>
      <c r="OK41" s="255"/>
      <c r="OL41" s="255"/>
      <c r="OM41" s="255"/>
      <c r="ON41" s="255"/>
      <c r="OO41" s="255"/>
      <c r="OP41" s="255"/>
      <c r="OQ41" s="255"/>
      <c r="OR41" s="255"/>
      <c r="OS41" s="255"/>
      <c r="OT41" s="255"/>
      <c r="OU41" s="255"/>
      <c r="OV41" s="255"/>
      <c r="OW41" s="255"/>
      <c r="OX41" s="255"/>
      <c r="OY41" s="255"/>
      <c r="OZ41" s="255"/>
      <c r="PA41" s="255"/>
      <c r="PB41" s="256"/>
      <c r="PC41" s="264"/>
      <c r="PD41" s="255"/>
      <c r="PE41" s="255"/>
      <c r="PF41" s="255"/>
      <c r="PG41" s="255"/>
      <c r="PH41" s="256"/>
      <c r="QQ41" s="152"/>
      <c r="QR41" s="153"/>
    </row>
    <row r="42" spans="3:460" ht="5.0999999999999996" customHeight="1" x14ac:dyDescent="0.3">
      <c r="C42" s="149"/>
      <c r="D42" s="150"/>
      <c r="F42" s="151"/>
      <c r="G42" s="151"/>
      <c r="H42" s="151"/>
      <c r="I42" s="260"/>
      <c r="J42" s="260"/>
      <c r="K42" s="260"/>
      <c r="L42" s="260"/>
      <c r="M42" s="260"/>
      <c r="N42" s="260"/>
      <c r="O42" s="260"/>
      <c r="P42" s="260"/>
      <c r="Q42" s="260"/>
      <c r="R42" s="260"/>
      <c r="S42" s="260"/>
      <c r="T42" s="260"/>
      <c r="U42" s="260"/>
      <c r="V42" s="260"/>
      <c r="W42" s="260"/>
      <c r="X42" s="260"/>
      <c r="Y42" s="260"/>
      <c r="Z42" s="260"/>
      <c r="AA42" s="260"/>
      <c r="AB42" s="260"/>
      <c r="AC42" s="260"/>
      <c r="AD42" s="260"/>
      <c r="AE42" s="260"/>
      <c r="AF42" s="260"/>
      <c r="AG42" s="260"/>
      <c r="AH42" s="260"/>
      <c r="AI42" s="260"/>
      <c r="AJ42" s="260"/>
      <c r="AK42" s="260"/>
      <c r="AL42" s="260"/>
      <c r="AM42" s="260"/>
      <c r="AN42" s="260"/>
      <c r="AO42" s="260"/>
      <c r="AP42" s="260"/>
      <c r="AQ42" s="260"/>
      <c r="AR42" s="260"/>
      <c r="AS42" s="260"/>
      <c r="AT42" s="260"/>
      <c r="AU42" s="260"/>
      <c r="AV42" s="260"/>
      <c r="AW42" s="260"/>
      <c r="AX42" s="260"/>
      <c r="AY42" s="260"/>
      <c r="AZ42" s="260"/>
      <c r="BA42" s="260"/>
      <c r="BB42" s="260"/>
      <c r="BC42" s="151"/>
      <c r="BD42" s="151"/>
      <c r="ED42" s="155"/>
      <c r="KI42" s="268"/>
      <c r="KJ42" s="268"/>
      <c r="KK42" s="268"/>
      <c r="KL42" s="268"/>
      <c r="KM42" s="268"/>
      <c r="KN42" s="268"/>
      <c r="KO42" s="268"/>
      <c r="KP42" s="268"/>
      <c r="KQ42" s="268"/>
      <c r="KR42" s="268"/>
      <c r="KS42" s="268"/>
      <c r="KT42" s="268"/>
      <c r="KU42" s="268"/>
      <c r="KV42" s="268"/>
      <c r="KW42" s="268"/>
      <c r="KX42" s="268"/>
      <c r="KY42" s="268"/>
      <c r="KZ42" s="268"/>
      <c r="LA42" s="268"/>
      <c r="LB42" s="268"/>
      <c r="LC42" s="268"/>
      <c r="LD42" s="268"/>
      <c r="LE42" s="268"/>
      <c r="LF42" s="268"/>
      <c r="LG42" s="268"/>
      <c r="LH42" s="268"/>
      <c r="LI42" s="268"/>
      <c r="LJ42" s="268"/>
      <c r="LK42" s="268"/>
      <c r="LL42" s="268"/>
      <c r="LM42" s="268"/>
      <c r="LN42" s="268"/>
      <c r="LO42" s="268"/>
      <c r="LP42" s="268"/>
      <c r="LQ42" s="268"/>
      <c r="LR42" s="268"/>
      <c r="LS42" s="268"/>
      <c r="LT42" s="268"/>
      <c r="LU42" s="268"/>
      <c r="LV42" s="300"/>
      <c r="LW42" s="301"/>
      <c r="LX42" s="301"/>
      <c r="LY42" s="301"/>
      <c r="LZ42" s="302"/>
      <c r="NN42" s="264"/>
      <c r="NO42" s="255"/>
      <c r="NP42" s="255"/>
      <c r="NQ42" s="255"/>
      <c r="NR42" s="255"/>
      <c r="NS42" s="255"/>
      <c r="NT42" s="255"/>
      <c r="NU42" s="255"/>
      <c r="NV42" s="255"/>
      <c r="NW42" s="255"/>
      <c r="NX42" s="255"/>
      <c r="NY42" s="255"/>
      <c r="NZ42" s="255"/>
      <c r="OA42" s="255"/>
      <c r="OB42" s="255"/>
      <c r="OC42" s="255"/>
      <c r="OD42" s="255"/>
      <c r="OE42" s="255"/>
      <c r="OF42" s="255"/>
      <c r="OG42" s="255"/>
      <c r="OH42" s="255"/>
      <c r="OI42" s="255"/>
      <c r="OJ42" s="255"/>
      <c r="OK42" s="255"/>
      <c r="OL42" s="255"/>
      <c r="OM42" s="255"/>
      <c r="ON42" s="255"/>
      <c r="OO42" s="255"/>
      <c r="OP42" s="255"/>
      <c r="OQ42" s="255"/>
      <c r="OR42" s="255"/>
      <c r="OS42" s="255"/>
      <c r="OT42" s="255"/>
      <c r="OU42" s="255"/>
      <c r="OV42" s="255"/>
      <c r="OW42" s="255"/>
      <c r="OX42" s="255"/>
      <c r="OY42" s="255"/>
      <c r="OZ42" s="255"/>
      <c r="PA42" s="255"/>
      <c r="PB42" s="256"/>
      <c r="PC42" s="264"/>
      <c r="PD42" s="255"/>
      <c r="PE42" s="255"/>
      <c r="PF42" s="255"/>
      <c r="PG42" s="255"/>
      <c r="PH42" s="256"/>
      <c r="QQ42" s="152"/>
      <c r="QR42" s="153"/>
    </row>
    <row r="43" spans="3:460" ht="5.0999999999999996" customHeight="1" x14ac:dyDescent="0.3">
      <c r="C43" s="149"/>
      <c r="D43" s="150"/>
      <c r="F43" s="151"/>
      <c r="G43" s="151"/>
      <c r="H43" s="151"/>
      <c r="I43" s="260"/>
      <c r="J43" s="260"/>
      <c r="K43" s="260"/>
      <c r="L43" s="260"/>
      <c r="M43" s="260"/>
      <c r="N43" s="260"/>
      <c r="O43" s="260"/>
      <c r="P43" s="260"/>
      <c r="Q43" s="260"/>
      <c r="R43" s="260"/>
      <c r="S43" s="260"/>
      <c r="T43" s="260"/>
      <c r="U43" s="260"/>
      <c r="V43" s="260"/>
      <c r="W43" s="260"/>
      <c r="X43" s="260"/>
      <c r="Y43" s="260"/>
      <c r="Z43" s="260"/>
      <c r="AA43" s="260"/>
      <c r="AB43" s="260"/>
      <c r="AC43" s="260"/>
      <c r="AD43" s="260"/>
      <c r="AE43" s="260"/>
      <c r="AF43" s="260"/>
      <c r="AG43" s="260"/>
      <c r="AH43" s="260"/>
      <c r="AI43" s="260"/>
      <c r="AJ43" s="260"/>
      <c r="AK43" s="260"/>
      <c r="AL43" s="260"/>
      <c r="AM43" s="260"/>
      <c r="AN43" s="260"/>
      <c r="AO43" s="260"/>
      <c r="AP43" s="260"/>
      <c r="AQ43" s="260"/>
      <c r="AR43" s="260"/>
      <c r="AS43" s="260"/>
      <c r="AT43" s="260"/>
      <c r="AU43" s="260"/>
      <c r="AV43" s="260"/>
      <c r="AW43" s="260"/>
      <c r="AX43" s="260"/>
      <c r="AY43" s="260"/>
      <c r="AZ43" s="260"/>
      <c r="BA43" s="260"/>
      <c r="BB43" s="260"/>
      <c r="BC43" s="151"/>
      <c r="BD43" s="151"/>
      <c r="CB43" s="151"/>
      <c r="CC43" s="151"/>
      <c r="CD43" s="151"/>
      <c r="CE43" s="151"/>
      <c r="CF43" s="151"/>
      <c r="CT43" s="135" t="s">
        <v>267</v>
      </c>
      <c r="ED43" s="155"/>
      <c r="EI43" s="135">
        <v>2</v>
      </c>
      <c r="KI43" s="268"/>
      <c r="KJ43" s="268"/>
      <c r="KK43" s="268"/>
      <c r="KL43" s="268"/>
      <c r="KM43" s="268"/>
      <c r="KN43" s="268"/>
      <c r="KO43" s="268"/>
      <c r="KP43" s="268"/>
      <c r="KQ43" s="268"/>
      <c r="KR43" s="268"/>
      <c r="KS43" s="268"/>
      <c r="KT43" s="268"/>
      <c r="KU43" s="268"/>
      <c r="KV43" s="268"/>
      <c r="KW43" s="268"/>
      <c r="KX43" s="268"/>
      <c r="KY43" s="268"/>
      <c r="KZ43" s="268"/>
      <c r="LA43" s="268"/>
      <c r="LB43" s="268"/>
      <c r="LC43" s="268"/>
      <c r="LD43" s="268"/>
      <c r="LE43" s="268"/>
      <c r="LF43" s="268"/>
      <c r="LG43" s="268"/>
      <c r="LH43" s="268"/>
      <c r="LI43" s="268"/>
      <c r="LJ43" s="268"/>
      <c r="LK43" s="268"/>
      <c r="LL43" s="268"/>
      <c r="LM43" s="268"/>
      <c r="LN43" s="268"/>
      <c r="LO43" s="268"/>
      <c r="LP43" s="268"/>
      <c r="LQ43" s="268"/>
      <c r="LR43" s="268"/>
      <c r="LS43" s="268"/>
      <c r="LT43" s="268"/>
      <c r="LU43" s="268"/>
      <c r="LV43" s="300"/>
      <c r="LW43" s="301"/>
      <c r="LX43" s="301"/>
      <c r="LY43" s="301"/>
      <c r="LZ43" s="302"/>
      <c r="NN43" s="264"/>
      <c r="NO43" s="255"/>
      <c r="NP43" s="255"/>
      <c r="NQ43" s="255"/>
      <c r="NR43" s="255"/>
      <c r="NS43" s="255"/>
      <c r="NT43" s="255"/>
      <c r="NU43" s="255"/>
      <c r="NV43" s="255"/>
      <c r="NW43" s="255"/>
      <c r="NX43" s="255"/>
      <c r="NY43" s="255"/>
      <c r="NZ43" s="255"/>
      <c r="OA43" s="255"/>
      <c r="OB43" s="255"/>
      <c r="OC43" s="255"/>
      <c r="OD43" s="255"/>
      <c r="OE43" s="255"/>
      <c r="OF43" s="255"/>
      <c r="OG43" s="255"/>
      <c r="OH43" s="255"/>
      <c r="OI43" s="255"/>
      <c r="OJ43" s="255"/>
      <c r="OK43" s="255"/>
      <c r="OL43" s="255"/>
      <c r="OM43" s="255"/>
      <c r="ON43" s="255"/>
      <c r="OO43" s="255"/>
      <c r="OP43" s="255"/>
      <c r="OQ43" s="255"/>
      <c r="OR43" s="255"/>
      <c r="OS43" s="255"/>
      <c r="OT43" s="255"/>
      <c r="OU43" s="255"/>
      <c r="OV43" s="255"/>
      <c r="OW43" s="255"/>
      <c r="OX43" s="255"/>
      <c r="OY43" s="255"/>
      <c r="OZ43" s="255"/>
      <c r="PA43" s="255"/>
      <c r="PB43" s="256"/>
      <c r="PC43" s="264"/>
      <c r="PD43" s="255"/>
      <c r="PE43" s="255"/>
      <c r="PF43" s="255"/>
      <c r="PG43" s="255"/>
      <c r="PH43" s="256"/>
      <c r="QQ43" s="152"/>
      <c r="QR43" s="153"/>
    </row>
    <row r="44" spans="3:460" ht="5.0999999999999996" customHeight="1" x14ac:dyDescent="0.3">
      <c r="C44" s="149"/>
      <c r="D44" s="150"/>
      <c r="F44" s="151"/>
      <c r="G44" s="151"/>
      <c r="H44" s="151"/>
      <c r="I44" s="260"/>
      <c r="J44" s="260"/>
      <c r="K44" s="260"/>
      <c r="L44" s="260"/>
      <c r="M44" s="260"/>
      <c r="N44" s="260"/>
      <c r="O44" s="260"/>
      <c r="P44" s="260"/>
      <c r="Q44" s="260"/>
      <c r="R44" s="260"/>
      <c r="S44" s="260"/>
      <c r="T44" s="260"/>
      <c r="U44" s="260"/>
      <c r="V44" s="260"/>
      <c r="W44" s="260"/>
      <c r="X44" s="260"/>
      <c r="Y44" s="260"/>
      <c r="Z44" s="260"/>
      <c r="AA44" s="260"/>
      <c r="AB44" s="260"/>
      <c r="AC44" s="260"/>
      <c r="AD44" s="260"/>
      <c r="AE44" s="260"/>
      <c r="AF44" s="260"/>
      <c r="AG44" s="260"/>
      <c r="AH44" s="260"/>
      <c r="AI44" s="260"/>
      <c r="AJ44" s="260"/>
      <c r="AK44" s="260"/>
      <c r="AL44" s="260"/>
      <c r="AM44" s="260"/>
      <c r="AN44" s="260"/>
      <c r="AO44" s="260"/>
      <c r="AP44" s="260"/>
      <c r="AQ44" s="260"/>
      <c r="AR44" s="260"/>
      <c r="AS44" s="260"/>
      <c r="AT44" s="260"/>
      <c r="AU44" s="260"/>
      <c r="AV44" s="260"/>
      <c r="AW44" s="260"/>
      <c r="AX44" s="260"/>
      <c r="AY44" s="260"/>
      <c r="AZ44" s="260"/>
      <c r="BA44" s="260"/>
      <c r="BB44" s="260"/>
      <c r="BC44" s="151"/>
      <c r="BD44" s="151"/>
      <c r="CB44" s="151"/>
      <c r="CC44" s="151"/>
      <c r="CD44" s="151"/>
      <c r="CE44" s="151"/>
      <c r="CF44" s="151"/>
      <c r="ED44" s="155"/>
      <c r="KI44" s="268"/>
      <c r="KJ44" s="268"/>
      <c r="KK44" s="268"/>
      <c r="KL44" s="268"/>
      <c r="KM44" s="268"/>
      <c r="KN44" s="268"/>
      <c r="KO44" s="268"/>
      <c r="KP44" s="268"/>
      <c r="KQ44" s="268"/>
      <c r="KR44" s="268"/>
      <c r="KS44" s="268"/>
      <c r="KT44" s="268"/>
      <c r="KU44" s="268"/>
      <c r="KV44" s="268"/>
      <c r="KW44" s="268"/>
      <c r="KX44" s="268"/>
      <c r="KY44" s="268"/>
      <c r="KZ44" s="268"/>
      <c r="LA44" s="268"/>
      <c r="LB44" s="268"/>
      <c r="LC44" s="268"/>
      <c r="LD44" s="268"/>
      <c r="LE44" s="268"/>
      <c r="LF44" s="268"/>
      <c r="LG44" s="268"/>
      <c r="LH44" s="268"/>
      <c r="LI44" s="268"/>
      <c r="LJ44" s="268"/>
      <c r="LK44" s="268"/>
      <c r="LL44" s="268"/>
      <c r="LM44" s="268"/>
      <c r="LN44" s="268"/>
      <c r="LO44" s="268"/>
      <c r="LP44" s="268"/>
      <c r="LQ44" s="268"/>
      <c r="LR44" s="268"/>
      <c r="LS44" s="268"/>
      <c r="LT44" s="268"/>
      <c r="LU44" s="268"/>
      <c r="LV44" s="300"/>
      <c r="LW44" s="301"/>
      <c r="LX44" s="301"/>
      <c r="LY44" s="301"/>
      <c r="LZ44" s="302"/>
      <c r="NN44" s="264"/>
      <c r="NO44" s="255"/>
      <c r="NP44" s="255"/>
      <c r="NQ44" s="255"/>
      <c r="NR44" s="255"/>
      <c r="NS44" s="255"/>
      <c r="NT44" s="255"/>
      <c r="NU44" s="255"/>
      <c r="NV44" s="255"/>
      <c r="NW44" s="255"/>
      <c r="NX44" s="255"/>
      <c r="NY44" s="255"/>
      <c r="NZ44" s="255"/>
      <c r="OA44" s="255"/>
      <c r="OB44" s="255"/>
      <c r="OC44" s="255"/>
      <c r="OD44" s="255"/>
      <c r="OE44" s="255"/>
      <c r="OF44" s="255"/>
      <c r="OG44" s="255"/>
      <c r="OH44" s="255"/>
      <c r="OI44" s="255"/>
      <c r="OJ44" s="255"/>
      <c r="OK44" s="255"/>
      <c r="OL44" s="255"/>
      <c r="OM44" s="255"/>
      <c r="ON44" s="255"/>
      <c r="OO44" s="255"/>
      <c r="OP44" s="255"/>
      <c r="OQ44" s="255"/>
      <c r="OR44" s="255"/>
      <c r="OS44" s="255"/>
      <c r="OT44" s="255"/>
      <c r="OU44" s="255"/>
      <c r="OV44" s="255"/>
      <c r="OW44" s="255"/>
      <c r="OX44" s="255"/>
      <c r="OY44" s="255"/>
      <c r="OZ44" s="255"/>
      <c r="PA44" s="255"/>
      <c r="PB44" s="256"/>
      <c r="PC44" s="264"/>
      <c r="PD44" s="255"/>
      <c r="PE44" s="255"/>
      <c r="PF44" s="255"/>
      <c r="PG44" s="255"/>
      <c r="PH44" s="256"/>
      <c r="QQ44" s="152"/>
      <c r="QR44" s="153"/>
    </row>
    <row r="45" spans="3:460" ht="5.0999999999999996" customHeight="1" x14ac:dyDescent="0.3">
      <c r="C45" s="149"/>
      <c r="D45" s="150"/>
      <c r="F45" s="151"/>
      <c r="G45" s="151"/>
      <c r="H45" s="151"/>
      <c r="I45" s="260"/>
      <c r="J45" s="260"/>
      <c r="K45" s="260"/>
      <c r="L45" s="260"/>
      <c r="M45" s="260"/>
      <c r="N45" s="260"/>
      <c r="O45" s="260"/>
      <c r="P45" s="260"/>
      <c r="Q45" s="260"/>
      <c r="R45" s="260"/>
      <c r="S45" s="260"/>
      <c r="T45" s="260"/>
      <c r="U45" s="260"/>
      <c r="V45" s="260"/>
      <c r="W45" s="260"/>
      <c r="X45" s="260"/>
      <c r="Y45" s="260"/>
      <c r="Z45" s="260"/>
      <c r="AA45" s="260"/>
      <c r="AB45" s="260"/>
      <c r="AC45" s="260"/>
      <c r="AD45" s="260"/>
      <c r="AE45" s="260"/>
      <c r="AF45" s="260"/>
      <c r="AG45" s="260"/>
      <c r="AH45" s="260"/>
      <c r="AI45" s="260"/>
      <c r="AJ45" s="260"/>
      <c r="AK45" s="260"/>
      <c r="AL45" s="260"/>
      <c r="AM45" s="260"/>
      <c r="AN45" s="260"/>
      <c r="AO45" s="260"/>
      <c r="AP45" s="260"/>
      <c r="AQ45" s="260"/>
      <c r="AR45" s="260"/>
      <c r="AS45" s="260"/>
      <c r="AT45" s="260"/>
      <c r="AU45" s="260"/>
      <c r="AV45" s="260"/>
      <c r="AW45" s="260"/>
      <c r="AX45" s="260"/>
      <c r="AY45" s="260"/>
      <c r="AZ45" s="260"/>
      <c r="BA45" s="260"/>
      <c r="BB45" s="260"/>
      <c r="CB45" s="151"/>
      <c r="CC45" s="151"/>
      <c r="CD45" s="151"/>
      <c r="CE45" s="151"/>
      <c r="CF45" s="151"/>
      <c r="ED45" s="165"/>
      <c r="EE45" s="166"/>
      <c r="EF45" s="166"/>
      <c r="KI45" s="268"/>
      <c r="KJ45" s="268"/>
      <c r="KK45" s="268"/>
      <c r="KL45" s="268"/>
      <c r="KM45" s="268"/>
      <c r="KN45" s="268"/>
      <c r="KO45" s="268"/>
      <c r="KP45" s="268"/>
      <c r="KQ45" s="268"/>
      <c r="KR45" s="268"/>
      <c r="KS45" s="268"/>
      <c r="KT45" s="268"/>
      <c r="KU45" s="268"/>
      <c r="KV45" s="268"/>
      <c r="KW45" s="268"/>
      <c r="KX45" s="268"/>
      <c r="KY45" s="268"/>
      <c r="KZ45" s="268"/>
      <c r="LA45" s="268"/>
      <c r="LB45" s="268"/>
      <c r="LC45" s="268"/>
      <c r="LD45" s="268"/>
      <c r="LE45" s="268"/>
      <c r="LF45" s="268"/>
      <c r="LG45" s="268"/>
      <c r="LH45" s="268"/>
      <c r="LI45" s="268"/>
      <c r="LJ45" s="268"/>
      <c r="LK45" s="268"/>
      <c r="LL45" s="268"/>
      <c r="LM45" s="268"/>
      <c r="LN45" s="268"/>
      <c r="LO45" s="268"/>
      <c r="LP45" s="268"/>
      <c r="LQ45" s="268"/>
      <c r="LR45" s="268"/>
      <c r="LS45" s="268"/>
      <c r="LT45" s="268"/>
      <c r="LU45" s="268"/>
      <c r="LV45" s="300"/>
      <c r="LW45" s="301"/>
      <c r="LX45" s="301"/>
      <c r="LY45" s="301"/>
      <c r="LZ45" s="302"/>
      <c r="NN45" s="264"/>
      <c r="NO45" s="255"/>
      <c r="NP45" s="255"/>
      <c r="NQ45" s="255"/>
      <c r="NR45" s="255"/>
      <c r="NS45" s="255"/>
      <c r="NT45" s="255"/>
      <c r="NU45" s="255"/>
      <c r="NV45" s="255"/>
      <c r="NW45" s="255"/>
      <c r="NX45" s="255"/>
      <c r="NY45" s="255"/>
      <c r="NZ45" s="255"/>
      <c r="OA45" s="255"/>
      <c r="OB45" s="255"/>
      <c r="OC45" s="255"/>
      <c r="OD45" s="255"/>
      <c r="OE45" s="255"/>
      <c r="OF45" s="255"/>
      <c r="OG45" s="255"/>
      <c r="OH45" s="255"/>
      <c r="OI45" s="255"/>
      <c r="OJ45" s="255"/>
      <c r="OK45" s="255"/>
      <c r="OL45" s="255"/>
      <c r="OM45" s="255"/>
      <c r="ON45" s="255"/>
      <c r="OO45" s="255"/>
      <c r="OP45" s="255"/>
      <c r="OQ45" s="255"/>
      <c r="OR45" s="255"/>
      <c r="OS45" s="255"/>
      <c r="OT45" s="255"/>
      <c r="OU45" s="255"/>
      <c r="OV45" s="255"/>
      <c r="OW45" s="255"/>
      <c r="OX45" s="255"/>
      <c r="OY45" s="255"/>
      <c r="OZ45" s="255"/>
      <c r="PA45" s="255"/>
      <c r="PB45" s="256"/>
      <c r="PC45" s="264"/>
      <c r="PD45" s="255"/>
      <c r="PE45" s="255"/>
      <c r="PF45" s="255"/>
      <c r="PG45" s="255"/>
      <c r="PH45" s="256"/>
      <c r="QQ45" s="152"/>
      <c r="QR45" s="153"/>
    </row>
    <row r="46" spans="3:460" ht="5.0999999999999996" customHeight="1" x14ac:dyDescent="0.3">
      <c r="C46" s="149"/>
      <c r="D46" s="150"/>
      <c r="F46" s="151"/>
      <c r="G46" s="151"/>
      <c r="H46" s="151"/>
      <c r="I46" s="260"/>
      <c r="J46" s="260"/>
      <c r="K46" s="260"/>
      <c r="L46" s="260"/>
      <c r="M46" s="260"/>
      <c r="N46" s="260"/>
      <c r="O46" s="260"/>
      <c r="P46" s="260"/>
      <c r="Q46" s="260"/>
      <c r="R46" s="260"/>
      <c r="S46" s="260"/>
      <c r="T46" s="260"/>
      <c r="U46" s="260"/>
      <c r="V46" s="260"/>
      <c r="W46" s="260"/>
      <c r="X46" s="260"/>
      <c r="Y46" s="260"/>
      <c r="Z46" s="260"/>
      <c r="AA46" s="260"/>
      <c r="AB46" s="260"/>
      <c r="AC46" s="260"/>
      <c r="AD46" s="260"/>
      <c r="AE46" s="260"/>
      <c r="AF46" s="260"/>
      <c r="AG46" s="260"/>
      <c r="AH46" s="260"/>
      <c r="AI46" s="260"/>
      <c r="AJ46" s="260"/>
      <c r="AK46" s="260"/>
      <c r="AL46" s="260"/>
      <c r="AM46" s="260"/>
      <c r="AN46" s="260"/>
      <c r="AO46" s="260"/>
      <c r="AP46" s="260"/>
      <c r="AQ46" s="260"/>
      <c r="AR46" s="260"/>
      <c r="AS46" s="260"/>
      <c r="AT46" s="260"/>
      <c r="AU46" s="260"/>
      <c r="AV46" s="260"/>
      <c r="AW46" s="260"/>
      <c r="AX46" s="260"/>
      <c r="AY46" s="260"/>
      <c r="AZ46" s="260"/>
      <c r="BA46" s="260"/>
      <c r="BB46" s="260"/>
      <c r="CB46" s="151"/>
      <c r="CC46" s="151"/>
      <c r="CD46" s="151"/>
      <c r="CE46" s="151"/>
      <c r="CF46" s="151"/>
      <c r="DI46" s="270" t="s">
        <v>268</v>
      </c>
      <c r="DJ46" s="271"/>
      <c r="DK46" s="271"/>
      <c r="DL46" s="271"/>
      <c r="DM46" s="271"/>
      <c r="DN46" s="271"/>
      <c r="DO46" s="271"/>
      <c r="DP46" s="271"/>
      <c r="DQ46" s="271"/>
      <c r="DR46" s="271"/>
      <c r="DS46" s="271"/>
      <c r="DT46" s="271"/>
      <c r="DU46" s="271"/>
      <c r="DV46" s="271"/>
      <c r="DW46" s="271"/>
      <c r="DX46" s="271"/>
      <c r="DY46" s="271"/>
      <c r="DZ46" s="271"/>
      <c r="EA46" s="271"/>
      <c r="EB46" s="271"/>
      <c r="EC46" s="271"/>
      <c r="ED46" s="271"/>
      <c r="EE46" s="271"/>
      <c r="EF46" s="271"/>
      <c r="EG46" s="271"/>
      <c r="EH46" s="271"/>
      <c r="EI46" s="271"/>
      <c r="EJ46" s="271"/>
      <c r="EK46" s="271"/>
      <c r="EL46" s="271"/>
      <c r="EM46" s="271"/>
      <c r="EN46" s="271"/>
      <c r="EO46" s="271"/>
      <c r="EP46" s="271"/>
      <c r="EQ46" s="271"/>
      <c r="ER46" s="271"/>
      <c r="ES46" s="271"/>
      <c r="ET46" s="271"/>
      <c r="EU46" s="271"/>
      <c r="EV46" s="271"/>
      <c r="EW46" s="306"/>
      <c r="EX46" s="296">
        <v>1</v>
      </c>
      <c r="EY46" s="296"/>
      <c r="EZ46" s="296"/>
      <c r="FA46" s="296"/>
      <c r="KI46" s="268"/>
      <c r="KJ46" s="268"/>
      <c r="KK46" s="268"/>
      <c r="KL46" s="268"/>
      <c r="KM46" s="268"/>
      <c r="KN46" s="268"/>
      <c r="KO46" s="268"/>
      <c r="KP46" s="268"/>
      <c r="KQ46" s="268"/>
      <c r="KR46" s="268"/>
      <c r="KS46" s="268"/>
      <c r="KT46" s="268"/>
      <c r="KU46" s="268"/>
      <c r="KV46" s="268"/>
      <c r="KW46" s="268"/>
      <c r="KX46" s="268"/>
      <c r="KY46" s="268"/>
      <c r="KZ46" s="268"/>
      <c r="LA46" s="268"/>
      <c r="LB46" s="268"/>
      <c r="LC46" s="268"/>
      <c r="LD46" s="268"/>
      <c r="LE46" s="268"/>
      <c r="LF46" s="268"/>
      <c r="LG46" s="268"/>
      <c r="LH46" s="268"/>
      <c r="LI46" s="268"/>
      <c r="LJ46" s="268"/>
      <c r="LK46" s="268"/>
      <c r="LL46" s="268"/>
      <c r="LM46" s="268"/>
      <c r="LN46" s="268"/>
      <c r="LO46" s="268"/>
      <c r="LP46" s="268"/>
      <c r="LQ46" s="268"/>
      <c r="LR46" s="268"/>
      <c r="LS46" s="268"/>
      <c r="LT46" s="268"/>
      <c r="LU46" s="268"/>
      <c r="LV46" s="300"/>
      <c r="LW46" s="301"/>
      <c r="LX46" s="301"/>
      <c r="LY46" s="301"/>
      <c r="LZ46" s="302"/>
      <c r="NN46" s="265"/>
      <c r="NO46" s="266"/>
      <c r="NP46" s="266"/>
      <c r="NQ46" s="266"/>
      <c r="NR46" s="266"/>
      <c r="NS46" s="266"/>
      <c r="NT46" s="266"/>
      <c r="NU46" s="266"/>
      <c r="NV46" s="266"/>
      <c r="NW46" s="266"/>
      <c r="NX46" s="266"/>
      <c r="NY46" s="266"/>
      <c r="NZ46" s="266"/>
      <c r="OA46" s="266"/>
      <c r="OB46" s="266"/>
      <c r="OC46" s="266"/>
      <c r="OD46" s="266"/>
      <c r="OE46" s="266"/>
      <c r="OF46" s="266"/>
      <c r="OG46" s="266"/>
      <c r="OH46" s="266"/>
      <c r="OI46" s="266"/>
      <c r="OJ46" s="266"/>
      <c r="OK46" s="266"/>
      <c r="OL46" s="266"/>
      <c r="OM46" s="266"/>
      <c r="ON46" s="266"/>
      <c r="OO46" s="266"/>
      <c r="OP46" s="266"/>
      <c r="OQ46" s="266"/>
      <c r="OR46" s="266"/>
      <c r="OS46" s="266"/>
      <c r="OT46" s="266"/>
      <c r="OU46" s="266"/>
      <c r="OV46" s="266"/>
      <c r="OW46" s="266"/>
      <c r="OX46" s="266"/>
      <c r="OY46" s="266"/>
      <c r="OZ46" s="266"/>
      <c r="PA46" s="266"/>
      <c r="PB46" s="267"/>
      <c r="PC46" s="265"/>
      <c r="PD46" s="266"/>
      <c r="PE46" s="266"/>
      <c r="PF46" s="266"/>
      <c r="PG46" s="266"/>
      <c r="PH46" s="267"/>
      <c r="QQ46" s="152"/>
      <c r="QR46" s="153"/>
    </row>
    <row r="47" spans="3:460" ht="5.0999999999999996" customHeight="1" x14ac:dyDescent="0.3">
      <c r="C47" s="149"/>
      <c r="D47" s="150"/>
      <c r="F47" s="151"/>
      <c r="G47" s="151"/>
      <c r="H47" s="151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67"/>
      <c r="Y47" s="167"/>
      <c r="Z47" s="167"/>
      <c r="AA47" s="167"/>
      <c r="AB47" s="167"/>
      <c r="AC47" s="167"/>
      <c r="AD47" s="167"/>
      <c r="AE47" s="168"/>
      <c r="CB47" s="151"/>
      <c r="CC47" s="151"/>
      <c r="CD47" s="151"/>
      <c r="CE47" s="151"/>
      <c r="CF47" s="151"/>
      <c r="DI47" s="273"/>
      <c r="DJ47" s="274"/>
      <c r="DK47" s="274"/>
      <c r="DL47" s="274"/>
      <c r="DM47" s="274"/>
      <c r="DN47" s="274"/>
      <c r="DO47" s="274"/>
      <c r="DP47" s="274"/>
      <c r="DQ47" s="274"/>
      <c r="DR47" s="274"/>
      <c r="DS47" s="274"/>
      <c r="DT47" s="274"/>
      <c r="DU47" s="274"/>
      <c r="DV47" s="274"/>
      <c r="DW47" s="274"/>
      <c r="DX47" s="274"/>
      <c r="DY47" s="274"/>
      <c r="DZ47" s="274"/>
      <c r="EA47" s="274"/>
      <c r="EB47" s="274"/>
      <c r="EC47" s="274"/>
      <c r="ED47" s="274"/>
      <c r="EE47" s="274"/>
      <c r="EF47" s="274"/>
      <c r="EG47" s="274"/>
      <c r="EH47" s="274"/>
      <c r="EI47" s="274"/>
      <c r="EJ47" s="274"/>
      <c r="EK47" s="274"/>
      <c r="EL47" s="274"/>
      <c r="EM47" s="274"/>
      <c r="EN47" s="274"/>
      <c r="EO47" s="274"/>
      <c r="EP47" s="274"/>
      <c r="EQ47" s="274"/>
      <c r="ER47" s="274"/>
      <c r="ES47" s="274"/>
      <c r="ET47" s="274"/>
      <c r="EU47" s="274"/>
      <c r="EV47" s="274"/>
      <c r="EW47" s="292"/>
      <c r="EX47" s="296"/>
      <c r="EY47" s="296"/>
      <c r="EZ47" s="296"/>
      <c r="FA47" s="296"/>
      <c r="KI47" s="268"/>
      <c r="KJ47" s="268"/>
      <c r="KK47" s="268"/>
      <c r="KL47" s="268"/>
      <c r="KM47" s="268"/>
      <c r="KN47" s="268"/>
      <c r="KO47" s="268"/>
      <c r="KP47" s="268"/>
      <c r="KQ47" s="268"/>
      <c r="KR47" s="268"/>
      <c r="KS47" s="268"/>
      <c r="KT47" s="268"/>
      <c r="KU47" s="268"/>
      <c r="KV47" s="268"/>
      <c r="KW47" s="268"/>
      <c r="KX47" s="268"/>
      <c r="KY47" s="268"/>
      <c r="KZ47" s="268"/>
      <c r="LA47" s="268"/>
      <c r="LB47" s="268"/>
      <c r="LC47" s="268"/>
      <c r="LD47" s="268"/>
      <c r="LE47" s="268"/>
      <c r="LF47" s="268"/>
      <c r="LG47" s="268"/>
      <c r="LH47" s="268"/>
      <c r="LI47" s="268"/>
      <c r="LJ47" s="268"/>
      <c r="LK47" s="268"/>
      <c r="LL47" s="268"/>
      <c r="LM47" s="268"/>
      <c r="LN47" s="268"/>
      <c r="LO47" s="268"/>
      <c r="LP47" s="268"/>
      <c r="LQ47" s="268"/>
      <c r="LR47" s="268"/>
      <c r="LS47" s="268"/>
      <c r="LT47" s="268"/>
      <c r="LU47" s="268"/>
      <c r="LV47" s="300"/>
      <c r="LW47" s="301"/>
      <c r="LX47" s="301"/>
      <c r="LY47" s="301"/>
      <c r="LZ47" s="302"/>
      <c r="OM47" s="169"/>
      <c r="QQ47" s="152"/>
      <c r="QR47" s="153"/>
    </row>
    <row r="48" spans="3:460" ht="5.0999999999999996" customHeight="1" x14ac:dyDescent="0.3">
      <c r="C48" s="149"/>
      <c r="D48" s="150"/>
      <c r="F48" s="151"/>
      <c r="G48" s="151"/>
      <c r="H48" s="151"/>
      <c r="I48" s="270" t="s">
        <v>389</v>
      </c>
      <c r="J48" s="271"/>
      <c r="K48" s="271"/>
      <c r="L48" s="271"/>
      <c r="M48" s="271"/>
      <c r="N48" s="271"/>
      <c r="O48" s="271"/>
      <c r="P48" s="271"/>
      <c r="Q48" s="271"/>
      <c r="R48" s="271"/>
      <c r="S48" s="271"/>
      <c r="T48" s="271"/>
      <c r="U48" s="271"/>
      <c r="V48" s="271"/>
      <c r="W48" s="271"/>
      <c r="X48" s="271"/>
      <c r="Y48" s="271"/>
      <c r="Z48" s="271"/>
      <c r="AA48" s="271"/>
      <c r="AB48" s="271"/>
      <c r="AC48" s="271"/>
      <c r="AD48" s="271"/>
      <c r="AE48" s="271"/>
      <c r="AF48" s="271"/>
      <c r="AG48" s="271"/>
      <c r="AH48" s="271"/>
      <c r="AI48" s="271"/>
      <c r="AJ48" s="271"/>
      <c r="AK48" s="271"/>
      <c r="AL48" s="271"/>
      <c r="AM48" s="271"/>
      <c r="AN48" s="271"/>
      <c r="AO48" s="271"/>
      <c r="AP48" s="271"/>
      <c r="AQ48" s="271"/>
      <c r="AR48" s="271"/>
      <c r="AS48" s="271"/>
      <c r="AT48" s="271"/>
      <c r="AU48" s="271"/>
      <c r="AV48" s="271"/>
      <c r="AW48" s="272"/>
      <c r="AX48" s="279">
        <v>2</v>
      </c>
      <c r="AY48" s="280"/>
      <c r="AZ48" s="280"/>
      <c r="BA48" s="280"/>
      <c r="BB48" s="281"/>
      <c r="CB48" s="151"/>
      <c r="CC48" s="151"/>
      <c r="CD48" s="151"/>
      <c r="CE48" s="151"/>
      <c r="CF48" s="151"/>
      <c r="DI48" s="273"/>
      <c r="DJ48" s="274"/>
      <c r="DK48" s="274"/>
      <c r="DL48" s="274"/>
      <c r="DM48" s="274"/>
      <c r="DN48" s="274"/>
      <c r="DO48" s="274"/>
      <c r="DP48" s="274"/>
      <c r="DQ48" s="274"/>
      <c r="DR48" s="274"/>
      <c r="DS48" s="274"/>
      <c r="DT48" s="274"/>
      <c r="DU48" s="274"/>
      <c r="DV48" s="274"/>
      <c r="DW48" s="274"/>
      <c r="DX48" s="274"/>
      <c r="DY48" s="274"/>
      <c r="DZ48" s="274"/>
      <c r="EA48" s="274"/>
      <c r="EB48" s="274"/>
      <c r="EC48" s="274"/>
      <c r="ED48" s="274"/>
      <c r="EE48" s="274"/>
      <c r="EF48" s="274"/>
      <c r="EG48" s="274"/>
      <c r="EH48" s="274"/>
      <c r="EI48" s="274"/>
      <c r="EJ48" s="274"/>
      <c r="EK48" s="274"/>
      <c r="EL48" s="274"/>
      <c r="EM48" s="274"/>
      <c r="EN48" s="274"/>
      <c r="EO48" s="274"/>
      <c r="EP48" s="274"/>
      <c r="EQ48" s="274"/>
      <c r="ER48" s="274"/>
      <c r="ES48" s="274"/>
      <c r="ET48" s="274"/>
      <c r="EU48" s="274"/>
      <c r="EV48" s="274"/>
      <c r="EW48" s="292"/>
      <c r="EX48" s="296"/>
      <c r="EY48" s="296"/>
      <c r="EZ48" s="296"/>
      <c r="FA48" s="296"/>
      <c r="KI48" s="268"/>
      <c r="KJ48" s="268"/>
      <c r="KK48" s="268"/>
      <c r="KL48" s="268"/>
      <c r="KM48" s="268"/>
      <c r="KN48" s="268"/>
      <c r="KO48" s="268"/>
      <c r="KP48" s="268"/>
      <c r="KQ48" s="268"/>
      <c r="KR48" s="268"/>
      <c r="KS48" s="268"/>
      <c r="KT48" s="268"/>
      <c r="KU48" s="268"/>
      <c r="KV48" s="268"/>
      <c r="KW48" s="268"/>
      <c r="KX48" s="268"/>
      <c r="KY48" s="268"/>
      <c r="KZ48" s="268"/>
      <c r="LA48" s="268"/>
      <c r="LB48" s="268"/>
      <c r="LC48" s="268"/>
      <c r="LD48" s="268"/>
      <c r="LE48" s="268"/>
      <c r="LF48" s="268"/>
      <c r="LG48" s="268"/>
      <c r="LH48" s="268"/>
      <c r="LI48" s="268"/>
      <c r="LJ48" s="268"/>
      <c r="LK48" s="268"/>
      <c r="LL48" s="268"/>
      <c r="LM48" s="268"/>
      <c r="LN48" s="268"/>
      <c r="LO48" s="268"/>
      <c r="LP48" s="268"/>
      <c r="LQ48" s="268"/>
      <c r="LR48" s="268"/>
      <c r="LS48" s="268"/>
      <c r="LT48" s="268"/>
      <c r="LU48" s="268"/>
      <c r="LV48" s="300"/>
      <c r="LW48" s="301"/>
      <c r="LX48" s="301"/>
      <c r="LY48" s="301"/>
      <c r="LZ48" s="302"/>
      <c r="OM48" s="170"/>
      <c r="QQ48" s="152"/>
      <c r="QR48" s="153"/>
    </row>
    <row r="49" spans="3:465" ht="5.0999999999999996" customHeight="1" x14ac:dyDescent="0.3">
      <c r="C49" s="149"/>
      <c r="D49" s="150"/>
      <c r="F49" s="151"/>
      <c r="G49" s="151"/>
      <c r="H49" s="151"/>
      <c r="I49" s="273"/>
      <c r="J49" s="274"/>
      <c r="K49" s="274"/>
      <c r="L49" s="274"/>
      <c r="M49" s="274"/>
      <c r="N49" s="274"/>
      <c r="O49" s="274"/>
      <c r="P49" s="274"/>
      <c r="Q49" s="274"/>
      <c r="R49" s="274"/>
      <c r="S49" s="274"/>
      <c r="T49" s="274"/>
      <c r="U49" s="274"/>
      <c r="V49" s="274"/>
      <c r="W49" s="274"/>
      <c r="X49" s="274"/>
      <c r="Y49" s="274"/>
      <c r="Z49" s="274"/>
      <c r="AA49" s="274"/>
      <c r="AB49" s="274"/>
      <c r="AC49" s="274"/>
      <c r="AD49" s="274"/>
      <c r="AE49" s="274"/>
      <c r="AF49" s="274"/>
      <c r="AG49" s="274"/>
      <c r="AH49" s="274"/>
      <c r="AI49" s="274"/>
      <c r="AJ49" s="274"/>
      <c r="AK49" s="274"/>
      <c r="AL49" s="274"/>
      <c r="AM49" s="274"/>
      <c r="AN49" s="274"/>
      <c r="AO49" s="274"/>
      <c r="AP49" s="274"/>
      <c r="AQ49" s="274"/>
      <c r="AR49" s="274"/>
      <c r="AS49" s="274"/>
      <c r="AT49" s="274"/>
      <c r="AU49" s="274"/>
      <c r="AV49" s="274"/>
      <c r="AW49" s="275"/>
      <c r="AX49" s="282"/>
      <c r="AY49" s="283"/>
      <c r="AZ49" s="283"/>
      <c r="BA49" s="283"/>
      <c r="BB49" s="284"/>
      <c r="CB49" s="151"/>
      <c r="CC49" s="151"/>
      <c r="CD49" s="151"/>
      <c r="CE49" s="151"/>
      <c r="CF49" s="151"/>
      <c r="DI49" s="273"/>
      <c r="DJ49" s="274"/>
      <c r="DK49" s="274"/>
      <c r="DL49" s="274"/>
      <c r="DM49" s="274"/>
      <c r="DN49" s="274"/>
      <c r="DO49" s="274"/>
      <c r="DP49" s="274"/>
      <c r="DQ49" s="274"/>
      <c r="DR49" s="274"/>
      <c r="DS49" s="274"/>
      <c r="DT49" s="274"/>
      <c r="DU49" s="274"/>
      <c r="DV49" s="274"/>
      <c r="DW49" s="274"/>
      <c r="DX49" s="274"/>
      <c r="DY49" s="274"/>
      <c r="DZ49" s="274"/>
      <c r="EA49" s="274"/>
      <c r="EB49" s="274"/>
      <c r="EC49" s="274"/>
      <c r="ED49" s="274"/>
      <c r="EE49" s="274"/>
      <c r="EF49" s="274"/>
      <c r="EG49" s="274"/>
      <c r="EH49" s="274"/>
      <c r="EI49" s="274"/>
      <c r="EJ49" s="274"/>
      <c r="EK49" s="274"/>
      <c r="EL49" s="274"/>
      <c r="EM49" s="274"/>
      <c r="EN49" s="274"/>
      <c r="EO49" s="274"/>
      <c r="EP49" s="274"/>
      <c r="EQ49" s="274"/>
      <c r="ER49" s="274"/>
      <c r="ES49" s="274"/>
      <c r="ET49" s="274"/>
      <c r="EU49" s="274"/>
      <c r="EV49" s="274"/>
      <c r="EW49" s="292"/>
      <c r="EX49" s="296"/>
      <c r="EY49" s="296"/>
      <c r="EZ49" s="296"/>
      <c r="FA49" s="296"/>
      <c r="KI49" s="268"/>
      <c r="KJ49" s="268"/>
      <c r="KK49" s="268"/>
      <c r="KL49" s="268"/>
      <c r="KM49" s="268"/>
      <c r="KN49" s="268"/>
      <c r="KO49" s="268"/>
      <c r="KP49" s="268"/>
      <c r="KQ49" s="268"/>
      <c r="KR49" s="268"/>
      <c r="KS49" s="268"/>
      <c r="KT49" s="268"/>
      <c r="KU49" s="268"/>
      <c r="KV49" s="268"/>
      <c r="KW49" s="268"/>
      <c r="KX49" s="268"/>
      <c r="KY49" s="268"/>
      <c r="KZ49" s="268"/>
      <c r="LA49" s="268"/>
      <c r="LB49" s="268"/>
      <c r="LC49" s="268"/>
      <c r="LD49" s="268"/>
      <c r="LE49" s="268"/>
      <c r="LF49" s="268"/>
      <c r="LG49" s="268"/>
      <c r="LH49" s="268"/>
      <c r="LI49" s="268"/>
      <c r="LJ49" s="268"/>
      <c r="LK49" s="268"/>
      <c r="LL49" s="268"/>
      <c r="LM49" s="268"/>
      <c r="LN49" s="268"/>
      <c r="LO49" s="268"/>
      <c r="LP49" s="268"/>
      <c r="LQ49" s="268"/>
      <c r="LR49" s="268"/>
      <c r="LS49" s="268"/>
      <c r="LT49" s="268"/>
      <c r="LU49" s="268"/>
      <c r="LV49" s="303"/>
      <c r="LW49" s="304"/>
      <c r="LX49" s="304"/>
      <c r="LY49" s="304"/>
      <c r="LZ49" s="305"/>
      <c r="OM49" s="170"/>
      <c r="QQ49" s="152"/>
      <c r="QR49" s="153"/>
    </row>
    <row r="50" spans="3:465" ht="5.0999999999999996" customHeight="1" x14ac:dyDescent="0.3">
      <c r="C50" s="149"/>
      <c r="D50" s="150"/>
      <c r="I50" s="273"/>
      <c r="J50" s="274"/>
      <c r="K50" s="274"/>
      <c r="L50" s="274"/>
      <c r="M50" s="274"/>
      <c r="N50" s="274"/>
      <c r="O50" s="274"/>
      <c r="P50" s="274"/>
      <c r="Q50" s="274"/>
      <c r="R50" s="274"/>
      <c r="S50" s="274"/>
      <c r="T50" s="274"/>
      <c r="U50" s="274"/>
      <c r="V50" s="274"/>
      <c r="W50" s="274"/>
      <c r="X50" s="274"/>
      <c r="Y50" s="274"/>
      <c r="Z50" s="274"/>
      <c r="AA50" s="274"/>
      <c r="AB50" s="274"/>
      <c r="AC50" s="274"/>
      <c r="AD50" s="274"/>
      <c r="AE50" s="274"/>
      <c r="AF50" s="274"/>
      <c r="AG50" s="274"/>
      <c r="AH50" s="274"/>
      <c r="AI50" s="274"/>
      <c r="AJ50" s="274"/>
      <c r="AK50" s="274"/>
      <c r="AL50" s="274"/>
      <c r="AM50" s="274"/>
      <c r="AN50" s="274"/>
      <c r="AO50" s="274"/>
      <c r="AP50" s="274"/>
      <c r="AQ50" s="274"/>
      <c r="AR50" s="274"/>
      <c r="AS50" s="274"/>
      <c r="AT50" s="274"/>
      <c r="AU50" s="274"/>
      <c r="AV50" s="274"/>
      <c r="AW50" s="275"/>
      <c r="AX50" s="282"/>
      <c r="AY50" s="283"/>
      <c r="AZ50" s="283"/>
      <c r="BA50" s="283"/>
      <c r="BB50" s="284"/>
      <c r="CB50" s="151"/>
      <c r="CC50" s="151"/>
      <c r="CD50" s="151"/>
      <c r="CE50" s="151"/>
      <c r="CF50" s="151"/>
      <c r="DI50" s="273"/>
      <c r="DJ50" s="274"/>
      <c r="DK50" s="274"/>
      <c r="DL50" s="274"/>
      <c r="DM50" s="274"/>
      <c r="DN50" s="274"/>
      <c r="DO50" s="274"/>
      <c r="DP50" s="274"/>
      <c r="DQ50" s="274"/>
      <c r="DR50" s="274"/>
      <c r="DS50" s="274"/>
      <c r="DT50" s="274"/>
      <c r="DU50" s="274"/>
      <c r="DV50" s="274"/>
      <c r="DW50" s="274"/>
      <c r="DX50" s="274"/>
      <c r="DY50" s="274"/>
      <c r="DZ50" s="274"/>
      <c r="EA50" s="274"/>
      <c r="EB50" s="274"/>
      <c r="EC50" s="274"/>
      <c r="ED50" s="274"/>
      <c r="EE50" s="274"/>
      <c r="EF50" s="274"/>
      <c r="EG50" s="274"/>
      <c r="EH50" s="274"/>
      <c r="EI50" s="274"/>
      <c r="EJ50" s="274"/>
      <c r="EK50" s="274"/>
      <c r="EL50" s="274"/>
      <c r="EM50" s="274"/>
      <c r="EN50" s="274"/>
      <c r="EO50" s="274"/>
      <c r="EP50" s="274"/>
      <c r="EQ50" s="274"/>
      <c r="ER50" s="274"/>
      <c r="ES50" s="274"/>
      <c r="ET50" s="274"/>
      <c r="EU50" s="274"/>
      <c r="EV50" s="274"/>
      <c r="EW50" s="292"/>
      <c r="EX50" s="296"/>
      <c r="EY50" s="296"/>
      <c r="EZ50" s="296"/>
      <c r="FA50" s="296"/>
      <c r="LF50" s="155"/>
      <c r="OM50" s="170"/>
      <c r="QQ50" s="152"/>
      <c r="QR50" s="153"/>
    </row>
    <row r="51" spans="3:465" ht="5.0999999999999996" customHeight="1" x14ac:dyDescent="0.3">
      <c r="C51" s="149"/>
      <c r="D51" s="150"/>
      <c r="I51" s="273"/>
      <c r="J51" s="274"/>
      <c r="K51" s="274"/>
      <c r="L51" s="274"/>
      <c r="M51" s="274"/>
      <c r="N51" s="274"/>
      <c r="O51" s="274"/>
      <c r="P51" s="274"/>
      <c r="Q51" s="274"/>
      <c r="R51" s="274"/>
      <c r="S51" s="274"/>
      <c r="T51" s="274"/>
      <c r="U51" s="274"/>
      <c r="V51" s="274"/>
      <c r="W51" s="274"/>
      <c r="X51" s="274"/>
      <c r="Y51" s="274"/>
      <c r="Z51" s="274"/>
      <c r="AA51" s="274"/>
      <c r="AB51" s="274"/>
      <c r="AC51" s="274"/>
      <c r="AD51" s="274"/>
      <c r="AE51" s="274"/>
      <c r="AF51" s="274"/>
      <c r="AG51" s="274"/>
      <c r="AH51" s="274"/>
      <c r="AI51" s="274"/>
      <c r="AJ51" s="274"/>
      <c r="AK51" s="274"/>
      <c r="AL51" s="274"/>
      <c r="AM51" s="274"/>
      <c r="AN51" s="274"/>
      <c r="AO51" s="274"/>
      <c r="AP51" s="274"/>
      <c r="AQ51" s="274"/>
      <c r="AR51" s="274"/>
      <c r="AS51" s="274"/>
      <c r="AT51" s="274"/>
      <c r="AU51" s="274"/>
      <c r="AV51" s="274"/>
      <c r="AW51" s="275"/>
      <c r="AX51" s="282"/>
      <c r="AY51" s="283"/>
      <c r="AZ51" s="283"/>
      <c r="BA51" s="283"/>
      <c r="BB51" s="284"/>
      <c r="DI51" s="273"/>
      <c r="DJ51" s="274"/>
      <c r="DK51" s="274"/>
      <c r="DL51" s="274"/>
      <c r="DM51" s="274"/>
      <c r="DN51" s="274"/>
      <c r="DO51" s="274"/>
      <c r="DP51" s="274"/>
      <c r="DQ51" s="274"/>
      <c r="DR51" s="274"/>
      <c r="DS51" s="274"/>
      <c r="DT51" s="274"/>
      <c r="DU51" s="274"/>
      <c r="DV51" s="274"/>
      <c r="DW51" s="274"/>
      <c r="DX51" s="274"/>
      <c r="DY51" s="274"/>
      <c r="DZ51" s="274"/>
      <c r="EA51" s="274"/>
      <c r="EB51" s="274"/>
      <c r="EC51" s="274"/>
      <c r="ED51" s="274"/>
      <c r="EE51" s="274"/>
      <c r="EF51" s="274"/>
      <c r="EG51" s="274"/>
      <c r="EH51" s="274"/>
      <c r="EI51" s="274"/>
      <c r="EJ51" s="274"/>
      <c r="EK51" s="274"/>
      <c r="EL51" s="274"/>
      <c r="EM51" s="274"/>
      <c r="EN51" s="274"/>
      <c r="EO51" s="274"/>
      <c r="EP51" s="274"/>
      <c r="EQ51" s="274"/>
      <c r="ER51" s="274"/>
      <c r="ES51" s="274"/>
      <c r="ET51" s="274"/>
      <c r="EU51" s="274"/>
      <c r="EV51" s="274"/>
      <c r="EW51" s="292"/>
      <c r="EX51" s="296"/>
      <c r="EY51" s="296"/>
      <c r="EZ51" s="296"/>
      <c r="FA51" s="296"/>
      <c r="LF51" s="155"/>
      <c r="MI51" s="151"/>
      <c r="MJ51" s="151"/>
      <c r="MK51" s="151"/>
      <c r="MO51" s="308" t="s">
        <v>269</v>
      </c>
      <c r="MP51" s="289"/>
      <c r="MQ51" s="289"/>
      <c r="MR51" s="289"/>
      <c r="MS51" s="289"/>
      <c r="MT51" s="289"/>
      <c r="MU51" s="289"/>
      <c r="MV51" s="289"/>
      <c r="MW51" s="289"/>
      <c r="MX51" s="289"/>
      <c r="MY51" s="289"/>
      <c r="MZ51" s="289"/>
      <c r="NA51" s="289"/>
      <c r="NB51" s="289"/>
      <c r="NC51" s="289"/>
      <c r="ND51" s="289"/>
      <c r="NE51" s="289"/>
      <c r="NF51" s="289"/>
      <c r="NG51" s="289"/>
      <c r="NH51" s="289"/>
      <c r="NI51" s="289"/>
      <c r="NJ51" s="289"/>
      <c r="NK51" s="289"/>
      <c r="NL51" s="289"/>
      <c r="NM51" s="289"/>
      <c r="NN51" s="289"/>
      <c r="NO51" s="289"/>
      <c r="NP51" s="289"/>
      <c r="NQ51" s="289"/>
      <c r="NR51" s="289"/>
      <c r="NS51" s="289"/>
      <c r="NT51" s="289"/>
      <c r="NU51" s="289"/>
      <c r="NV51" s="289"/>
      <c r="NW51" s="289"/>
      <c r="NX51" s="289"/>
      <c r="NY51" s="289"/>
      <c r="NZ51" s="289"/>
      <c r="OA51" s="289"/>
      <c r="OB51" s="289"/>
      <c r="OC51" s="290"/>
      <c r="OD51" s="296">
        <v>1</v>
      </c>
      <c r="OE51" s="296"/>
      <c r="OF51" s="296"/>
      <c r="OG51" s="296"/>
      <c r="OH51" s="296"/>
      <c r="OI51" s="296"/>
      <c r="OM51" s="170"/>
      <c r="OQ51" s="309" t="s">
        <v>270</v>
      </c>
      <c r="OR51" s="269"/>
      <c r="OS51" s="269"/>
      <c r="OT51" s="269"/>
      <c r="OU51" s="269"/>
      <c r="OV51" s="269"/>
      <c r="OW51" s="269"/>
      <c r="OX51" s="269"/>
      <c r="OY51" s="269"/>
      <c r="OZ51" s="269"/>
      <c r="PA51" s="269"/>
      <c r="PB51" s="269"/>
      <c r="PC51" s="269"/>
      <c r="PD51" s="269"/>
      <c r="PE51" s="269"/>
      <c r="PF51" s="269"/>
      <c r="PG51" s="269"/>
      <c r="PH51" s="269"/>
      <c r="PI51" s="269"/>
      <c r="PJ51" s="269"/>
      <c r="PK51" s="269"/>
      <c r="PL51" s="269"/>
      <c r="PM51" s="269"/>
      <c r="PN51" s="269"/>
      <c r="PO51" s="269"/>
      <c r="PP51" s="269"/>
      <c r="PQ51" s="269"/>
      <c r="PR51" s="269"/>
      <c r="PS51" s="269"/>
      <c r="PT51" s="269"/>
      <c r="PU51" s="269"/>
      <c r="PV51" s="269"/>
      <c r="PW51" s="269"/>
      <c r="PX51" s="269"/>
      <c r="PY51" s="269"/>
      <c r="PZ51" s="269"/>
      <c r="QA51" s="269"/>
      <c r="QB51" s="269"/>
      <c r="QC51" s="269"/>
      <c r="QD51" s="269"/>
      <c r="QE51" s="269"/>
      <c r="QF51" s="269">
        <v>1</v>
      </c>
      <c r="QG51" s="269"/>
      <c r="QH51" s="269"/>
      <c r="QI51" s="269"/>
      <c r="QJ51" s="269"/>
      <c r="QK51" s="269"/>
      <c r="QQ51" s="152"/>
      <c r="QR51" s="153"/>
    </row>
    <row r="52" spans="3:465" ht="5.0999999999999996" customHeight="1" x14ac:dyDescent="0.3">
      <c r="C52" s="149"/>
      <c r="D52" s="150"/>
      <c r="I52" s="273"/>
      <c r="J52" s="274"/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  <c r="AA52" s="274"/>
      <c r="AB52" s="274"/>
      <c r="AC52" s="274"/>
      <c r="AD52" s="274"/>
      <c r="AE52" s="274"/>
      <c r="AF52" s="274"/>
      <c r="AG52" s="274"/>
      <c r="AH52" s="274"/>
      <c r="AI52" s="274"/>
      <c r="AJ52" s="274"/>
      <c r="AK52" s="274"/>
      <c r="AL52" s="274"/>
      <c r="AM52" s="274"/>
      <c r="AN52" s="274"/>
      <c r="AO52" s="274"/>
      <c r="AP52" s="274"/>
      <c r="AQ52" s="274"/>
      <c r="AR52" s="274"/>
      <c r="AS52" s="274"/>
      <c r="AT52" s="274"/>
      <c r="AU52" s="274"/>
      <c r="AV52" s="274"/>
      <c r="AW52" s="275"/>
      <c r="AX52" s="282"/>
      <c r="AY52" s="283"/>
      <c r="AZ52" s="283"/>
      <c r="BA52" s="283"/>
      <c r="BB52" s="284"/>
      <c r="DI52" s="273"/>
      <c r="DJ52" s="274"/>
      <c r="DK52" s="274"/>
      <c r="DL52" s="274"/>
      <c r="DM52" s="274"/>
      <c r="DN52" s="274"/>
      <c r="DO52" s="274"/>
      <c r="DP52" s="274"/>
      <c r="DQ52" s="274"/>
      <c r="DR52" s="274"/>
      <c r="DS52" s="274"/>
      <c r="DT52" s="274"/>
      <c r="DU52" s="274"/>
      <c r="DV52" s="274"/>
      <c r="DW52" s="274"/>
      <c r="DX52" s="274"/>
      <c r="DY52" s="274"/>
      <c r="DZ52" s="274"/>
      <c r="EA52" s="274"/>
      <c r="EB52" s="274"/>
      <c r="EC52" s="274"/>
      <c r="ED52" s="274"/>
      <c r="EE52" s="274"/>
      <c r="EF52" s="274"/>
      <c r="EG52" s="274"/>
      <c r="EH52" s="274"/>
      <c r="EI52" s="274"/>
      <c r="EJ52" s="274"/>
      <c r="EK52" s="274"/>
      <c r="EL52" s="274"/>
      <c r="EM52" s="274"/>
      <c r="EN52" s="274"/>
      <c r="EO52" s="274"/>
      <c r="EP52" s="274"/>
      <c r="EQ52" s="274"/>
      <c r="ER52" s="274"/>
      <c r="ES52" s="274"/>
      <c r="ET52" s="274"/>
      <c r="EU52" s="274"/>
      <c r="EV52" s="274"/>
      <c r="EW52" s="292"/>
      <c r="EX52" s="296"/>
      <c r="EY52" s="296"/>
      <c r="EZ52" s="296"/>
      <c r="FA52" s="296"/>
      <c r="KI52" s="269" t="s">
        <v>271</v>
      </c>
      <c r="KJ52" s="269"/>
      <c r="KK52" s="269"/>
      <c r="KL52" s="269"/>
      <c r="KM52" s="269"/>
      <c r="KN52" s="269"/>
      <c r="KO52" s="269"/>
      <c r="KP52" s="269"/>
      <c r="KQ52" s="269"/>
      <c r="KR52" s="269"/>
      <c r="KS52" s="269"/>
      <c r="KT52" s="269"/>
      <c r="KU52" s="269"/>
      <c r="KV52" s="269"/>
      <c r="KW52" s="269"/>
      <c r="KX52" s="269"/>
      <c r="KY52" s="269"/>
      <c r="KZ52" s="269"/>
      <c r="LA52" s="269"/>
      <c r="LB52" s="269"/>
      <c r="LC52" s="269"/>
      <c r="LD52" s="269"/>
      <c r="LE52" s="269"/>
      <c r="LF52" s="269"/>
      <c r="LG52" s="269"/>
      <c r="LH52" s="269"/>
      <c r="LI52" s="269"/>
      <c r="LJ52" s="269"/>
      <c r="LK52" s="269"/>
      <c r="LL52" s="269"/>
      <c r="LM52" s="269"/>
      <c r="LN52" s="269"/>
      <c r="LO52" s="269"/>
      <c r="LP52" s="269"/>
      <c r="LQ52" s="269"/>
      <c r="LR52" s="269"/>
      <c r="LS52" s="269"/>
      <c r="LT52" s="269"/>
      <c r="LU52" s="269"/>
      <c r="LV52" s="269">
        <v>2</v>
      </c>
      <c r="LW52" s="269"/>
      <c r="LX52" s="269"/>
      <c r="LY52" s="269"/>
      <c r="LZ52" s="269"/>
      <c r="MI52" s="151"/>
      <c r="MJ52" s="151"/>
      <c r="MK52" s="151"/>
      <c r="MO52" s="291"/>
      <c r="MP52" s="274"/>
      <c r="MQ52" s="274"/>
      <c r="MR52" s="274"/>
      <c r="MS52" s="274"/>
      <c r="MT52" s="274"/>
      <c r="MU52" s="274"/>
      <c r="MV52" s="274"/>
      <c r="MW52" s="274"/>
      <c r="MX52" s="274"/>
      <c r="MY52" s="274"/>
      <c r="MZ52" s="274"/>
      <c r="NA52" s="274"/>
      <c r="NB52" s="274"/>
      <c r="NC52" s="274"/>
      <c r="ND52" s="274"/>
      <c r="NE52" s="274"/>
      <c r="NF52" s="274"/>
      <c r="NG52" s="274"/>
      <c r="NH52" s="274"/>
      <c r="NI52" s="274"/>
      <c r="NJ52" s="274"/>
      <c r="NK52" s="274"/>
      <c r="NL52" s="274"/>
      <c r="NM52" s="274"/>
      <c r="NN52" s="274"/>
      <c r="NO52" s="274"/>
      <c r="NP52" s="274"/>
      <c r="NQ52" s="274"/>
      <c r="NR52" s="274"/>
      <c r="NS52" s="274"/>
      <c r="NT52" s="274"/>
      <c r="NU52" s="274"/>
      <c r="NV52" s="274"/>
      <c r="NW52" s="274"/>
      <c r="NX52" s="274"/>
      <c r="NY52" s="274"/>
      <c r="NZ52" s="274"/>
      <c r="OA52" s="274"/>
      <c r="OB52" s="274"/>
      <c r="OC52" s="292"/>
      <c r="OD52" s="296"/>
      <c r="OE52" s="296"/>
      <c r="OF52" s="296"/>
      <c r="OG52" s="296"/>
      <c r="OH52" s="296"/>
      <c r="OI52" s="296"/>
      <c r="OM52" s="170"/>
      <c r="OQ52" s="269"/>
      <c r="OR52" s="269"/>
      <c r="OS52" s="269"/>
      <c r="OT52" s="269"/>
      <c r="OU52" s="269"/>
      <c r="OV52" s="269"/>
      <c r="OW52" s="269"/>
      <c r="OX52" s="269"/>
      <c r="OY52" s="269"/>
      <c r="OZ52" s="269"/>
      <c r="PA52" s="269"/>
      <c r="PB52" s="269"/>
      <c r="PC52" s="269"/>
      <c r="PD52" s="269"/>
      <c r="PE52" s="269"/>
      <c r="PF52" s="269"/>
      <c r="PG52" s="269"/>
      <c r="PH52" s="269"/>
      <c r="PI52" s="269"/>
      <c r="PJ52" s="269"/>
      <c r="PK52" s="269"/>
      <c r="PL52" s="269"/>
      <c r="PM52" s="269"/>
      <c r="PN52" s="269"/>
      <c r="PO52" s="269"/>
      <c r="PP52" s="269"/>
      <c r="PQ52" s="269"/>
      <c r="PR52" s="269"/>
      <c r="PS52" s="269"/>
      <c r="PT52" s="269"/>
      <c r="PU52" s="269"/>
      <c r="PV52" s="269"/>
      <c r="PW52" s="269"/>
      <c r="PX52" s="269"/>
      <c r="PY52" s="269"/>
      <c r="PZ52" s="269"/>
      <c r="QA52" s="269"/>
      <c r="QB52" s="269"/>
      <c r="QC52" s="269"/>
      <c r="QD52" s="269"/>
      <c r="QE52" s="269"/>
      <c r="QF52" s="269"/>
      <c r="QG52" s="269"/>
      <c r="QH52" s="269"/>
      <c r="QI52" s="269"/>
      <c r="QJ52" s="269"/>
      <c r="QK52" s="269"/>
      <c r="QQ52" s="152"/>
      <c r="QR52" s="153"/>
    </row>
    <row r="53" spans="3:465" ht="5.0999999999999996" customHeight="1" thickBot="1" x14ac:dyDescent="0.35">
      <c r="C53" s="149"/>
      <c r="D53" s="150"/>
      <c r="I53" s="273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4"/>
      <c r="AA53" s="274"/>
      <c r="AB53" s="274"/>
      <c r="AC53" s="274"/>
      <c r="AD53" s="274"/>
      <c r="AE53" s="274"/>
      <c r="AF53" s="274"/>
      <c r="AG53" s="274"/>
      <c r="AH53" s="274"/>
      <c r="AI53" s="274"/>
      <c r="AJ53" s="274"/>
      <c r="AK53" s="274"/>
      <c r="AL53" s="274"/>
      <c r="AM53" s="274"/>
      <c r="AN53" s="274"/>
      <c r="AO53" s="274"/>
      <c r="AP53" s="274"/>
      <c r="AQ53" s="274"/>
      <c r="AR53" s="274"/>
      <c r="AS53" s="274"/>
      <c r="AT53" s="274"/>
      <c r="AU53" s="274"/>
      <c r="AV53" s="274"/>
      <c r="AW53" s="275"/>
      <c r="AX53" s="282"/>
      <c r="AY53" s="283"/>
      <c r="AZ53" s="283"/>
      <c r="BA53" s="283"/>
      <c r="BB53" s="284"/>
      <c r="DI53" s="273"/>
      <c r="DJ53" s="274"/>
      <c r="DK53" s="274"/>
      <c r="DL53" s="274"/>
      <c r="DM53" s="274"/>
      <c r="DN53" s="274"/>
      <c r="DO53" s="274"/>
      <c r="DP53" s="274"/>
      <c r="DQ53" s="274"/>
      <c r="DR53" s="274"/>
      <c r="DS53" s="274"/>
      <c r="DT53" s="274"/>
      <c r="DU53" s="274"/>
      <c r="DV53" s="274"/>
      <c r="DW53" s="274"/>
      <c r="DX53" s="274"/>
      <c r="DY53" s="274"/>
      <c r="DZ53" s="274"/>
      <c r="EA53" s="274"/>
      <c r="EB53" s="274"/>
      <c r="EC53" s="274"/>
      <c r="ED53" s="274"/>
      <c r="EE53" s="274"/>
      <c r="EF53" s="274"/>
      <c r="EG53" s="274"/>
      <c r="EH53" s="274"/>
      <c r="EI53" s="274"/>
      <c r="EJ53" s="274"/>
      <c r="EK53" s="274"/>
      <c r="EL53" s="274"/>
      <c r="EM53" s="274"/>
      <c r="EN53" s="274"/>
      <c r="EO53" s="274"/>
      <c r="EP53" s="274"/>
      <c r="EQ53" s="274"/>
      <c r="ER53" s="274"/>
      <c r="ES53" s="274"/>
      <c r="ET53" s="274"/>
      <c r="EU53" s="274"/>
      <c r="EV53" s="274"/>
      <c r="EW53" s="292"/>
      <c r="EX53" s="296"/>
      <c r="EY53" s="296"/>
      <c r="EZ53" s="296"/>
      <c r="FA53" s="296"/>
      <c r="KI53" s="269"/>
      <c r="KJ53" s="269"/>
      <c r="KK53" s="269"/>
      <c r="KL53" s="269"/>
      <c r="KM53" s="269"/>
      <c r="KN53" s="269"/>
      <c r="KO53" s="269"/>
      <c r="KP53" s="269"/>
      <c r="KQ53" s="269"/>
      <c r="KR53" s="269"/>
      <c r="KS53" s="269"/>
      <c r="KT53" s="269"/>
      <c r="KU53" s="269"/>
      <c r="KV53" s="269"/>
      <c r="KW53" s="269"/>
      <c r="KX53" s="269"/>
      <c r="KY53" s="269"/>
      <c r="KZ53" s="269"/>
      <c r="LA53" s="269"/>
      <c r="LB53" s="269"/>
      <c r="LC53" s="269"/>
      <c r="LD53" s="269"/>
      <c r="LE53" s="269"/>
      <c r="LF53" s="269"/>
      <c r="LG53" s="269"/>
      <c r="LH53" s="269"/>
      <c r="LI53" s="269"/>
      <c r="LJ53" s="269"/>
      <c r="LK53" s="269"/>
      <c r="LL53" s="269"/>
      <c r="LM53" s="269"/>
      <c r="LN53" s="269"/>
      <c r="LO53" s="269"/>
      <c r="LP53" s="269"/>
      <c r="LQ53" s="269"/>
      <c r="LR53" s="269"/>
      <c r="LS53" s="269"/>
      <c r="LT53" s="269"/>
      <c r="LU53" s="269"/>
      <c r="LV53" s="269"/>
      <c r="LW53" s="269"/>
      <c r="LX53" s="269"/>
      <c r="LY53" s="269"/>
      <c r="LZ53" s="269"/>
      <c r="MI53" s="151"/>
      <c r="MJ53" s="151"/>
      <c r="MK53" s="151"/>
      <c r="MO53" s="291"/>
      <c r="MP53" s="274"/>
      <c r="MQ53" s="274"/>
      <c r="MR53" s="274"/>
      <c r="MS53" s="274"/>
      <c r="MT53" s="274"/>
      <c r="MU53" s="274"/>
      <c r="MV53" s="274"/>
      <c r="MW53" s="274"/>
      <c r="MX53" s="274"/>
      <c r="MY53" s="274"/>
      <c r="MZ53" s="274"/>
      <c r="NA53" s="274"/>
      <c r="NB53" s="274"/>
      <c r="NC53" s="274"/>
      <c r="ND53" s="274"/>
      <c r="NE53" s="274"/>
      <c r="NF53" s="274"/>
      <c r="NG53" s="274"/>
      <c r="NH53" s="274"/>
      <c r="NI53" s="274"/>
      <c r="NJ53" s="274"/>
      <c r="NK53" s="274"/>
      <c r="NL53" s="274"/>
      <c r="NM53" s="274"/>
      <c r="NN53" s="274"/>
      <c r="NO53" s="274"/>
      <c r="NP53" s="274"/>
      <c r="NQ53" s="274"/>
      <c r="NR53" s="274"/>
      <c r="NS53" s="274"/>
      <c r="NT53" s="274"/>
      <c r="NU53" s="274"/>
      <c r="NV53" s="274"/>
      <c r="NW53" s="274"/>
      <c r="NX53" s="274"/>
      <c r="NY53" s="274"/>
      <c r="NZ53" s="274"/>
      <c r="OA53" s="274"/>
      <c r="OB53" s="274"/>
      <c r="OC53" s="292"/>
      <c r="OD53" s="296"/>
      <c r="OE53" s="296"/>
      <c r="OF53" s="296"/>
      <c r="OG53" s="296"/>
      <c r="OH53" s="296"/>
      <c r="OI53" s="296"/>
      <c r="OM53" s="170"/>
      <c r="OQ53" s="269"/>
      <c r="OR53" s="269"/>
      <c r="OS53" s="269"/>
      <c r="OT53" s="269"/>
      <c r="OU53" s="269"/>
      <c r="OV53" s="269"/>
      <c r="OW53" s="269"/>
      <c r="OX53" s="269"/>
      <c r="OY53" s="269"/>
      <c r="OZ53" s="269"/>
      <c r="PA53" s="269"/>
      <c r="PB53" s="269"/>
      <c r="PC53" s="269"/>
      <c r="PD53" s="269"/>
      <c r="PE53" s="269"/>
      <c r="PF53" s="269"/>
      <c r="PG53" s="269"/>
      <c r="PH53" s="269"/>
      <c r="PI53" s="269"/>
      <c r="PJ53" s="269"/>
      <c r="PK53" s="269"/>
      <c r="PL53" s="269"/>
      <c r="PM53" s="269"/>
      <c r="PN53" s="269"/>
      <c r="PO53" s="269"/>
      <c r="PP53" s="269"/>
      <c r="PQ53" s="269"/>
      <c r="PR53" s="269"/>
      <c r="PS53" s="269"/>
      <c r="PT53" s="269"/>
      <c r="PU53" s="269"/>
      <c r="PV53" s="269"/>
      <c r="PW53" s="269"/>
      <c r="PX53" s="269"/>
      <c r="PY53" s="269"/>
      <c r="PZ53" s="269"/>
      <c r="QA53" s="269"/>
      <c r="QB53" s="269"/>
      <c r="QC53" s="269"/>
      <c r="QD53" s="269"/>
      <c r="QE53" s="269"/>
      <c r="QF53" s="269"/>
      <c r="QG53" s="269"/>
      <c r="QH53" s="269"/>
      <c r="QI53" s="269"/>
      <c r="QJ53" s="269"/>
      <c r="QK53" s="269"/>
      <c r="QQ53" s="152"/>
      <c r="QR53" s="153"/>
    </row>
    <row r="54" spans="3:465" ht="5.0999999999999996" customHeight="1" x14ac:dyDescent="0.3">
      <c r="C54" s="149"/>
      <c r="D54" s="150"/>
      <c r="I54" s="273"/>
      <c r="J54" s="274"/>
      <c r="K54" s="274"/>
      <c r="L54" s="274"/>
      <c r="M54" s="274"/>
      <c r="N54" s="274"/>
      <c r="O54" s="274"/>
      <c r="P54" s="274"/>
      <c r="Q54" s="274"/>
      <c r="R54" s="274"/>
      <c r="S54" s="274"/>
      <c r="T54" s="274"/>
      <c r="U54" s="274"/>
      <c r="V54" s="274"/>
      <c r="W54" s="274"/>
      <c r="X54" s="274"/>
      <c r="Y54" s="274"/>
      <c r="Z54" s="274"/>
      <c r="AA54" s="274"/>
      <c r="AB54" s="274"/>
      <c r="AC54" s="274"/>
      <c r="AD54" s="274"/>
      <c r="AE54" s="274"/>
      <c r="AF54" s="274"/>
      <c r="AG54" s="274"/>
      <c r="AH54" s="274"/>
      <c r="AI54" s="274"/>
      <c r="AJ54" s="274"/>
      <c r="AK54" s="274"/>
      <c r="AL54" s="274"/>
      <c r="AM54" s="274"/>
      <c r="AN54" s="274"/>
      <c r="AO54" s="274"/>
      <c r="AP54" s="274"/>
      <c r="AQ54" s="274"/>
      <c r="AR54" s="274"/>
      <c r="AS54" s="274"/>
      <c r="AT54" s="274"/>
      <c r="AU54" s="274"/>
      <c r="AV54" s="274"/>
      <c r="AW54" s="275"/>
      <c r="AX54" s="282"/>
      <c r="AY54" s="283"/>
      <c r="AZ54" s="283"/>
      <c r="BA54" s="283"/>
      <c r="BB54" s="284"/>
      <c r="DI54" s="276"/>
      <c r="DJ54" s="277"/>
      <c r="DK54" s="277"/>
      <c r="DL54" s="277"/>
      <c r="DM54" s="277"/>
      <c r="DN54" s="277"/>
      <c r="DO54" s="277"/>
      <c r="DP54" s="277"/>
      <c r="DQ54" s="277"/>
      <c r="DR54" s="277"/>
      <c r="DS54" s="277"/>
      <c r="DT54" s="277"/>
      <c r="DU54" s="277"/>
      <c r="DV54" s="277"/>
      <c r="DW54" s="277"/>
      <c r="DX54" s="277"/>
      <c r="DY54" s="277"/>
      <c r="DZ54" s="277"/>
      <c r="EA54" s="277"/>
      <c r="EB54" s="277"/>
      <c r="EC54" s="277"/>
      <c r="ED54" s="277"/>
      <c r="EE54" s="277"/>
      <c r="EF54" s="277"/>
      <c r="EG54" s="277"/>
      <c r="EH54" s="277"/>
      <c r="EI54" s="277"/>
      <c r="EJ54" s="277"/>
      <c r="EK54" s="277"/>
      <c r="EL54" s="277"/>
      <c r="EM54" s="277"/>
      <c r="EN54" s="277"/>
      <c r="EO54" s="277"/>
      <c r="EP54" s="277"/>
      <c r="EQ54" s="277"/>
      <c r="ER54" s="277"/>
      <c r="ES54" s="277"/>
      <c r="ET54" s="277"/>
      <c r="EU54" s="277"/>
      <c r="EV54" s="277"/>
      <c r="EW54" s="307"/>
      <c r="EX54" s="296"/>
      <c r="EY54" s="296"/>
      <c r="EZ54" s="296"/>
      <c r="FA54" s="296"/>
      <c r="KI54" s="269"/>
      <c r="KJ54" s="269"/>
      <c r="KK54" s="269"/>
      <c r="KL54" s="269"/>
      <c r="KM54" s="269"/>
      <c r="KN54" s="269"/>
      <c r="KO54" s="269"/>
      <c r="KP54" s="269"/>
      <c r="KQ54" s="269"/>
      <c r="KR54" s="269"/>
      <c r="KS54" s="269"/>
      <c r="KT54" s="269"/>
      <c r="KU54" s="269"/>
      <c r="KV54" s="269"/>
      <c r="KW54" s="269"/>
      <c r="KX54" s="269"/>
      <c r="KY54" s="269"/>
      <c r="KZ54" s="269"/>
      <c r="LA54" s="269"/>
      <c r="LB54" s="269"/>
      <c r="LC54" s="269"/>
      <c r="LD54" s="269"/>
      <c r="LE54" s="269"/>
      <c r="LF54" s="269"/>
      <c r="LG54" s="269"/>
      <c r="LH54" s="269"/>
      <c r="LI54" s="269"/>
      <c r="LJ54" s="269"/>
      <c r="LK54" s="269"/>
      <c r="LL54" s="269"/>
      <c r="LM54" s="269"/>
      <c r="LN54" s="269"/>
      <c r="LO54" s="269"/>
      <c r="LP54" s="269"/>
      <c r="LQ54" s="269"/>
      <c r="LR54" s="269"/>
      <c r="LS54" s="269"/>
      <c r="LT54" s="269"/>
      <c r="LU54" s="269"/>
      <c r="LV54" s="269"/>
      <c r="LW54" s="269"/>
      <c r="LX54" s="269"/>
      <c r="LY54" s="269"/>
      <c r="LZ54" s="269"/>
      <c r="MI54" s="151"/>
      <c r="MJ54" s="151"/>
      <c r="MK54" s="151"/>
      <c r="MO54" s="291"/>
      <c r="MP54" s="274"/>
      <c r="MQ54" s="274"/>
      <c r="MR54" s="274"/>
      <c r="MS54" s="274"/>
      <c r="MT54" s="274"/>
      <c r="MU54" s="274"/>
      <c r="MV54" s="274"/>
      <c r="MW54" s="274"/>
      <c r="MX54" s="274"/>
      <c r="MY54" s="274"/>
      <c r="MZ54" s="274"/>
      <c r="NA54" s="274"/>
      <c r="NB54" s="274"/>
      <c r="NC54" s="274"/>
      <c r="ND54" s="274"/>
      <c r="NE54" s="274"/>
      <c r="NF54" s="274"/>
      <c r="NG54" s="274"/>
      <c r="NH54" s="274"/>
      <c r="NI54" s="274"/>
      <c r="NJ54" s="274"/>
      <c r="NK54" s="274"/>
      <c r="NL54" s="274"/>
      <c r="NM54" s="274"/>
      <c r="NN54" s="274"/>
      <c r="NO54" s="274"/>
      <c r="NP54" s="274"/>
      <c r="NQ54" s="274"/>
      <c r="NR54" s="274"/>
      <c r="NS54" s="274"/>
      <c r="NT54" s="274"/>
      <c r="NU54" s="274"/>
      <c r="NV54" s="274"/>
      <c r="NW54" s="274"/>
      <c r="NX54" s="274"/>
      <c r="NY54" s="274"/>
      <c r="NZ54" s="274"/>
      <c r="OA54" s="274"/>
      <c r="OB54" s="274"/>
      <c r="OC54" s="292"/>
      <c r="OD54" s="296"/>
      <c r="OE54" s="296"/>
      <c r="OF54" s="296"/>
      <c r="OG54" s="296"/>
      <c r="OH54" s="296"/>
      <c r="OI54" s="296"/>
      <c r="OJ54" s="171"/>
      <c r="OK54" s="172"/>
      <c r="OL54" s="172"/>
      <c r="OM54" s="172"/>
      <c r="ON54" s="172"/>
      <c r="OO54" s="172"/>
      <c r="OP54" s="172"/>
      <c r="OQ54" s="269"/>
      <c r="OR54" s="269"/>
      <c r="OS54" s="269"/>
      <c r="OT54" s="269"/>
      <c r="OU54" s="269"/>
      <c r="OV54" s="269"/>
      <c r="OW54" s="269"/>
      <c r="OX54" s="269"/>
      <c r="OY54" s="269"/>
      <c r="OZ54" s="269"/>
      <c r="PA54" s="269"/>
      <c r="PB54" s="269"/>
      <c r="PC54" s="269"/>
      <c r="PD54" s="269"/>
      <c r="PE54" s="269"/>
      <c r="PF54" s="269"/>
      <c r="PG54" s="269"/>
      <c r="PH54" s="269"/>
      <c r="PI54" s="269"/>
      <c r="PJ54" s="269"/>
      <c r="PK54" s="269"/>
      <c r="PL54" s="269"/>
      <c r="PM54" s="269"/>
      <c r="PN54" s="269"/>
      <c r="PO54" s="269"/>
      <c r="PP54" s="269"/>
      <c r="PQ54" s="269"/>
      <c r="PR54" s="269"/>
      <c r="PS54" s="269"/>
      <c r="PT54" s="269"/>
      <c r="PU54" s="269"/>
      <c r="PV54" s="269"/>
      <c r="PW54" s="269"/>
      <c r="PX54" s="269"/>
      <c r="PY54" s="269"/>
      <c r="PZ54" s="269"/>
      <c r="QA54" s="269"/>
      <c r="QB54" s="269"/>
      <c r="QC54" s="269"/>
      <c r="QD54" s="269"/>
      <c r="QE54" s="269"/>
      <c r="QF54" s="269"/>
      <c r="QG54" s="269"/>
      <c r="QH54" s="269"/>
      <c r="QI54" s="269"/>
      <c r="QJ54" s="269"/>
      <c r="QK54" s="269"/>
      <c r="QQ54" s="152"/>
      <c r="QR54" s="153"/>
    </row>
    <row r="55" spans="3:465" ht="5.0999999999999996" customHeight="1" x14ac:dyDescent="0.3">
      <c r="C55" s="149"/>
      <c r="D55" s="150"/>
      <c r="I55" s="273"/>
      <c r="J55" s="274"/>
      <c r="K55" s="274"/>
      <c r="L55" s="274"/>
      <c r="M55" s="274"/>
      <c r="N55" s="274"/>
      <c r="O55" s="274"/>
      <c r="P55" s="274"/>
      <c r="Q55" s="274"/>
      <c r="R55" s="274"/>
      <c r="S55" s="274"/>
      <c r="T55" s="274"/>
      <c r="U55" s="274"/>
      <c r="V55" s="274"/>
      <c r="W55" s="274"/>
      <c r="X55" s="274"/>
      <c r="Y55" s="274"/>
      <c r="Z55" s="274"/>
      <c r="AA55" s="274"/>
      <c r="AB55" s="274"/>
      <c r="AC55" s="274"/>
      <c r="AD55" s="274"/>
      <c r="AE55" s="274"/>
      <c r="AF55" s="274"/>
      <c r="AG55" s="274"/>
      <c r="AH55" s="274"/>
      <c r="AI55" s="274"/>
      <c r="AJ55" s="274"/>
      <c r="AK55" s="274"/>
      <c r="AL55" s="274"/>
      <c r="AM55" s="274"/>
      <c r="AN55" s="274"/>
      <c r="AO55" s="274"/>
      <c r="AP55" s="274"/>
      <c r="AQ55" s="274"/>
      <c r="AR55" s="274"/>
      <c r="AS55" s="274"/>
      <c r="AT55" s="274"/>
      <c r="AU55" s="274"/>
      <c r="AV55" s="274"/>
      <c r="AW55" s="275"/>
      <c r="AX55" s="282"/>
      <c r="AY55" s="283"/>
      <c r="AZ55" s="283"/>
      <c r="BA55" s="283"/>
      <c r="BB55" s="284"/>
      <c r="ED55" s="173"/>
      <c r="EE55" s="174"/>
      <c r="EF55" s="174"/>
      <c r="EG55" s="174"/>
      <c r="KI55" s="269"/>
      <c r="KJ55" s="269"/>
      <c r="KK55" s="269"/>
      <c r="KL55" s="269"/>
      <c r="KM55" s="269"/>
      <c r="KN55" s="269"/>
      <c r="KO55" s="269"/>
      <c r="KP55" s="269"/>
      <c r="KQ55" s="269"/>
      <c r="KR55" s="269"/>
      <c r="KS55" s="269"/>
      <c r="KT55" s="269"/>
      <c r="KU55" s="269"/>
      <c r="KV55" s="269"/>
      <c r="KW55" s="269"/>
      <c r="KX55" s="269"/>
      <c r="KY55" s="269"/>
      <c r="KZ55" s="269"/>
      <c r="LA55" s="269"/>
      <c r="LB55" s="269"/>
      <c r="LC55" s="269"/>
      <c r="LD55" s="269"/>
      <c r="LE55" s="269"/>
      <c r="LF55" s="269"/>
      <c r="LG55" s="269"/>
      <c r="LH55" s="269"/>
      <c r="LI55" s="269"/>
      <c r="LJ55" s="269"/>
      <c r="LK55" s="269"/>
      <c r="LL55" s="269"/>
      <c r="LM55" s="269"/>
      <c r="LN55" s="269"/>
      <c r="LO55" s="269"/>
      <c r="LP55" s="269"/>
      <c r="LQ55" s="269"/>
      <c r="LR55" s="269"/>
      <c r="LS55" s="269"/>
      <c r="LT55" s="269"/>
      <c r="LU55" s="269"/>
      <c r="LV55" s="269"/>
      <c r="LW55" s="269"/>
      <c r="LX55" s="269"/>
      <c r="LY55" s="269"/>
      <c r="LZ55" s="269"/>
      <c r="MI55" s="151"/>
      <c r="MJ55" s="151"/>
      <c r="MK55" s="151"/>
      <c r="MO55" s="291"/>
      <c r="MP55" s="274"/>
      <c r="MQ55" s="274"/>
      <c r="MR55" s="274"/>
      <c r="MS55" s="274"/>
      <c r="MT55" s="274"/>
      <c r="MU55" s="274"/>
      <c r="MV55" s="274"/>
      <c r="MW55" s="274"/>
      <c r="MX55" s="274"/>
      <c r="MY55" s="274"/>
      <c r="MZ55" s="274"/>
      <c r="NA55" s="274"/>
      <c r="NB55" s="274"/>
      <c r="NC55" s="274"/>
      <c r="ND55" s="274"/>
      <c r="NE55" s="274"/>
      <c r="NF55" s="274"/>
      <c r="NG55" s="274"/>
      <c r="NH55" s="274"/>
      <c r="NI55" s="274"/>
      <c r="NJ55" s="274"/>
      <c r="NK55" s="274"/>
      <c r="NL55" s="274"/>
      <c r="NM55" s="274"/>
      <c r="NN55" s="274"/>
      <c r="NO55" s="274"/>
      <c r="NP55" s="274"/>
      <c r="NQ55" s="274"/>
      <c r="NR55" s="274"/>
      <c r="NS55" s="274"/>
      <c r="NT55" s="274"/>
      <c r="NU55" s="274"/>
      <c r="NV55" s="274"/>
      <c r="NW55" s="274"/>
      <c r="NX55" s="274"/>
      <c r="NY55" s="274"/>
      <c r="NZ55" s="274"/>
      <c r="OA55" s="274"/>
      <c r="OB55" s="274"/>
      <c r="OC55" s="292"/>
      <c r="OD55" s="296"/>
      <c r="OE55" s="296"/>
      <c r="OF55" s="296"/>
      <c r="OG55" s="296"/>
      <c r="OH55" s="296"/>
      <c r="OI55" s="296"/>
      <c r="OJ55" s="175"/>
      <c r="OQ55" s="269"/>
      <c r="OR55" s="269"/>
      <c r="OS55" s="269"/>
      <c r="OT55" s="269"/>
      <c r="OU55" s="269"/>
      <c r="OV55" s="269"/>
      <c r="OW55" s="269"/>
      <c r="OX55" s="269"/>
      <c r="OY55" s="269"/>
      <c r="OZ55" s="269"/>
      <c r="PA55" s="269"/>
      <c r="PB55" s="269"/>
      <c r="PC55" s="269"/>
      <c r="PD55" s="269"/>
      <c r="PE55" s="269"/>
      <c r="PF55" s="269"/>
      <c r="PG55" s="269"/>
      <c r="PH55" s="269"/>
      <c r="PI55" s="269"/>
      <c r="PJ55" s="269"/>
      <c r="PK55" s="269"/>
      <c r="PL55" s="269"/>
      <c r="PM55" s="269"/>
      <c r="PN55" s="269"/>
      <c r="PO55" s="269"/>
      <c r="PP55" s="269"/>
      <c r="PQ55" s="269"/>
      <c r="PR55" s="269"/>
      <c r="PS55" s="269"/>
      <c r="PT55" s="269"/>
      <c r="PU55" s="269"/>
      <c r="PV55" s="269"/>
      <c r="PW55" s="269"/>
      <c r="PX55" s="269"/>
      <c r="PY55" s="269"/>
      <c r="PZ55" s="269"/>
      <c r="QA55" s="269"/>
      <c r="QB55" s="269"/>
      <c r="QC55" s="269"/>
      <c r="QD55" s="269"/>
      <c r="QE55" s="269"/>
      <c r="QF55" s="269"/>
      <c r="QG55" s="269"/>
      <c r="QH55" s="269"/>
      <c r="QI55" s="269"/>
      <c r="QJ55" s="269"/>
      <c r="QK55" s="269"/>
      <c r="QQ55" s="152"/>
      <c r="QR55" s="153"/>
    </row>
    <row r="56" spans="3:465" ht="5.0999999999999996" customHeight="1" x14ac:dyDescent="0.3">
      <c r="C56" s="149"/>
      <c r="D56" s="150"/>
      <c r="I56" s="273"/>
      <c r="J56" s="274"/>
      <c r="K56" s="274"/>
      <c r="L56" s="274"/>
      <c r="M56" s="274"/>
      <c r="N56" s="274"/>
      <c r="O56" s="274"/>
      <c r="P56" s="274"/>
      <c r="Q56" s="274"/>
      <c r="R56" s="274"/>
      <c r="S56" s="274"/>
      <c r="T56" s="274"/>
      <c r="U56" s="274"/>
      <c r="V56" s="274"/>
      <c r="W56" s="274"/>
      <c r="X56" s="274"/>
      <c r="Y56" s="274"/>
      <c r="Z56" s="274"/>
      <c r="AA56" s="274"/>
      <c r="AB56" s="274"/>
      <c r="AC56" s="274"/>
      <c r="AD56" s="274"/>
      <c r="AE56" s="274"/>
      <c r="AF56" s="274"/>
      <c r="AG56" s="274"/>
      <c r="AH56" s="274"/>
      <c r="AI56" s="274"/>
      <c r="AJ56" s="274"/>
      <c r="AK56" s="274"/>
      <c r="AL56" s="274"/>
      <c r="AM56" s="274"/>
      <c r="AN56" s="274"/>
      <c r="AO56" s="274"/>
      <c r="AP56" s="274"/>
      <c r="AQ56" s="274"/>
      <c r="AR56" s="274"/>
      <c r="AS56" s="274"/>
      <c r="AT56" s="274"/>
      <c r="AU56" s="274"/>
      <c r="AV56" s="274"/>
      <c r="AW56" s="275"/>
      <c r="AX56" s="282"/>
      <c r="AY56" s="283"/>
      <c r="AZ56" s="283"/>
      <c r="BA56" s="283"/>
      <c r="BB56" s="284"/>
      <c r="ED56" s="155"/>
      <c r="KI56" s="269"/>
      <c r="KJ56" s="269"/>
      <c r="KK56" s="269"/>
      <c r="KL56" s="269"/>
      <c r="KM56" s="269"/>
      <c r="KN56" s="269"/>
      <c r="KO56" s="269"/>
      <c r="KP56" s="269"/>
      <c r="KQ56" s="269"/>
      <c r="KR56" s="269"/>
      <c r="KS56" s="269"/>
      <c r="KT56" s="269"/>
      <c r="KU56" s="269"/>
      <c r="KV56" s="269"/>
      <c r="KW56" s="269"/>
      <c r="KX56" s="269"/>
      <c r="KY56" s="269"/>
      <c r="KZ56" s="269"/>
      <c r="LA56" s="269"/>
      <c r="LB56" s="269"/>
      <c r="LC56" s="269"/>
      <c r="LD56" s="269"/>
      <c r="LE56" s="269"/>
      <c r="LF56" s="269"/>
      <c r="LG56" s="269"/>
      <c r="LH56" s="269"/>
      <c r="LI56" s="269"/>
      <c r="LJ56" s="269"/>
      <c r="LK56" s="269"/>
      <c r="LL56" s="269"/>
      <c r="LM56" s="269"/>
      <c r="LN56" s="269"/>
      <c r="LO56" s="269"/>
      <c r="LP56" s="269"/>
      <c r="LQ56" s="269"/>
      <c r="LR56" s="269"/>
      <c r="LS56" s="269"/>
      <c r="LT56" s="269"/>
      <c r="LU56" s="269"/>
      <c r="LV56" s="269"/>
      <c r="LW56" s="269"/>
      <c r="LX56" s="269"/>
      <c r="LY56" s="269"/>
      <c r="LZ56" s="269"/>
      <c r="MI56" s="151"/>
      <c r="MJ56" s="151"/>
      <c r="MK56" s="151"/>
      <c r="MO56" s="291"/>
      <c r="MP56" s="274"/>
      <c r="MQ56" s="274"/>
      <c r="MR56" s="274"/>
      <c r="MS56" s="274"/>
      <c r="MT56" s="274"/>
      <c r="MU56" s="274"/>
      <c r="MV56" s="274"/>
      <c r="MW56" s="274"/>
      <c r="MX56" s="274"/>
      <c r="MY56" s="274"/>
      <c r="MZ56" s="274"/>
      <c r="NA56" s="274"/>
      <c r="NB56" s="274"/>
      <c r="NC56" s="274"/>
      <c r="ND56" s="274"/>
      <c r="NE56" s="274"/>
      <c r="NF56" s="274"/>
      <c r="NG56" s="274"/>
      <c r="NH56" s="274"/>
      <c r="NI56" s="274"/>
      <c r="NJ56" s="274"/>
      <c r="NK56" s="274"/>
      <c r="NL56" s="274"/>
      <c r="NM56" s="274"/>
      <c r="NN56" s="274"/>
      <c r="NO56" s="274"/>
      <c r="NP56" s="274"/>
      <c r="NQ56" s="274"/>
      <c r="NR56" s="274"/>
      <c r="NS56" s="274"/>
      <c r="NT56" s="274"/>
      <c r="NU56" s="274"/>
      <c r="NV56" s="274"/>
      <c r="NW56" s="274"/>
      <c r="NX56" s="274"/>
      <c r="NY56" s="274"/>
      <c r="NZ56" s="274"/>
      <c r="OA56" s="274"/>
      <c r="OB56" s="274"/>
      <c r="OC56" s="292"/>
      <c r="OD56" s="296"/>
      <c r="OE56" s="296"/>
      <c r="OF56" s="296"/>
      <c r="OG56" s="296"/>
      <c r="OH56" s="296"/>
      <c r="OI56" s="296"/>
      <c r="OQ56" s="269"/>
      <c r="OR56" s="269"/>
      <c r="OS56" s="269"/>
      <c r="OT56" s="269"/>
      <c r="OU56" s="269"/>
      <c r="OV56" s="269"/>
      <c r="OW56" s="269"/>
      <c r="OX56" s="269"/>
      <c r="OY56" s="269"/>
      <c r="OZ56" s="269"/>
      <c r="PA56" s="269"/>
      <c r="PB56" s="269"/>
      <c r="PC56" s="269"/>
      <c r="PD56" s="269"/>
      <c r="PE56" s="269"/>
      <c r="PF56" s="269"/>
      <c r="PG56" s="269"/>
      <c r="PH56" s="269"/>
      <c r="PI56" s="269"/>
      <c r="PJ56" s="269"/>
      <c r="PK56" s="269"/>
      <c r="PL56" s="269"/>
      <c r="PM56" s="269"/>
      <c r="PN56" s="269"/>
      <c r="PO56" s="269"/>
      <c r="PP56" s="269"/>
      <c r="PQ56" s="269"/>
      <c r="PR56" s="269"/>
      <c r="PS56" s="269"/>
      <c r="PT56" s="269"/>
      <c r="PU56" s="269"/>
      <c r="PV56" s="269"/>
      <c r="PW56" s="269"/>
      <c r="PX56" s="269"/>
      <c r="PY56" s="269"/>
      <c r="PZ56" s="269"/>
      <c r="QA56" s="269"/>
      <c r="QB56" s="269"/>
      <c r="QC56" s="269"/>
      <c r="QD56" s="269"/>
      <c r="QE56" s="269"/>
      <c r="QF56" s="269"/>
      <c r="QG56" s="269"/>
      <c r="QH56" s="269"/>
      <c r="QI56" s="269"/>
      <c r="QJ56" s="269"/>
      <c r="QK56" s="269"/>
      <c r="QQ56" s="152"/>
      <c r="QR56" s="153"/>
    </row>
    <row r="57" spans="3:465" ht="5.0999999999999996" customHeight="1" x14ac:dyDescent="0.3">
      <c r="C57" s="149"/>
      <c r="D57" s="150"/>
      <c r="I57" s="276"/>
      <c r="J57" s="277"/>
      <c r="K57" s="277"/>
      <c r="L57" s="277"/>
      <c r="M57" s="277"/>
      <c r="N57" s="277"/>
      <c r="O57" s="277"/>
      <c r="P57" s="277"/>
      <c r="Q57" s="277"/>
      <c r="R57" s="277"/>
      <c r="S57" s="277"/>
      <c r="T57" s="277"/>
      <c r="U57" s="277"/>
      <c r="V57" s="277"/>
      <c r="W57" s="277"/>
      <c r="X57" s="277"/>
      <c r="Y57" s="277"/>
      <c r="Z57" s="277"/>
      <c r="AA57" s="277"/>
      <c r="AB57" s="277"/>
      <c r="AC57" s="277"/>
      <c r="AD57" s="277"/>
      <c r="AE57" s="277"/>
      <c r="AF57" s="277"/>
      <c r="AG57" s="277"/>
      <c r="AH57" s="277"/>
      <c r="AI57" s="277"/>
      <c r="AJ57" s="277"/>
      <c r="AK57" s="277"/>
      <c r="AL57" s="277"/>
      <c r="AM57" s="277"/>
      <c r="AN57" s="277"/>
      <c r="AO57" s="277"/>
      <c r="AP57" s="277"/>
      <c r="AQ57" s="277"/>
      <c r="AR57" s="277"/>
      <c r="AS57" s="277"/>
      <c r="AT57" s="277"/>
      <c r="AU57" s="277"/>
      <c r="AV57" s="277"/>
      <c r="AW57" s="278"/>
      <c r="AX57" s="285"/>
      <c r="AY57" s="286"/>
      <c r="AZ57" s="286"/>
      <c r="BA57" s="286"/>
      <c r="BB57" s="287"/>
      <c r="ED57" s="155"/>
      <c r="KI57" s="269"/>
      <c r="KJ57" s="269"/>
      <c r="KK57" s="269"/>
      <c r="KL57" s="269"/>
      <c r="KM57" s="269"/>
      <c r="KN57" s="269"/>
      <c r="KO57" s="269"/>
      <c r="KP57" s="269"/>
      <c r="KQ57" s="269"/>
      <c r="KR57" s="269"/>
      <c r="KS57" s="269"/>
      <c r="KT57" s="269"/>
      <c r="KU57" s="269"/>
      <c r="KV57" s="269"/>
      <c r="KW57" s="269"/>
      <c r="KX57" s="269"/>
      <c r="KY57" s="269"/>
      <c r="KZ57" s="269"/>
      <c r="LA57" s="269"/>
      <c r="LB57" s="269"/>
      <c r="LC57" s="269"/>
      <c r="LD57" s="269"/>
      <c r="LE57" s="269"/>
      <c r="LF57" s="269"/>
      <c r="LG57" s="269"/>
      <c r="LH57" s="269"/>
      <c r="LI57" s="269"/>
      <c r="LJ57" s="269"/>
      <c r="LK57" s="269"/>
      <c r="LL57" s="269"/>
      <c r="LM57" s="269"/>
      <c r="LN57" s="269"/>
      <c r="LO57" s="269"/>
      <c r="LP57" s="269"/>
      <c r="LQ57" s="269"/>
      <c r="LR57" s="269"/>
      <c r="LS57" s="269"/>
      <c r="LT57" s="269"/>
      <c r="LU57" s="269"/>
      <c r="LV57" s="269"/>
      <c r="LW57" s="269"/>
      <c r="LX57" s="269"/>
      <c r="LY57" s="269"/>
      <c r="LZ57" s="269"/>
      <c r="MI57" s="151"/>
      <c r="MJ57" s="151"/>
      <c r="MK57" s="151"/>
      <c r="MO57" s="291"/>
      <c r="MP57" s="274"/>
      <c r="MQ57" s="274"/>
      <c r="MR57" s="274"/>
      <c r="MS57" s="274"/>
      <c r="MT57" s="274"/>
      <c r="MU57" s="274"/>
      <c r="MV57" s="274"/>
      <c r="MW57" s="274"/>
      <c r="MX57" s="274"/>
      <c r="MY57" s="274"/>
      <c r="MZ57" s="274"/>
      <c r="NA57" s="274"/>
      <c r="NB57" s="274"/>
      <c r="NC57" s="274"/>
      <c r="ND57" s="274"/>
      <c r="NE57" s="274"/>
      <c r="NF57" s="274"/>
      <c r="NG57" s="274"/>
      <c r="NH57" s="274"/>
      <c r="NI57" s="274"/>
      <c r="NJ57" s="274"/>
      <c r="NK57" s="274"/>
      <c r="NL57" s="274"/>
      <c r="NM57" s="274"/>
      <c r="NN57" s="274"/>
      <c r="NO57" s="274"/>
      <c r="NP57" s="274"/>
      <c r="NQ57" s="274"/>
      <c r="NR57" s="274"/>
      <c r="NS57" s="274"/>
      <c r="NT57" s="274"/>
      <c r="NU57" s="274"/>
      <c r="NV57" s="274"/>
      <c r="NW57" s="274"/>
      <c r="NX57" s="274"/>
      <c r="NY57" s="274"/>
      <c r="NZ57" s="274"/>
      <c r="OA57" s="274"/>
      <c r="OB57" s="274"/>
      <c r="OC57" s="292"/>
      <c r="OD57" s="296"/>
      <c r="OE57" s="296"/>
      <c r="OF57" s="296"/>
      <c r="OG57" s="296"/>
      <c r="OH57" s="296"/>
      <c r="OI57" s="296"/>
      <c r="OQ57" s="269"/>
      <c r="OR57" s="269"/>
      <c r="OS57" s="269"/>
      <c r="OT57" s="269"/>
      <c r="OU57" s="269"/>
      <c r="OV57" s="269"/>
      <c r="OW57" s="269"/>
      <c r="OX57" s="269"/>
      <c r="OY57" s="269"/>
      <c r="OZ57" s="269"/>
      <c r="PA57" s="269"/>
      <c r="PB57" s="269"/>
      <c r="PC57" s="269"/>
      <c r="PD57" s="269"/>
      <c r="PE57" s="269"/>
      <c r="PF57" s="269"/>
      <c r="PG57" s="269"/>
      <c r="PH57" s="269"/>
      <c r="PI57" s="269"/>
      <c r="PJ57" s="269"/>
      <c r="PK57" s="269"/>
      <c r="PL57" s="269"/>
      <c r="PM57" s="269"/>
      <c r="PN57" s="269"/>
      <c r="PO57" s="269"/>
      <c r="PP57" s="269"/>
      <c r="PQ57" s="269"/>
      <c r="PR57" s="269"/>
      <c r="PS57" s="269"/>
      <c r="PT57" s="269"/>
      <c r="PU57" s="269"/>
      <c r="PV57" s="269"/>
      <c r="PW57" s="269"/>
      <c r="PX57" s="269"/>
      <c r="PY57" s="269"/>
      <c r="PZ57" s="269"/>
      <c r="QA57" s="269"/>
      <c r="QB57" s="269"/>
      <c r="QC57" s="269"/>
      <c r="QD57" s="269"/>
      <c r="QE57" s="269"/>
      <c r="QF57" s="269"/>
      <c r="QG57" s="269"/>
      <c r="QH57" s="269"/>
      <c r="QI57" s="269"/>
      <c r="QJ57" s="269"/>
      <c r="QK57" s="269"/>
      <c r="QQ57" s="152"/>
      <c r="QR57" s="153"/>
    </row>
    <row r="58" spans="3:465" ht="5.0999999999999996" customHeight="1" x14ac:dyDescent="0.3">
      <c r="C58" s="149"/>
      <c r="D58" s="150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67"/>
      <c r="AA58" s="167"/>
      <c r="AB58" s="167"/>
      <c r="AC58" s="167"/>
      <c r="AD58" s="167"/>
      <c r="AE58" s="168"/>
      <c r="ED58" s="155"/>
      <c r="KI58" s="269"/>
      <c r="KJ58" s="269"/>
      <c r="KK58" s="269"/>
      <c r="KL58" s="269"/>
      <c r="KM58" s="269"/>
      <c r="KN58" s="269"/>
      <c r="KO58" s="269"/>
      <c r="KP58" s="269"/>
      <c r="KQ58" s="269"/>
      <c r="KR58" s="269"/>
      <c r="KS58" s="269"/>
      <c r="KT58" s="269"/>
      <c r="KU58" s="269"/>
      <c r="KV58" s="269"/>
      <c r="KW58" s="269"/>
      <c r="KX58" s="269"/>
      <c r="KY58" s="269"/>
      <c r="KZ58" s="269"/>
      <c r="LA58" s="269"/>
      <c r="LB58" s="269"/>
      <c r="LC58" s="269"/>
      <c r="LD58" s="269"/>
      <c r="LE58" s="269"/>
      <c r="LF58" s="269"/>
      <c r="LG58" s="269"/>
      <c r="LH58" s="269"/>
      <c r="LI58" s="269"/>
      <c r="LJ58" s="269"/>
      <c r="LK58" s="269"/>
      <c r="LL58" s="269"/>
      <c r="LM58" s="269"/>
      <c r="LN58" s="269"/>
      <c r="LO58" s="269"/>
      <c r="LP58" s="269"/>
      <c r="LQ58" s="269"/>
      <c r="LR58" s="269"/>
      <c r="LS58" s="269"/>
      <c r="LT58" s="269"/>
      <c r="LU58" s="269"/>
      <c r="LV58" s="269"/>
      <c r="LW58" s="269"/>
      <c r="LX58" s="269"/>
      <c r="LY58" s="269"/>
      <c r="LZ58" s="269"/>
      <c r="MO58" s="291"/>
      <c r="MP58" s="274"/>
      <c r="MQ58" s="274"/>
      <c r="MR58" s="274"/>
      <c r="MS58" s="274"/>
      <c r="MT58" s="274"/>
      <c r="MU58" s="274"/>
      <c r="MV58" s="274"/>
      <c r="MW58" s="274"/>
      <c r="MX58" s="274"/>
      <c r="MY58" s="274"/>
      <c r="MZ58" s="274"/>
      <c r="NA58" s="274"/>
      <c r="NB58" s="274"/>
      <c r="NC58" s="274"/>
      <c r="ND58" s="274"/>
      <c r="NE58" s="274"/>
      <c r="NF58" s="274"/>
      <c r="NG58" s="274"/>
      <c r="NH58" s="274"/>
      <c r="NI58" s="274"/>
      <c r="NJ58" s="274"/>
      <c r="NK58" s="274"/>
      <c r="NL58" s="274"/>
      <c r="NM58" s="274"/>
      <c r="NN58" s="274"/>
      <c r="NO58" s="274"/>
      <c r="NP58" s="274"/>
      <c r="NQ58" s="274"/>
      <c r="NR58" s="274"/>
      <c r="NS58" s="274"/>
      <c r="NT58" s="274"/>
      <c r="NU58" s="274"/>
      <c r="NV58" s="274"/>
      <c r="NW58" s="274"/>
      <c r="NX58" s="274"/>
      <c r="NY58" s="274"/>
      <c r="NZ58" s="274"/>
      <c r="OA58" s="274"/>
      <c r="OB58" s="274"/>
      <c r="OC58" s="292"/>
      <c r="OD58" s="296"/>
      <c r="OE58" s="296"/>
      <c r="OF58" s="296"/>
      <c r="OG58" s="296"/>
      <c r="OH58" s="296"/>
      <c r="OI58" s="296"/>
      <c r="OQ58" s="269"/>
      <c r="OR58" s="269"/>
      <c r="OS58" s="269"/>
      <c r="OT58" s="269"/>
      <c r="OU58" s="269"/>
      <c r="OV58" s="269"/>
      <c r="OW58" s="269"/>
      <c r="OX58" s="269"/>
      <c r="OY58" s="269"/>
      <c r="OZ58" s="269"/>
      <c r="PA58" s="269"/>
      <c r="PB58" s="269"/>
      <c r="PC58" s="269"/>
      <c r="PD58" s="269"/>
      <c r="PE58" s="269"/>
      <c r="PF58" s="269"/>
      <c r="PG58" s="269"/>
      <c r="PH58" s="269"/>
      <c r="PI58" s="269"/>
      <c r="PJ58" s="269"/>
      <c r="PK58" s="269"/>
      <c r="PL58" s="269"/>
      <c r="PM58" s="269"/>
      <c r="PN58" s="269"/>
      <c r="PO58" s="269"/>
      <c r="PP58" s="269"/>
      <c r="PQ58" s="269"/>
      <c r="PR58" s="269"/>
      <c r="PS58" s="269"/>
      <c r="PT58" s="269"/>
      <c r="PU58" s="269"/>
      <c r="PV58" s="269"/>
      <c r="PW58" s="269"/>
      <c r="PX58" s="269"/>
      <c r="PY58" s="269"/>
      <c r="PZ58" s="269"/>
      <c r="QA58" s="269"/>
      <c r="QB58" s="269"/>
      <c r="QC58" s="269"/>
      <c r="QD58" s="269"/>
      <c r="QE58" s="269"/>
      <c r="QF58" s="269"/>
      <c r="QG58" s="269"/>
      <c r="QH58" s="269"/>
      <c r="QI58" s="269"/>
      <c r="QJ58" s="269"/>
      <c r="QK58" s="269"/>
      <c r="QQ58" s="152"/>
      <c r="QR58" s="153"/>
    </row>
    <row r="59" spans="3:465" ht="5.0999999999999996" customHeight="1" x14ac:dyDescent="0.3">
      <c r="C59" s="149"/>
      <c r="D59" s="150"/>
      <c r="I59" s="270" t="s">
        <v>320</v>
      </c>
      <c r="J59" s="271"/>
      <c r="K59" s="271"/>
      <c r="L59" s="271"/>
      <c r="M59" s="271"/>
      <c r="N59" s="271"/>
      <c r="O59" s="271"/>
      <c r="P59" s="271"/>
      <c r="Q59" s="271"/>
      <c r="R59" s="271"/>
      <c r="S59" s="271"/>
      <c r="T59" s="271"/>
      <c r="U59" s="271"/>
      <c r="V59" s="271"/>
      <c r="W59" s="271"/>
      <c r="X59" s="271"/>
      <c r="Y59" s="271"/>
      <c r="Z59" s="271"/>
      <c r="AA59" s="271"/>
      <c r="AB59" s="271"/>
      <c r="AC59" s="271"/>
      <c r="AD59" s="271"/>
      <c r="AE59" s="271"/>
      <c r="AF59" s="271"/>
      <c r="AG59" s="271"/>
      <c r="AH59" s="271"/>
      <c r="AI59" s="271"/>
      <c r="AJ59" s="271"/>
      <c r="AK59" s="271"/>
      <c r="AL59" s="271"/>
      <c r="AM59" s="271"/>
      <c r="AN59" s="271"/>
      <c r="AO59" s="271"/>
      <c r="AP59" s="271"/>
      <c r="AQ59" s="271"/>
      <c r="AR59" s="271"/>
      <c r="AS59" s="271"/>
      <c r="AT59" s="271"/>
      <c r="AU59" s="271"/>
      <c r="AV59" s="271"/>
      <c r="AW59" s="272"/>
      <c r="AX59" s="279">
        <v>2</v>
      </c>
      <c r="AY59" s="280"/>
      <c r="AZ59" s="280"/>
      <c r="BA59" s="280"/>
      <c r="BB59" s="281"/>
      <c r="ED59" s="155"/>
      <c r="KI59" s="269"/>
      <c r="KJ59" s="269"/>
      <c r="KK59" s="269"/>
      <c r="KL59" s="269"/>
      <c r="KM59" s="269"/>
      <c r="KN59" s="269"/>
      <c r="KO59" s="269"/>
      <c r="KP59" s="269"/>
      <c r="KQ59" s="269"/>
      <c r="KR59" s="269"/>
      <c r="KS59" s="269"/>
      <c r="KT59" s="269"/>
      <c r="KU59" s="269"/>
      <c r="KV59" s="269"/>
      <c r="KW59" s="269"/>
      <c r="KX59" s="269"/>
      <c r="KY59" s="269"/>
      <c r="KZ59" s="269"/>
      <c r="LA59" s="269"/>
      <c r="LB59" s="269"/>
      <c r="LC59" s="269"/>
      <c r="LD59" s="269"/>
      <c r="LE59" s="269"/>
      <c r="LF59" s="269"/>
      <c r="LG59" s="269"/>
      <c r="LH59" s="269"/>
      <c r="LI59" s="269"/>
      <c r="LJ59" s="269"/>
      <c r="LK59" s="269"/>
      <c r="LL59" s="269"/>
      <c r="LM59" s="269"/>
      <c r="LN59" s="269"/>
      <c r="LO59" s="269"/>
      <c r="LP59" s="269"/>
      <c r="LQ59" s="269"/>
      <c r="LR59" s="269"/>
      <c r="LS59" s="269"/>
      <c r="LT59" s="269"/>
      <c r="LU59" s="269"/>
      <c r="LV59" s="269"/>
      <c r="LW59" s="269"/>
      <c r="LX59" s="269"/>
      <c r="LY59" s="269"/>
      <c r="LZ59" s="269"/>
      <c r="MO59" s="293"/>
      <c r="MP59" s="294"/>
      <c r="MQ59" s="294"/>
      <c r="MR59" s="294"/>
      <c r="MS59" s="294"/>
      <c r="MT59" s="294"/>
      <c r="MU59" s="294"/>
      <c r="MV59" s="294"/>
      <c r="MW59" s="294"/>
      <c r="MX59" s="294"/>
      <c r="MY59" s="294"/>
      <c r="MZ59" s="294"/>
      <c r="NA59" s="294"/>
      <c r="NB59" s="294"/>
      <c r="NC59" s="294"/>
      <c r="ND59" s="294"/>
      <c r="NE59" s="294"/>
      <c r="NF59" s="294"/>
      <c r="NG59" s="294"/>
      <c r="NH59" s="294"/>
      <c r="NI59" s="294"/>
      <c r="NJ59" s="294"/>
      <c r="NK59" s="294"/>
      <c r="NL59" s="294"/>
      <c r="NM59" s="294"/>
      <c r="NN59" s="294"/>
      <c r="NO59" s="294"/>
      <c r="NP59" s="294"/>
      <c r="NQ59" s="294"/>
      <c r="NR59" s="294"/>
      <c r="NS59" s="294"/>
      <c r="NT59" s="294"/>
      <c r="NU59" s="294"/>
      <c r="NV59" s="294"/>
      <c r="NW59" s="294"/>
      <c r="NX59" s="294"/>
      <c r="NY59" s="294"/>
      <c r="NZ59" s="294"/>
      <c r="OA59" s="294"/>
      <c r="OB59" s="294"/>
      <c r="OC59" s="295"/>
      <c r="OD59" s="296"/>
      <c r="OE59" s="296"/>
      <c r="OF59" s="296"/>
      <c r="OG59" s="296"/>
      <c r="OH59" s="296"/>
      <c r="OI59" s="296"/>
      <c r="OQ59" s="269"/>
      <c r="OR59" s="269"/>
      <c r="OS59" s="269"/>
      <c r="OT59" s="269"/>
      <c r="OU59" s="269"/>
      <c r="OV59" s="269"/>
      <c r="OW59" s="269"/>
      <c r="OX59" s="269"/>
      <c r="OY59" s="269"/>
      <c r="OZ59" s="269"/>
      <c r="PA59" s="269"/>
      <c r="PB59" s="269"/>
      <c r="PC59" s="269"/>
      <c r="PD59" s="269"/>
      <c r="PE59" s="269"/>
      <c r="PF59" s="269"/>
      <c r="PG59" s="269"/>
      <c r="PH59" s="269"/>
      <c r="PI59" s="269"/>
      <c r="PJ59" s="269"/>
      <c r="PK59" s="269"/>
      <c r="PL59" s="269"/>
      <c r="PM59" s="269"/>
      <c r="PN59" s="269"/>
      <c r="PO59" s="269"/>
      <c r="PP59" s="269"/>
      <c r="PQ59" s="269"/>
      <c r="PR59" s="269"/>
      <c r="PS59" s="269"/>
      <c r="PT59" s="269"/>
      <c r="PU59" s="269"/>
      <c r="PV59" s="269"/>
      <c r="PW59" s="269"/>
      <c r="PX59" s="269"/>
      <c r="PY59" s="269"/>
      <c r="PZ59" s="269"/>
      <c r="QA59" s="269"/>
      <c r="QB59" s="269"/>
      <c r="QC59" s="269"/>
      <c r="QD59" s="269"/>
      <c r="QE59" s="269"/>
      <c r="QF59" s="269"/>
      <c r="QG59" s="269"/>
      <c r="QH59" s="269"/>
      <c r="QI59" s="269"/>
      <c r="QJ59" s="269"/>
      <c r="QK59" s="269"/>
      <c r="QQ59" s="152"/>
      <c r="QR59" s="153"/>
      <c r="QT59" s="176"/>
      <c r="QU59" s="176"/>
      <c r="QV59" s="176"/>
      <c r="QW59" s="177"/>
    </row>
    <row r="60" spans="3:465" ht="5.0999999999999996" customHeight="1" x14ac:dyDescent="0.3">
      <c r="C60" s="149"/>
      <c r="D60" s="150"/>
      <c r="I60" s="273"/>
      <c r="J60" s="274"/>
      <c r="K60" s="274"/>
      <c r="L60" s="274"/>
      <c r="M60" s="274"/>
      <c r="N60" s="274"/>
      <c r="O60" s="274"/>
      <c r="P60" s="274"/>
      <c r="Q60" s="274"/>
      <c r="R60" s="274"/>
      <c r="S60" s="274"/>
      <c r="T60" s="274"/>
      <c r="U60" s="274"/>
      <c r="V60" s="274"/>
      <c r="W60" s="274"/>
      <c r="X60" s="274"/>
      <c r="Y60" s="274"/>
      <c r="Z60" s="274"/>
      <c r="AA60" s="274"/>
      <c r="AB60" s="274"/>
      <c r="AC60" s="274"/>
      <c r="AD60" s="274"/>
      <c r="AE60" s="274"/>
      <c r="AF60" s="274"/>
      <c r="AG60" s="274"/>
      <c r="AH60" s="274"/>
      <c r="AI60" s="274"/>
      <c r="AJ60" s="274"/>
      <c r="AK60" s="274"/>
      <c r="AL60" s="274"/>
      <c r="AM60" s="274"/>
      <c r="AN60" s="274"/>
      <c r="AO60" s="274"/>
      <c r="AP60" s="274"/>
      <c r="AQ60" s="274"/>
      <c r="AR60" s="274"/>
      <c r="AS60" s="274"/>
      <c r="AT60" s="274"/>
      <c r="AU60" s="274"/>
      <c r="AV60" s="274"/>
      <c r="AW60" s="275"/>
      <c r="AX60" s="282"/>
      <c r="AY60" s="283"/>
      <c r="AZ60" s="283"/>
      <c r="BA60" s="283"/>
      <c r="BB60" s="284"/>
      <c r="ED60" s="155"/>
      <c r="KI60" s="269"/>
      <c r="KJ60" s="269"/>
      <c r="KK60" s="269"/>
      <c r="KL60" s="269"/>
      <c r="KM60" s="269"/>
      <c r="KN60" s="269"/>
      <c r="KO60" s="269"/>
      <c r="KP60" s="269"/>
      <c r="KQ60" s="269"/>
      <c r="KR60" s="269"/>
      <c r="KS60" s="269"/>
      <c r="KT60" s="269"/>
      <c r="KU60" s="269"/>
      <c r="KV60" s="269"/>
      <c r="KW60" s="269"/>
      <c r="KX60" s="269"/>
      <c r="KY60" s="269"/>
      <c r="KZ60" s="269"/>
      <c r="LA60" s="269"/>
      <c r="LB60" s="269"/>
      <c r="LC60" s="269"/>
      <c r="LD60" s="269"/>
      <c r="LE60" s="269"/>
      <c r="LF60" s="269"/>
      <c r="LG60" s="269"/>
      <c r="LH60" s="269"/>
      <c r="LI60" s="269"/>
      <c r="LJ60" s="269"/>
      <c r="LK60" s="269"/>
      <c r="LL60" s="269"/>
      <c r="LM60" s="269"/>
      <c r="LN60" s="269"/>
      <c r="LO60" s="269"/>
      <c r="LP60" s="269"/>
      <c r="LQ60" s="269"/>
      <c r="LR60" s="269"/>
      <c r="LS60" s="269"/>
      <c r="LT60" s="269"/>
      <c r="LU60" s="269"/>
      <c r="LV60" s="269"/>
      <c r="LW60" s="269"/>
      <c r="LX60" s="269"/>
      <c r="LY60" s="269"/>
      <c r="LZ60" s="269"/>
      <c r="NN60" s="169"/>
      <c r="QQ60" s="152"/>
      <c r="QR60" s="153"/>
    </row>
    <row r="61" spans="3:465" ht="5.0999999999999996" customHeight="1" x14ac:dyDescent="0.3">
      <c r="C61" s="149"/>
      <c r="D61" s="150"/>
      <c r="I61" s="273"/>
      <c r="J61" s="274"/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  <c r="AA61" s="274"/>
      <c r="AB61" s="274"/>
      <c r="AC61" s="274"/>
      <c r="AD61" s="274"/>
      <c r="AE61" s="274"/>
      <c r="AF61" s="274"/>
      <c r="AG61" s="274"/>
      <c r="AH61" s="274"/>
      <c r="AI61" s="274"/>
      <c r="AJ61" s="274"/>
      <c r="AK61" s="274"/>
      <c r="AL61" s="274"/>
      <c r="AM61" s="274"/>
      <c r="AN61" s="274"/>
      <c r="AO61" s="274"/>
      <c r="AP61" s="274"/>
      <c r="AQ61" s="274"/>
      <c r="AR61" s="274"/>
      <c r="AS61" s="274"/>
      <c r="AT61" s="274"/>
      <c r="AU61" s="274"/>
      <c r="AV61" s="274"/>
      <c r="AW61" s="275"/>
      <c r="AX61" s="282"/>
      <c r="AY61" s="283"/>
      <c r="AZ61" s="283"/>
      <c r="BA61" s="283"/>
      <c r="BB61" s="284"/>
      <c r="ED61" s="155"/>
      <c r="KI61" s="269"/>
      <c r="KJ61" s="269"/>
      <c r="KK61" s="269"/>
      <c r="KL61" s="269"/>
      <c r="KM61" s="269"/>
      <c r="KN61" s="269"/>
      <c r="KO61" s="269"/>
      <c r="KP61" s="269"/>
      <c r="KQ61" s="269"/>
      <c r="KR61" s="269"/>
      <c r="KS61" s="269"/>
      <c r="KT61" s="269"/>
      <c r="KU61" s="269"/>
      <c r="KV61" s="269"/>
      <c r="KW61" s="269"/>
      <c r="KX61" s="269"/>
      <c r="KY61" s="269"/>
      <c r="KZ61" s="269"/>
      <c r="LA61" s="269"/>
      <c r="LB61" s="269"/>
      <c r="LC61" s="269"/>
      <c r="LD61" s="269"/>
      <c r="LE61" s="269"/>
      <c r="LF61" s="269"/>
      <c r="LG61" s="269"/>
      <c r="LH61" s="269"/>
      <c r="LI61" s="269"/>
      <c r="LJ61" s="269"/>
      <c r="LK61" s="269"/>
      <c r="LL61" s="269"/>
      <c r="LM61" s="269"/>
      <c r="LN61" s="269"/>
      <c r="LO61" s="269"/>
      <c r="LP61" s="269"/>
      <c r="LQ61" s="269"/>
      <c r="LR61" s="269"/>
      <c r="LS61" s="269"/>
      <c r="LT61" s="269"/>
      <c r="LU61" s="269"/>
      <c r="LV61" s="269"/>
      <c r="LW61" s="269"/>
      <c r="LX61" s="269"/>
      <c r="LY61" s="269"/>
      <c r="LZ61" s="269"/>
      <c r="NN61" s="170"/>
      <c r="QQ61" s="152"/>
      <c r="QR61" s="153"/>
    </row>
    <row r="62" spans="3:465" ht="5.0999999999999996" customHeight="1" x14ac:dyDescent="0.3">
      <c r="C62" s="149"/>
      <c r="D62" s="150"/>
      <c r="I62" s="273"/>
      <c r="J62" s="274"/>
      <c r="K62" s="274"/>
      <c r="L62" s="274"/>
      <c r="M62" s="274"/>
      <c r="N62" s="274"/>
      <c r="O62" s="274"/>
      <c r="P62" s="274"/>
      <c r="Q62" s="274"/>
      <c r="R62" s="274"/>
      <c r="S62" s="274"/>
      <c r="T62" s="274"/>
      <c r="U62" s="274"/>
      <c r="V62" s="274"/>
      <c r="W62" s="274"/>
      <c r="X62" s="274"/>
      <c r="Y62" s="274"/>
      <c r="Z62" s="274"/>
      <c r="AA62" s="274"/>
      <c r="AB62" s="274"/>
      <c r="AC62" s="274"/>
      <c r="AD62" s="274"/>
      <c r="AE62" s="274"/>
      <c r="AF62" s="274"/>
      <c r="AG62" s="274"/>
      <c r="AH62" s="274"/>
      <c r="AI62" s="274"/>
      <c r="AJ62" s="274"/>
      <c r="AK62" s="274"/>
      <c r="AL62" s="274"/>
      <c r="AM62" s="274"/>
      <c r="AN62" s="274"/>
      <c r="AO62" s="274"/>
      <c r="AP62" s="274"/>
      <c r="AQ62" s="274"/>
      <c r="AR62" s="274"/>
      <c r="AS62" s="274"/>
      <c r="AT62" s="274"/>
      <c r="AU62" s="274"/>
      <c r="AV62" s="274"/>
      <c r="AW62" s="275"/>
      <c r="AX62" s="282"/>
      <c r="AY62" s="283"/>
      <c r="AZ62" s="283"/>
      <c r="BA62" s="283"/>
      <c r="BB62" s="284"/>
      <c r="ED62" s="155"/>
      <c r="LD62" s="173"/>
      <c r="LE62" s="174"/>
      <c r="LF62" s="174"/>
      <c r="NN62" s="170"/>
      <c r="QQ62" s="152"/>
      <c r="QR62" s="153"/>
    </row>
    <row r="63" spans="3:465" ht="5.0999999999999996" customHeight="1" x14ac:dyDescent="0.3">
      <c r="C63" s="149"/>
      <c r="D63" s="150"/>
      <c r="I63" s="273"/>
      <c r="J63" s="274"/>
      <c r="K63" s="274"/>
      <c r="L63" s="274"/>
      <c r="M63" s="274"/>
      <c r="N63" s="274"/>
      <c r="O63" s="274"/>
      <c r="P63" s="274"/>
      <c r="Q63" s="274"/>
      <c r="R63" s="274"/>
      <c r="S63" s="274"/>
      <c r="T63" s="274"/>
      <c r="U63" s="274"/>
      <c r="V63" s="274"/>
      <c r="W63" s="274"/>
      <c r="X63" s="274"/>
      <c r="Y63" s="274"/>
      <c r="Z63" s="274"/>
      <c r="AA63" s="274"/>
      <c r="AB63" s="274"/>
      <c r="AC63" s="274"/>
      <c r="AD63" s="274"/>
      <c r="AE63" s="274"/>
      <c r="AF63" s="274"/>
      <c r="AG63" s="274"/>
      <c r="AH63" s="274"/>
      <c r="AI63" s="274"/>
      <c r="AJ63" s="274"/>
      <c r="AK63" s="274"/>
      <c r="AL63" s="274"/>
      <c r="AM63" s="274"/>
      <c r="AN63" s="274"/>
      <c r="AO63" s="274"/>
      <c r="AP63" s="274"/>
      <c r="AQ63" s="274"/>
      <c r="AR63" s="274"/>
      <c r="AS63" s="274"/>
      <c r="AT63" s="274"/>
      <c r="AU63" s="274"/>
      <c r="AV63" s="274"/>
      <c r="AW63" s="275"/>
      <c r="AX63" s="282"/>
      <c r="AY63" s="283"/>
      <c r="AZ63" s="283"/>
      <c r="BA63" s="283"/>
      <c r="BB63" s="284"/>
      <c r="ED63" s="155"/>
      <c r="KU63" s="151"/>
      <c r="LD63" s="155"/>
      <c r="NN63" s="170"/>
      <c r="QQ63" s="152"/>
      <c r="QR63" s="153"/>
    </row>
    <row r="64" spans="3:465" ht="5.0999999999999996" customHeight="1" x14ac:dyDescent="0.3">
      <c r="C64" s="149"/>
      <c r="D64" s="150"/>
      <c r="I64" s="273"/>
      <c r="J64" s="274"/>
      <c r="K64" s="274"/>
      <c r="L64" s="274"/>
      <c r="M64" s="274"/>
      <c r="N64" s="274"/>
      <c r="O64" s="274"/>
      <c r="P64" s="274"/>
      <c r="Q64" s="274"/>
      <c r="R64" s="274"/>
      <c r="S64" s="274"/>
      <c r="T64" s="274"/>
      <c r="U64" s="274"/>
      <c r="V64" s="274"/>
      <c r="W64" s="274"/>
      <c r="X64" s="274"/>
      <c r="Y64" s="274"/>
      <c r="Z64" s="274"/>
      <c r="AA64" s="274"/>
      <c r="AB64" s="274"/>
      <c r="AC64" s="274"/>
      <c r="AD64" s="274"/>
      <c r="AE64" s="274"/>
      <c r="AF64" s="274"/>
      <c r="AG64" s="274"/>
      <c r="AH64" s="274"/>
      <c r="AI64" s="274"/>
      <c r="AJ64" s="274"/>
      <c r="AK64" s="274"/>
      <c r="AL64" s="274"/>
      <c r="AM64" s="274"/>
      <c r="AN64" s="274"/>
      <c r="AO64" s="274"/>
      <c r="AP64" s="274"/>
      <c r="AQ64" s="274"/>
      <c r="AR64" s="274"/>
      <c r="AS64" s="274"/>
      <c r="AT64" s="274"/>
      <c r="AU64" s="274"/>
      <c r="AV64" s="274"/>
      <c r="AW64" s="275"/>
      <c r="AX64" s="282"/>
      <c r="AY64" s="283"/>
      <c r="AZ64" s="283"/>
      <c r="BA64" s="283"/>
      <c r="BB64" s="284"/>
      <c r="ED64" s="155"/>
      <c r="LD64" s="155"/>
      <c r="NN64" s="178"/>
      <c r="QQ64" s="152"/>
      <c r="QR64" s="153"/>
    </row>
    <row r="65" spans="3:465" ht="5.0999999999999996" customHeight="1" x14ac:dyDescent="0.3">
      <c r="C65" s="149"/>
      <c r="D65" s="150"/>
      <c r="I65" s="273"/>
      <c r="J65" s="274"/>
      <c r="K65" s="274"/>
      <c r="L65" s="274"/>
      <c r="M65" s="274"/>
      <c r="N65" s="274"/>
      <c r="O65" s="274"/>
      <c r="P65" s="274"/>
      <c r="Q65" s="274"/>
      <c r="R65" s="274"/>
      <c r="S65" s="274"/>
      <c r="T65" s="274"/>
      <c r="U65" s="274"/>
      <c r="V65" s="274"/>
      <c r="W65" s="274"/>
      <c r="X65" s="274"/>
      <c r="Y65" s="274"/>
      <c r="Z65" s="274"/>
      <c r="AA65" s="274"/>
      <c r="AB65" s="274"/>
      <c r="AC65" s="274"/>
      <c r="AD65" s="274"/>
      <c r="AE65" s="274"/>
      <c r="AF65" s="274"/>
      <c r="AG65" s="274"/>
      <c r="AH65" s="274"/>
      <c r="AI65" s="274"/>
      <c r="AJ65" s="274"/>
      <c r="AK65" s="274"/>
      <c r="AL65" s="274"/>
      <c r="AM65" s="274"/>
      <c r="AN65" s="274"/>
      <c r="AO65" s="274"/>
      <c r="AP65" s="274"/>
      <c r="AQ65" s="274"/>
      <c r="AR65" s="274"/>
      <c r="AS65" s="274"/>
      <c r="AT65" s="274"/>
      <c r="AU65" s="274"/>
      <c r="AV65" s="274"/>
      <c r="AW65" s="275"/>
      <c r="AX65" s="282"/>
      <c r="AY65" s="283"/>
      <c r="AZ65" s="283"/>
      <c r="BA65" s="283"/>
      <c r="BB65" s="284"/>
      <c r="ED65" s="155"/>
      <c r="LD65" s="155"/>
      <c r="MP65" s="288" t="s">
        <v>272</v>
      </c>
      <c r="MQ65" s="289"/>
      <c r="MR65" s="289"/>
      <c r="MS65" s="289"/>
      <c r="MT65" s="289"/>
      <c r="MU65" s="289"/>
      <c r="MV65" s="289"/>
      <c r="MW65" s="289"/>
      <c r="MX65" s="289"/>
      <c r="MY65" s="289"/>
      <c r="MZ65" s="289"/>
      <c r="NA65" s="289"/>
      <c r="NB65" s="289"/>
      <c r="NC65" s="289"/>
      <c r="ND65" s="289"/>
      <c r="NE65" s="289"/>
      <c r="NF65" s="289"/>
      <c r="NG65" s="289"/>
      <c r="NH65" s="289"/>
      <c r="NI65" s="289"/>
      <c r="NJ65" s="289"/>
      <c r="NK65" s="289"/>
      <c r="NL65" s="289"/>
      <c r="NM65" s="289"/>
      <c r="NN65" s="289"/>
      <c r="NO65" s="289"/>
      <c r="NP65" s="289"/>
      <c r="NQ65" s="289"/>
      <c r="NR65" s="289"/>
      <c r="NS65" s="289"/>
      <c r="NT65" s="289"/>
      <c r="NU65" s="289"/>
      <c r="NV65" s="289"/>
      <c r="NW65" s="289"/>
      <c r="NX65" s="289"/>
      <c r="NY65" s="289"/>
      <c r="NZ65" s="289"/>
      <c r="OA65" s="289"/>
      <c r="OB65" s="289"/>
      <c r="OC65" s="289"/>
      <c r="OD65" s="290"/>
      <c r="OE65" s="296">
        <v>1</v>
      </c>
      <c r="OF65" s="296"/>
      <c r="OG65" s="296"/>
      <c r="OH65" s="296"/>
      <c r="OI65" s="296"/>
      <c r="OJ65" s="296"/>
      <c r="QQ65" s="152"/>
      <c r="QR65" s="153"/>
    </row>
    <row r="66" spans="3:465" ht="5.0999999999999996" customHeight="1" x14ac:dyDescent="0.3">
      <c r="C66" s="149"/>
      <c r="D66" s="150"/>
      <c r="I66" s="273"/>
      <c r="J66" s="274"/>
      <c r="K66" s="274"/>
      <c r="L66" s="274"/>
      <c r="M66" s="274"/>
      <c r="N66" s="274"/>
      <c r="O66" s="274"/>
      <c r="P66" s="274"/>
      <c r="Q66" s="274"/>
      <c r="R66" s="274"/>
      <c r="S66" s="274"/>
      <c r="T66" s="274"/>
      <c r="U66" s="274"/>
      <c r="V66" s="274"/>
      <c r="W66" s="274"/>
      <c r="X66" s="274"/>
      <c r="Y66" s="274"/>
      <c r="Z66" s="274"/>
      <c r="AA66" s="274"/>
      <c r="AB66" s="274"/>
      <c r="AC66" s="274"/>
      <c r="AD66" s="274"/>
      <c r="AE66" s="274"/>
      <c r="AF66" s="274"/>
      <c r="AG66" s="274"/>
      <c r="AH66" s="274"/>
      <c r="AI66" s="274"/>
      <c r="AJ66" s="274"/>
      <c r="AK66" s="274"/>
      <c r="AL66" s="274"/>
      <c r="AM66" s="274"/>
      <c r="AN66" s="274"/>
      <c r="AO66" s="274"/>
      <c r="AP66" s="274"/>
      <c r="AQ66" s="274"/>
      <c r="AR66" s="274"/>
      <c r="AS66" s="274"/>
      <c r="AT66" s="274"/>
      <c r="AU66" s="274"/>
      <c r="AV66" s="274"/>
      <c r="AW66" s="275"/>
      <c r="AX66" s="282"/>
      <c r="AY66" s="283"/>
      <c r="AZ66" s="283"/>
      <c r="BA66" s="283"/>
      <c r="BB66" s="284"/>
      <c r="ED66" s="155"/>
      <c r="LD66" s="155"/>
      <c r="MP66" s="291"/>
      <c r="MQ66" s="274"/>
      <c r="MR66" s="274"/>
      <c r="MS66" s="274"/>
      <c r="MT66" s="274"/>
      <c r="MU66" s="274"/>
      <c r="MV66" s="274"/>
      <c r="MW66" s="274"/>
      <c r="MX66" s="274"/>
      <c r="MY66" s="274"/>
      <c r="MZ66" s="274"/>
      <c r="NA66" s="274"/>
      <c r="NB66" s="274"/>
      <c r="NC66" s="274"/>
      <c r="ND66" s="274"/>
      <c r="NE66" s="274"/>
      <c r="NF66" s="274"/>
      <c r="NG66" s="274"/>
      <c r="NH66" s="274"/>
      <c r="NI66" s="274"/>
      <c r="NJ66" s="274"/>
      <c r="NK66" s="274"/>
      <c r="NL66" s="274"/>
      <c r="NM66" s="274"/>
      <c r="NN66" s="274"/>
      <c r="NO66" s="274"/>
      <c r="NP66" s="274"/>
      <c r="NQ66" s="274"/>
      <c r="NR66" s="274"/>
      <c r="NS66" s="274"/>
      <c r="NT66" s="274"/>
      <c r="NU66" s="274"/>
      <c r="NV66" s="274"/>
      <c r="NW66" s="274"/>
      <c r="NX66" s="274"/>
      <c r="NY66" s="274"/>
      <c r="NZ66" s="274"/>
      <c r="OA66" s="274"/>
      <c r="OB66" s="274"/>
      <c r="OC66" s="274"/>
      <c r="OD66" s="292"/>
      <c r="OE66" s="296"/>
      <c r="OF66" s="296"/>
      <c r="OG66" s="296"/>
      <c r="OH66" s="296"/>
      <c r="OI66" s="296"/>
      <c r="OJ66" s="296"/>
      <c r="QQ66" s="152"/>
      <c r="QR66" s="153"/>
    </row>
    <row r="67" spans="3:465" ht="5.0999999999999996" customHeight="1" x14ac:dyDescent="0.3">
      <c r="C67" s="149"/>
      <c r="D67" s="150"/>
      <c r="I67" s="273"/>
      <c r="J67" s="274"/>
      <c r="K67" s="274"/>
      <c r="L67" s="274"/>
      <c r="M67" s="274"/>
      <c r="N67" s="274"/>
      <c r="O67" s="274"/>
      <c r="P67" s="274"/>
      <c r="Q67" s="274"/>
      <c r="R67" s="274"/>
      <c r="S67" s="274"/>
      <c r="T67" s="274"/>
      <c r="U67" s="274"/>
      <c r="V67" s="274"/>
      <c r="W67" s="274"/>
      <c r="X67" s="274"/>
      <c r="Y67" s="274"/>
      <c r="Z67" s="274"/>
      <c r="AA67" s="274"/>
      <c r="AB67" s="274"/>
      <c r="AC67" s="274"/>
      <c r="AD67" s="274"/>
      <c r="AE67" s="274"/>
      <c r="AF67" s="274"/>
      <c r="AG67" s="274"/>
      <c r="AH67" s="274"/>
      <c r="AI67" s="274"/>
      <c r="AJ67" s="274"/>
      <c r="AK67" s="274"/>
      <c r="AL67" s="274"/>
      <c r="AM67" s="274"/>
      <c r="AN67" s="274"/>
      <c r="AO67" s="274"/>
      <c r="AP67" s="274"/>
      <c r="AQ67" s="274"/>
      <c r="AR67" s="274"/>
      <c r="AS67" s="274"/>
      <c r="AT67" s="274"/>
      <c r="AU67" s="274"/>
      <c r="AV67" s="274"/>
      <c r="AW67" s="275"/>
      <c r="AX67" s="282"/>
      <c r="AY67" s="283"/>
      <c r="AZ67" s="283"/>
      <c r="BA67" s="283"/>
      <c r="BB67" s="284"/>
      <c r="ED67" s="155"/>
      <c r="LD67" s="155"/>
      <c r="MP67" s="291"/>
      <c r="MQ67" s="274"/>
      <c r="MR67" s="274"/>
      <c r="MS67" s="274"/>
      <c r="MT67" s="274"/>
      <c r="MU67" s="274"/>
      <c r="MV67" s="274"/>
      <c r="MW67" s="274"/>
      <c r="MX67" s="274"/>
      <c r="MY67" s="274"/>
      <c r="MZ67" s="274"/>
      <c r="NA67" s="274"/>
      <c r="NB67" s="274"/>
      <c r="NC67" s="274"/>
      <c r="ND67" s="274"/>
      <c r="NE67" s="274"/>
      <c r="NF67" s="274"/>
      <c r="NG67" s="274"/>
      <c r="NH67" s="274"/>
      <c r="NI67" s="274"/>
      <c r="NJ67" s="274"/>
      <c r="NK67" s="274"/>
      <c r="NL67" s="274"/>
      <c r="NM67" s="274"/>
      <c r="NN67" s="274"/>
      <c r="NO67" s="274"/>
      <c r="NP67" s="274"/>
      <c r="NQ67" s="274"/>
      <c r="NR67" s="274"/>
      <c r="NS67" s="274"/>
      <c r="NT67" s="274"/>
      <c r="NU67" s="274"/>
      <c r="NV67" s="274"/>
      <c r="NW67" s="274"/>
      <c r="NX67" s="274"/>
      <c r="NY67" s="274"/>
      <c r="NZ67" s="274"/>
      <c r="OA67" s="274"/>
      <c r="OB67" s="274"/>
      <c r="OC67" s="274"/>
      <c r="OD67" s="292"/>
      <c r="OE67" s="296"/>
      <c r="OF67" s="296"/>
      <c r="OG67" s="296"/>
      <c r="OH67" s="296"/>
      <c r="OI67" s="296"/>
      <c r="OJ67" s="296"/>
      <c r="QQ67" s="152"/>
      <c r="QR67" s="153"/>
    </row>
    <row r="68" spans="3:465" ht="5.0999999999999996" customHeight="1" x14ac:dyDescent="0.3">
      <c r="C68" s="149"/>
      <c r="D68" s="150"/>
      <c r="I68" s="276"/>
      <c r="J68" s="277"/>
      <c r="K68" s="277"/>
      <c r="L68" s="277"/>
      <c r="M68" s="277"/>
      <c r="N68" s="277"/>
      <c r="O68" s="277"/>
      <c r="P68" s="277"/>
      <c r="Q68" s="277"/>
      <c r="R68" s="277"/>
      <c r="S68" s="277"/>
      <c r="T68" s="277"/>
      <c r="U68" s="277"/>
      <c r="V68" s="277"/>
      <c r="W68" s="277"/>
      <c r="X68" s="277"/>
      <c r="Y68" s="277"/>
      <c r="Z68" s="277"/>
      <c r="AA68" s="277"/>
      <c r="AB68" s="277"/>
      <c r="AC68" s="277"/>
      <c r="AD68" s="277"/>
      <c r="AE68" s="277"/>
      <c r="AF68" s="277"/>
      <c r="AG68" s="277"/>
      <c r="AH68" s="277"/>
      <c r="AI68" s="277"/>
      <c r="AJ68" s="277"/>
      <c r="AK68" s="277"/>
      <c r="AL68" s="277"/>
      <c r="AM68" s="277"/>
      <c r="AN68" s="277"/>
      <c r="AO68" s="277"/>
      <c r="AP68" s="277"/>
      <c r="AQ68" s="277"/>
      <c r="AR68" s="277"/>
      <c r="AS68" s="277"/>
      <c r="AT68" s="277"/>
      <c r="AU68" s="277"/>
      <c r="AV68" s="277"/>
      <c r="AW68" s="278"/>
      <c r="AX68" s="285"/>
      <c r="AY68" s="286"/>
      <c r="AZ68" s="286"/>
      <c r="BA68" s="286"/>
      <c r="BB68" s="287"/>
      <c r="ED68" s="155"/>
      <c r="LD68" s="155"/>
      <c r="MP68" s="291"/>
      <c r="MQ68" s="274"/>
      <c r="MR68" s="274"/>
      <c r="MS68" s="274"/>
      <c r="MT68" s="274"/>
      <c r="MU68" s="274"/>
      <c r="MV68" s="274"/>
      <c r="MW68" s="274"/>
      <c r="MX68" s="274"/>
      <c r="MY68" s="274"/>
      <c r="MZ68" s="274"/>
      <c r="NA68" s="274"/>
      <c r="NB68" s="274"/>
      <c r="NC68" s="274"/>
      <c r="ND68" s="274"/>
      <c r="NE68" s="274"/>
      <c r="NF68" s="274"/>
      <c r="NG68" s="274"/>
      <c r="NH68" s="274"/>
      <c r="NI68" s="274"/>
      <c r="NJ68" s="274"/>
      <c r="NK68" s="274"/>
      <c r="NL68" s="274"/>
      <c r="NM68" s="274"/>
      <c r="NN68" s="274"/>
      <c r="NO68" s="274"/>
      <c r="NP68" s="274"/>
      <c r="NQ68" s="274"/>
      <c r="NR68" s="274"/>
      <c r="NS68" s="274"/>
      <c r="NT68" s="274"/>
      <c r="NU68" s="274"/>
      <c r="NV68" s="274"/>
      <c r="NW68" s="274"/>
      <c r="NX68" s="274"/>
      <c r="NY68" s="274"/>
      <c r="NZ68" s="274"/>
      <c r="OA68" s="274"/>
      <c r="OB68" s="274"/>
      <c r="OC68" s="274"/>
      <c r="OD68" s="292"/>
      <c r="OE68" s="296"/>
      <c r="OF68" s="296"/>
      <c r="OG68" s="296"/>
      <c r="OH68" s="296"/>
      <c r="OI68" s="296"/>
      <c r="OJ68" s="296"/>
      <c r="QQ68" s="152"/>
      <c r="QR68" s="153"/>
    </row>
    <row r="69" spans="3:465" ht="5.0999999999999996" customHeight="1" x14ac:dyDescent="0.3">
      <c r="C69" s="149"/>
      <c r="D69" s="150"/>
      <c r="I69" s="167"/>
      <c r="J69" s="167"/>
      <c r="K69" s="167"/>
      <c r="L69" s="167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67"/>
      <c r="AA69" s="167"/>
      <c r="AB69" s="167"/>
      <c r="AC69" s="167"/>
      <c r="AD69" s="167"/>
      <c r="AE69" s="168"/>
      <c r="ED69" s="155"/>
      <c r="LD69" s="155"/>
      <c r="MP69" s="291"/>
      <c r="MQ69" s="274"/>
      <c r="MR69" s="274"/>
      <c r="MS69" s="274"/>
      <c r="MT69" s="274"/>
      <c r="MU69" s="274"/>
      <c r="MV69" s="274"/>
      <c r="MW69" s="274"/>
      <c r="MX69" s="274"/>
      <c r="MY69" s="274"/>
      <c r="MZ69" s="274"/>
      <c r="NA69" s="274"/>
      <c r="NB69" s="274"/>
      <c r="NC69" s="274"/>
      <c r="ND69" s="274"/>
      <c r="NE69" s="274"/>
      <c r="NF69" s="274"/>
      <c r="NG69" s="274"/>
      <c r="NH69" s="274"/>
      <c r="NI69" s="274"/>
      <c r="NJ69" s="274"/>
      <c r="NK69" s="274"/>
      <c r="NL69" s="274"/>
      <c r="NM69" s="274"/>
      <c r="NN69" s="274"/>
      <c r="NO69" s="274"/>
      <c r="NP69" s="274"/>
      <c r="NQ69" s="274"/>
      <c r="NR69" s="274"/>
      <c r="NS69" s="274"/>
      <c r="NT69" s="274"/>
      <c r="NU69" s="274"/>
      <c r="NV69" s="274"/>
      <c r="NW69" s="274"/>
      <c r="NX69" s="274"/>
      <c r="NY69" s="274"/>
      <c r="NZ69" s="274"/>
      <c r="OA69" s="274"/>
      <c r="OB69" s="274"/>
      <c r="OC69" s="274"/>
      <c r="OD69" s="292"/>
      <c r="OE69" s="296"/>
      <c r="OF69" s="296"/>
      <c r="OG69" s="296"/>
      <c r="OH69" s="296"/>
      <c r="OI69" s="296"/>
      <c r="OJ69" s="296"/>
      <c r="QN69" s="151"/>
      <c r="QQ69" s="152"/>
      <c r="QR69" s="153"/>
      <c r="QT69" s="176"/>
      <c r="QU69" s="176"/>
      <c r="QV69" s="176"/>
      <c r="QW69" s="177"/>
    </row>
    <row r="70" spans="3:465" ht="5.0999999999999996" customHeight="1" x14ac:dyDescent="0.3">
      <c r="C70" s="149"/>
      <c r="D70" s="150"/>
      <c r="I70" s="270" t="s">
        <v>273</v>
      </c>
      <c r="J70" s="271"/>
      <c r="K70" s="271"/>
      <c r="L70" s="271"/>
      <c r="M70" s="271"/>
      <c r="N70" s="271"/>
      <c r="O70" s="271"/>
      <c r="P70" s="271"/>
      <c r="Q70" s="271"/>
      <c r="R70" s="271"/>
      <c r="S70" s="271"/>
      <c r="T70" s="271"/>
      <c r="U70" s="271"/>
      <c r="V70" s="271"/>
      <c r="W70" s="271"/>
      <c r="X70" s="271"/>
      <c r="Y70" s="271"/>
      <c r="Z70" s="271"/>
      <c r="AA70" s="271"/>
      <c r="AB70" s="271"/>
      <c r="AC70" s="271"/>
      <c r="AD70" s="271"/>
      <c r="AE70" s="271"/>
      <c r="AF70" s="271"/>
      <c r="AG70" s="271"/>
      <c r="AH70" s="271"/>
      <c r="AI70" s="271"/>
      <c r="AJ70" s="271"/>
      <c r="AK70" s="271"/>
      <c r="AL70" s="271"/>
      <c r="AM70" s="271"/>
      <c r="AN70" s="271"/>
      <c r="AO70" s="271"/>
      <c r="AP70" s="271"/>
      <c r="AQ70" s="271"/>
      <c r="AR70" s="271"/>
      <c r="AS70" s="271"/>
      <c r="AT70" s="271"/>
      <c r="AU70" s="271"/>
      <c r="AV70" s="271"/>
      <c r="AW70" s="272"/>
      <c r="AX70" s="279">
        <v>2</v>
      </c>
      <c r="AY70" s="280"/>
      <c r="AZ70" s="280"/>
      <c r="BA70" s="280"/>
      <c r="BB70" s="281"/>
      <c r="BZ70" s="269" t="s">
        <v>274</v>
      </c>
      <c r="CA70" s="269"/>
      <c r="CB70" s="269"/>
      <c r="CC70" s="269"/>
      <c r="CD70" s="269"/>
      <c r="CE70" s="269"/>
      <c r="CF70" s="269"/>
      <c r="CG70" s="269"/>
      <c r="CH70" s="269"/>
      <c r="CI70" s="269"/>
      <c r="CJ70" s="269"/>
      <c r="CK70" s="269"/>
      <c r="CL70" s="269"/>
      <c r="CM70" s="269"/>
      <c r="CN70" s="269"/>
      <c r="CO70" s="269"/>
      <c r="CP70" s="269"/>
      <c r="CQ70" s="269"/>
      <c r="CR70" s="269"/>
      <c r="CS70" s="269"/>
      <c r="CT70" s="269"/>
      <c r="CU70" s="269"/>
      <c r="CV70" s="269"/>
      <c r="CW70" s="269"/>
      <c r="CX70" s="269"/>
      <c r="CY70" s="269"/>
      <c r="CZ70" s="269"/>
      <c r="DA70" s="269"/>
      <c r="DB70" s="269"/>
      <c r="DC70" s="269"/>
      <c r="DD70" s="269"/>
      <c r="DE70" s="269"/>
      <c r="DF70" s="269"/>
      <c r="DG70" s="269"/>
      <c r="DH70" s="269"/>
      <c r="DI70" s="269"/>
      <c r="DJ70" s="269"/>
      <c r="DK70" s="269"/>
      <c r="DL70" s="269"/>
      <c r="DM70" s="269"/>
      <c r="DN70" s="269">
        <v>1</v>
      </c>
      <c r="DO70" s="269"/>
      <c r="DP70" s="269"/>
      <c r="DQ70" s="269"/>
      <c r="DR70" s="269"/>
      <c r="DS70" s="269"/>
      <c r="ED70" s="155"/>
      <c r="LD70" s="155"/>
      <c r="MP70" s="291"/>
      <c r="MQ70" s="274"/>
      <c r="MR70" s="274"/>
      <c r="MS70" s="274"/>
      <c r="MT70" s="274"/>
      <c r="MU70" s="274"/>
      <c r="MV70" s="274"/>
      <c r="MW70" s="274"/>
      <c r="MX70" s="274"/>
      <c r="MY70" s="274"/>
      <c r="MZ70" s="274"/>
      <c r="NA70" s="274"/>
      <c r="NB70" s="274"/>
      <c r="NC70" s="274"/>
      <c r="ND70" s="274"/>
      <c r="NE70" s="274"/>
      <c r="NF70" s="274"/>
      <c r="NG70" s="274"/>
      <c r="NH70" s="274"/>
      <c r="NI70" s="274"/>
      <c r="NJ70" s="274"/>
      <c r="NK70" s="274"/>
      <c r="NL70" s="274"/>
      <c r="NM70" s="274"/>
      <c r="NN70" s="274"/>
      <c r="NO70" s="274"/>
      <c r="NP70" s="274"/>
      <c r="NQ70" s="274"/>
      <c r="NR70" s="274"/>
      <c r="NS70" s="274"/>
      <c r="NT70" s="274"/>
      <c r="NU70" s="274"/>
      <c r="NV70" s="274"/>
      <c r="NW70" s="274"/>
      <c r="NX70" s="274"/>
      <c r="NY70" s="274"/>
      <c r="NZ70" s="274"/>
      <c r="OA70" s="274"/>
      <c r="OB70" s="274"/>
      <c r="OC70" s="274"/>
      <c r="OD70" s="292"/>
      <c r="OE70" s="296"/>
      <c r="OF70" s="296"/>
      <c r="OG70" s="296"/>
      <c r="OH70" s="296"/>
      <c r="OI70" s="296"/>
      <c r="OJ70" s="296"/>
      <c r="QJ70" s="151"/>
      <c r="QK70" s="151"/>
      <c r="QL70" s="151"/>
      <c r="QN70" s="151"/>
      <c r="QQ70" s="152"/>
      <c r="QR70" s="153"/>
    </row>
    <row r="71" spans="3:465" ht="5.0999999999999996" customHeight="1" x14ac:dyDescent="0.3">
      <c r="C71" s="149"/>
      <c r="D71" s="150"/>
      <c r="I71" s="273"/>
      <c r="J71" s="274"/>
      <c r="K71" s="274"/>
      <c r="L71" s="274"/>
      <c r="M71" s="274"/>
      <c r="N71" s="274"/>
      <c r="O71" s="274"/>
      <c r="P71" s="274"/>
      <c r="Q71" s="274"/>
      <c r="R71" s="274"/>
      <c r="S71" s="274"/>
      <c r="T71" s="274"/>
      <c r="U71" s="274"/>
      <c r="V71" s="274"/>
      <c r="W71" s="274"/>
      <c r="X71" s="274"/>
      <c r="Y71" s="274"/>
      <c r="Z71" s="274"/>
      <c r="AA71" s="274"/>
      <c r="AB71" s="274"/>
      <c r="AC71" s="274"/>
      <c r="AD71" s="274"/>
      <c r="AE71" s="274"/>
      <c r="AF71" s="274"/>
      <c r="AG71" s="274"/>
      <c r="AH71" s="274"/>
      <c r="AI71" s="274"/>
      <c r="AJ71" s="274"/>
      <c r="AK71" s="274"/>
      <c r="AL71" s="274"/>
      <c r="AM71" s="274"/>
      <c r="AN71" s="274"/>
      <c r="AO71" s="274"/>
      <c r="AP71" s="274"/>
      <c r="AQ71" s="274"/>
      <c r="AR71" s="274"/>
      <c r="AS71" s="274"/>
      <c r="AT71" s="274"/>
      <c r="AU71" s="274"/>
      <c r="AV71" s="274"/>
      <c r="AW71" s="275"/>
      <c r="AX71" s="282"/>
      <c r="AY71" s="283"/>
      <c r="AZ71" s="283"/>
      <c r="BA71" s="283"/>
      <c r="BB71" s="284"/>
      <c r="BZ71" s="269"/>
      <c r="CA71" s="269"/>
      <c r="CB71" s="269"/>
      <c r="CC71" s="269"/>
      <c r="CD71" s="269"/>
      <c r="CE71" s="269"/>
      <c r="CF71" s="269"/>
      <c r="CG71" s="269"/>
      <c r="CH71" s="269"/>
      <c r="CI71" s="269"/>
      <c r="CJ71" s="269"/>
      <c r="CK71" s="269"/>
      <c r="CL71" s="269"/>
      <c r="CM71" s="269"/>
      <c r="CN71" s="269"/>
      <c r="CO71" s="269"/>
      <c r="CP71" s="269"/>
      <c r="CQ71" s="269"/>
      <c r="CR71" s="269"/>
      <c r="CS71" s="269"/>
      <c r="CT71" s="269"/>
      <c r="CU71" s="269"/>
      <c r="CV71" s="269"/>
      <c r="CW71" s="269"/>
      <c r="CX71" s="269"/>
      <c r="CY71" s="269"/>
      <c r="CZ71" s="269"/>
      <c r="DA71" s="269"/>
      <c r="DB71" s="269"/>
      <c r="DC71" s="269"/>
      <c r="DD71" s="269"/>
      <c r="DE71" s="269"/>
      <c r="DF71" s="269"/>
      <c r="DG71" s="269"/>
      <c r="DH71" s="269"/>
      <c r="DI71" s="269"/>
      <c r="DJ71" s="269"/>
      <c r="DK71" s="269"/>
      <c r="DL71" s="269"/>
      <c r="DM71" s="269"/>
      <c r="DN71" s="269"/>
      <c r="DO71" s="269"/>
      <c r="DP71" s="269"/>
      <c r="DQ71" s="269"/>
      <c r="DR71" s="269"/>
      <c r="DS71" s="269"/>
      <c r="ED71" s="155"/>
      <c r="ET71" s="269" t="s">
        <v>387</v>
      </c>
      <c r="EU71" s="269"/>
      <c r="EV71" s="269"/>
      <c r="EW71" s="269"/>
      <c r="EX71" s="269"/>
      <c r="EY71" s="269"/>
      <c r="EZ71" s="269"/>
      <c r="FA71" s="269"/>
      <c r="FB71" s="269"/>
      <c r="FC71" s="269"/>
      <c r="FD71" s="269"/>
      <c r="FE71" s="269"/>
      <c r="FF71" s="269"/>
      <c r="FG71" s="269"/>
      <c r="FH71" s="269"/>
      <c r="FI71" s="269"/>
      <c r="FJ71" s="269"/>
      <c r="FK71" s="269"/>
      <c r="FL71" s="269"/>
      <c r="FM71" s="269"/>
      <c r="FN71" s="269"/>
      <c r="FO71" s="269"/>
      <c r="FP71" s="269"/>
      <c r="FQ71" s="269"/>
      <c r="FR71" s="269"/>
      <c r="FS71" s="269"/>
      <c r="FT71" s="269"/>
      <c r="FU71" s="269"/>
      <c r="FV71" s="269"/>
      <c r="FW71" s="269"/>
      <c r="FX71" s="269"/>
      <c r="FY71" s="269"/>
      <c r="FZ71" s="269"/>
      <c r="GA71" s="269"/>
      <c r="GB71" s="269"/>
      <c r="GC71" s="269"/>
      <c r="GD71" s="269"/>
      <c r="GE71" s="269"/>
      <c r="GF71" s="269"/>
      <c r="GG71" s="269"/>
      <c r="GH71" s="269">
        <v>2</v>
      </c>
      <c r="GI71" s="269"/>
      <c r="GJ71" s="269"/>
      <c r="GK71" s="269"/>
      <c r="GL71" s="269"/>
      <c r="GM71" s="269"/>
      <c r="LD71" s="155"/>
      <c r="MP71" s="291"/>
      <c r="MQ71" s="274"/>
      <c r="MR71" s="274"/>
      <c r="MS71" s="274"/>
      <c r="MT71" s="274"/>
      <c r="MU71" s="274"/>
      <c r="MV71" s="274"/>
      <c r="MW71" s="274"/>
      <c r="MX71" s="274"/>
      <c r="MY71" s="274"/>
      <c r="MZ71" s="274"/>
      <c r="NA71" s="274"/>
      <c r="NB71" s="274"/>
      <c r="NC71" s="274"/>
      <c r="ND71" s="274"/>
      <c r="NE71" s="274"/>
      <c r="NF71" s="274"/>
      <c r="NG71" s="274"/>
      <c r="NH71" s="274"/>
      <c r="NI71" s="274"/>
      <c r="NJ71" s="274"/>
      <c r="NK71" s="274"/>
      <c r="NL71" s="274"/>
      <c r="NM71" s="274"/>
      <c r="NN71" s="274"/>
      <c r="NO71" s="274"/>
      <c r="NP71" s="274"/>
      <c r="NQ71" s="274"/>
      <c r="NR71" s="274"/>
      <c r="NS71" s="274"/>
      <c r="NT71" s="274"/>
      <c r="NU71" s="274"/>
      <c r="NV71" s="274"/>
      <c r="NW71" s="274"/>
      <c r="NX71" s="274"/>
      <c r="NY71" s="274"/>
      <c r="NZ71" s="274"/>
      <c r="OA71" s="274"/>
      <c r="OB71" s="274"/>
      <c r="OC71" s="274"/>
      <c r="OD71" s="292"/>
      <c r="OE71" s="296"/>
      <c r="OF71" s="296"/>
      <c r="OG71" s="296"/>
      <c r="OH71" s="296"/>
      <c r="OI71" s="296"/>
      <c r="OJ71" s="296"/>
      <c r="QI71" s="151"/>
      <c r="QJ71" s="151"/>
      <c r="QK71" s="151"/>
      <c r="QL71" s="151"/>
      <c r="QN71" s="151"/>
      <c r="QQ71" s="152"/>
      <c r="QR71" s="153"/>
    </row>
    <row r="72" spans="3:465" ht="5.0999999999999996" customHeight="1" x14ac:dyDescent="0.3">
      <c r="C72" s="149"/>
      <c r="D72" s="150"/>
      <c r="I72" s="273"/>
      <c r="J72" s="274"/>
      <c r="K72" s="274"/>
      <c r="L72" s="274"/>
      <c r="M72" s="274"/>
      <c r="N72" s="274"/>
      <c r="O72" s="274"/>
      <c r="P72" s="274"/>
      <c r="Q72" s="274"/>
      <c r="R72" s="274"/>
      <c r="S72" s="274"/>
      <c r="T72" s="274"/>
      <c r="U72" s="274"/>
      <c r="V72" s="274"/>
      <c r="W72" s="274"/>
      <c r="X72" s="274"/>
      <c r="Y72" s="274"/>
      <c r="Z72" s="274"/>
      <c r="AA72" s="274"/>
      <c r="AB72" s="274"/>
      <c r="AC72" s="274"/>
      <c r="AD72" s="274"/>
      <c r="AE72" s="274"/>
      <c r="AF72" s="274"/>
      <c r="AG72" s="274"/>
      <c r="AH72" s="274"/>
      <c r="AI72" s="274"/>
      <c r="AJ72" s="274"/>
      <c r="AK72" s="274"/>
      <c r="AL72" s="274"/>
      <c r="AM72" s="274"/>
      <c r="AN72" s="274"/>
      <c r="AO72" s="274"/>
      <c r="AP72" s="274"/>
      <c r="AQ72" s="274"/>
      <c r="AR72" s="274"/>
      <c r="AS72" s="274"/>
      <c r="AT72" s="274"/>
      <c r="AU72" s="274"/>
      <c r="AV72" s="274"/>
      <c r="AW72" s="275"/>
      <c r="AX72" s="282"/>
      <c r="AY72" s="283"/>
      <c r="AZ72" s="283"/>
      <c r="BA72" s="283"/>
      <c r="BB72" s="284"/>
      <c r="BZ72" s="269"/>
      <c r="CA72" s="269"/>
      <c r="CB72" s="269"/>
      <c r="CC72" s="269"/>
      <c r="CD72" s="269"/>
      <c r="CE72" s="269"/>
      <c r="CF72" s="269"/>
      <c r="CG72" s="269"/>
      <c r="CH72" s="269"/>
      <c r="CI72" s="269"/>
      <c r="CJ72" s="269"/>
      <c r="CK72" s="269"/>
      <c r="CL72" s="269"/>
      <c r="CM72" s="269"/>
      <c r="CN72" s="269"/>
      <c r="CO72" s="269"/>
      <c r="CP72" s="269"/>
      <c r="CQ72" s="269"/>
      <c r="CR72" s="269"/>
      <c r="CS72" s="269"/>
      <c r="CT72" s="269"/>
      <c r="CU72" s="269"/>
      <c r="CV72" s="269"/>
      <c r="CW72" s="269"/>
      <c r="CX72" s="269"/>
      <c r="CY72" s="269"/>
      <c r="CZ72" s="269"/>
      <c r="DA72" s="269"/>
      <c r="DB72" s="269"/>
      <c r="DC72" s="269"/>
      <c r="DD72" s="269"/>
      <c r="DE72" s="269"/>
      <c r="DF72" s="269"/>
      <c r="DG72" s="269"/>
      <c r="DH72" s="269"/>
      <c r="DI72" s="269"/>
      <c r="DJ72" s="269"/>
      <c r="DK72" s="269"/>
      <c r="DL72" s="269"/>
      <c r="DM72" s="269"/>
      <c r="DN72" s="269"/>
      <c r="DO72" s="269"/>
      <c r="DP72" s="269"/>
      <c r="DQ72" s="269"/>
      <c r="DR72" s="269"/>
      <c r="DS72" s="269"/>
      <c r="ED72" s="155"/>
      <c r="ET72" s="269"/>
      <c r="EU72" s="269"/>
      <c r="EV72" s="269"/>
      <c r="EW72" s="269"/>
      <c r="EX72" s="269"/>
      <c r="EY72" s="269"/>
      <c r="EZ72" s="269"/>
      <c r="FA72" s="269"/>
      <c r="FB72" s="269"/>
      <c r="FC72" s="269"/>
      <c r="FD72" s="269"/>
      <c r="FE72" s="269"/>
      <c r="FF72" s="269"/>
      <c r="FG72" s="269"/>
      <c r="FH72" s="269"/>
      <c r="FI72" s="269"/>
      <c r="FJ72" s="269"/>
      <c r="FK72" s="269"/>
      <c r="FL72" s="269"/>
      <c r="FM72" s="269"/>
      <c r="FN72" s="269"/>
      <c r="FO72" s="269"/>
      <c r="FP72" s="269"/>
      <c r="FQ72" s="269"/>
      <c r="FR72" s="269"/>
      <c r="FS72" s="269"/>
      <c r="FT72" s="269"/>
      <c r="FU72" s="269"/>
      <c r="FV72" s="269"/>
      <c r="FW72" s="269"/>
      <c r="FX72" s="269"/>
      <c r="FY72" s="269"/>
      <c r="FZ72" s="269"/>
      <c r="GA72" s="269"/>
      <c r="GB72" s="269"/>
      <c r="GC72" s="269"/>
      <c r="GD72" s="269"/>
      <c r="GE72" s="269"/>
      <c r="GF72" s="269"/>
      <c r="GG72" s="269"/>
      <c r="GH72" s="269"/>
      <c r="GI72" s="269"/>
      <c r="GJ72" s="269"/>
      <c r="GK72" s="269"/>
      <c r="GL72" s="269"/>
      <c r="GM72" s="269"/>
      <c r="LD72" s="155"/>
      <c r="MP72" s="291"/>
      <c r="MQ72" s="274"/>
      <c r="MR72" s="274"/>
      <c r="MS72" s="274"/>
      <c r="MT72" s="274"/>
      <c r="MU72" s="274"/>
      <c r="MV72" s="274"/>
      <c r="MW72" s="274"/>
      <c r="MX72" s="274"/>
      <c r="MY72" s="274"/>
      <c r="MZ72" s="274"/>
      <c r="NA72" s="274"/>
      <c r="NB72" s="274"/>
      <c r="NC72" s="274"/>
      <c r="ND72" s="274"/>
      <c r="NE72" s="274"/>
      <c r="NF72" s="274"/>
      <c r="NG72" s="274"/>
      <c r="NH72" s="274"/>
      <c r="NI72" s="274"/>
      <c r="NJ72" s="274"/>
      <c r="NK72" s="274"/>
      <c r="NL72" s="274"/>
      <c r="NM72" s="274"/>
      <c r="NN72" s="274"/>
      <c r="NO72" s="274"/>
      <c r="NP72" s="274"/>
      <c r="NQ72" s="274"/>
      <c r="NR72" s="274"/>
      <c r="NS72" s="274"/>
      <c r="NT72" s="274"/>
      <c r="NU72" s="274"/>
      <c r="NV72" s="274"/>
      <c r="NW72" s="274"/>
      <c r="NX72" s="274"/>
      <c r="NY72" s="274"/>
      <c r="NZ72" s="274"/>
      <c r="OA72" s="274"/>
      <c r="OB72" s="274"/>
      <c r="OC72" s="274"/>
      <c r="OD72" s="292"/>
      <c r="OE72" s="296"/>
      <c r="OF72" s="296"/>
      <c r="OG72" s="296"/>
      <c r="OH72" s="296"/>
      <c r="OI72" s="296"/>
      <c r="OJ72" s="296"/>
      <c r="QK72" s="151"/>
      <c r="QL72" s="151"/>
      <c r="QN72" s="151"/>
      <c r="QQ72" s="152"/>
      <c r="QR72" s="153"/>
    </row>
    <row r="73" spans="3:465" ht="5.0999999999999996" customHeight="1" x14ac:dyDescent="0.3">
      <c r="C73" s="149"/>
      <c r="D73" s="150"/>
      <c r="I73" s="273"/>
      <c r="J73" s="274"/>
      <c r="K73" s="274"/>
      <c r="L73" s="274"/>
      <c r="M73" s="274"/>
      <c r="N73" s="274"/>
      <c r="O73" s="274"/>
      <c r="P73" s="274"/>
      <c r="Q73" s="274"/>
      <c r="R73" s="274"/>
      <c r="S73" s="274"/>
      <c r="T73" s="274"/>
      <c r="U73" s="274"/>
      <c r="V73" s="274"/>
      <c r="W73" s="274"/>
      <c r="X73" s="274"/>
      <c r="Y73" s="274"/>
      <c r="Z73" s="274"/>
      <c r="AA73" s="274"/>
      <c r="AB73" s="274"/>
      <c r="AC73" s="274"/>
      <c r="AD73" s="274"/>
      <c r="AE73" s="274"/>
      <c r="AF73" s="274"/>
      <c r="AG73" s="274"/>
      <c r="AH73" s="274"/>
      <c r="AI73" s="274"/>
      <c r="AJ73" s="274"/>
      <c r="AK73" s="274"/>
      <c r="AL73" s="274"/>
      <c r="AM73" s="274"/>
      <c r="AN73" s="274"/>
      <c r="AO73" s="274"/>
      <c r="AP73" s="274"/>
      <c r="AQ73" s="274"/>
      <c r="AR73" s="274"/>
      <c r="AS73" s="274"/>
      <c r="AT73" s="274"/>
      <c r="AU73" s="274"/>
      <c r="AV73" s="274"/>
      <c r="AW73" s="275"/>
      <c r="AX73" s="282"/>
      <c r="AY73" s="283"/>
      <c r="AZ73" s="283"/>
      <c r="BA73" s="283"/>
      <c r="BB73" s="284"/>
      <c r="BZ73" s="269"/>
      <c r="CA73" s="269"/>
      <c r="CB73" s="269"/>
      <c r="CC73" s="269"/>
      <c r="CD73" s="269"/>
      <c r="CE73" s="269"/>
      <c r="CF73" s="269"/>
      <c r="CG73" s="269"/>
      <c r="CH73" s="269"/>
      <c r="CI73" s="269"/>
      <c r="CJ73" s="269"/>
      <c r="CK73" s="269"/>
      <c r="CL73" s="269"/>
      <c r="CM73" s="269"/>
      <c r="CN73" s="269"/>
      <c r="CO73" s="269"/>
      <c r="CP73" s="269"/>
      <c r="CQ73" s="269"/>
      <c r="CR73" s="269"/>
      <c r="CS73" s="269"/>
      <c r="CT73" s="269"/>
      <c r="CU73" s="269"/>
      <c r="CV73" s="269"/>
      <c r="CW73" s="269"/>
      <c r="CX73" s="269"/>
      <c r="CY73" s="269"/>
      <c r="CZ73" s="269"/>
      <c r="DA73" s="269"/>
      <c r="DB73" s="269"/>
      <c r="DC73" s="269"/>
      <c r="DD73" s="269"/>
      <c r="DE73" s="269"/>
      <c r="DF73" s="269"/>
      <c r="DG73" s="269"/>
      <c r="DH73" s="269"/>
      <c r="DI73" s="269"/>
      <c r="DJ73" s="269"/>
      <c r="DK73" s="269"/>
      <c r="DL73" s="269"/>
      <c r="DM73" s="269"/>
      <c r="DN73" s="269"/>
      <c r="DO73" s="269"/>
      <c r="DP73" s="269"/>
      <c r="DQ73" s="269"/>
      <c r="DR73" s="269"/>
      <c r="DS73" s="269"/>
      <c r="ED73" s="155"/>
      <c r="ET73" s="269"/>
      <c r="EU73" s="269"/>
      <c r="EV73" s="269"/>
      <c r="EW73" s="269"/>
      <c r="EX73" s="269"/>
      <c r="EY73" s="269"/>
      <c r="EZ73" s="269"/>
      <c r="FA73" s="269"/>
      <c r="FB73" s="269"/>
      <c r="FC73" s="269"/>
      <c r="FD73" s="269"/>
      <c r="FE73" s="269"/>
      <c r="FF73" s="269"/>
      <c r="FG73" s="269"/>
      <c r="FH73" s="269"/>
      <c r="FI73" s="269"/>
      <c r="FJ73" s="269"/>
      <c r="FK73" s="269"/>
      <c r="FL73" s="269"/>
      <c r="FM73" s="269"/>
      <c r="FN73" s="269"/>
      <c r="FO73" s="269"/>
      <c r="FP73" s="269"/>
      <c r="FQ73" s="269"/>
      <c r="FR73" s="269"/>
      <c r="FS73" s="269"/>
      <c r="FT73" s="269"/>
      <c r="FU73" s="269"/>
      <c r="FV73" s="269"/>
      <c r="FW73" s="269"/>
      <c r="FX73" s="269"/>
      <c r="FY73" s="269"/>
      <c r="FZ73" s="269"/>
      <c r="GA73" s="269"/>
      <c r="GB73" s="269"/>
      <c r="GC73" s="269"/>
      <c r="GD73" s="269"/>
      <c r="GE73" s="269"/>
      <c r="GF73" s="269"/>
      <c r="GG73" s="269"/>
      <c r="GH73" s="269"/>
      <c r="GI73" s="269"/>
      <c r="GJ73" s="269"/>
      <c r="GK73" s="269"/>
      <c r="GL73" s="269"/>
      <c r="GM73" s="269"/>
      <c r="LD73" s="155"/>
      <c r="MP73" s="293"/>
      <c r="MQ73" s="294"/>
      <c r="MR73" s="294"/>
      <c r="MS73" s="294"/>
      <c r="MT73" s="294"/>
      <c r="MU73" s="294"/>
      <c r="MV73" s="294"/>
      <c r="MW73" s="294"/>
      <c r="MX73" s="294"/>
      <c r="MY73" s="294"/>
      <c r="MZ73" s="294"/>
      <c r="NA73" s="294"/>
      <c r="NB73" s="294"/>
      <c r="NC73" s="294"/>
      <c r="ND73" s="294"/>
      <c r="NE73" s="294"/>
      <c r="NF73" s="294"/>
      <c r="NG73" s="294"/>
      <c r="NH73" s="294"/>
      <c r="NI73" s="294"/>
      <c r="NJ73" s="294"/>
      <c r="NK73" s="294"/>
      <c r="NL73" s="294"/>
      <c r="NM73" s="294"/>
      <c r="NN73" s="294"/>
      <c r="NO73" s="294"/>
      <c r="NP73" s="294"/>
      <c r="NQ73" s="294"/>
      <c r="NR73" s="294"/>
      <c r="NS73" s="294"/>
      <c r="NT73" s="294"/>
      <c r="NU73" s="294"/>
      <c r="NV73" s="294"/>
      <c r="NW73" s="294"/>
      <c r="NX73" s="294"/>
      <c r="NY73" s="294"/>
      <c r="NZ73" s="294"/>
      <c r="OA73" s="294"/>
      <c r="OB73" s="294"/>
      <c r="OC73" s="294"/>
      <c r="OD73" s="295"/>
      <c r="OE73" s="296"/>
      <c r="OF73" s="296"/>
      <c r="OG73" s="296"/>
      <c r="OH73" s="296"/>
      <c r="OI73" s="296"/>
      <c r="OJ73" s="296"/>
      <c r="QK73" s="151"/>
      <c r="QL73" s="151"/>
      <c r="QN73" s="151"/>
      <c r="QQ73" s="152"/>
      <c r="QR73" s="153"/>
    </row>
    <row r="74" spans="3:465" ht="5.0999999999999996" customHeight="1" x14ac:dyDescent="0.3">
      <c r="C74" s="149"/>
      <c r="D74" s="150"/>
      <c r="I74" s="273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74"/>
      <c r="V74" s="274"/>
      <c r="W74" s="274"/>
      <c r="X74" s="274"/>
      <c r="Y74" s="274"/>
      <c r="Z74" s="274"/>
      <c r="AA74" s="274"/>
      <c r="AB74" s="274"/>
      <c r="AC74" s="274"/>
      <c r="AD74" s="274"/>
      <c r="AE74" s="274"/>
      <c r="AF74" s="274"/>
      <c r="AG74" s="274"/>
      <c r="AH74" s="274"/>
      <c r="AI74" s="274"/>
      <c r="AJ74" s="274"/>
      <c r="AK74" s="274"/>
      <c r="AL74" s="274"/>
      <c r="AM74" s="274"/>
      <c r="AN74" s="274"/>
      <c r="AO74" s="274"/>
      <c r="AP74" s="274"/>
      <c r="AQ74" s="274"/>
      <c r="AR74" s="274"/>
      <c r="AS74" s="274"/>
      <c r="AT74" s="274"/>
      <c r="AU74" s="274"/>
      <c r="AV74" s="274"/>
      <c r="AW74" s="275"/>
      <c r="AX74" s="282"/>
      <c r="AY74" s="283"/>
      <c r="AZ74" s="283"/>
      <c r="BA74" s="283"/>
      <c r="BB74" s="284"/>
      <c r="BZ74" s="269"/>
      <c r="CA74" s="269"/>
      <c r="CB74" s="269"/>
      <c r="CC74" s="269"/>
      <c r="CD74" s="269"/>
      <c r="CE74" s="269"/>
      <c r="CF74" s="269"/>
      <c r="CG74" s="269"/>
      <c r="CH74" s="269"/>
      <c r="CI74" s="269"/>
      <c r="CJ74" s="269"/>
      <c r="CK74" s="269"/>
      <c r="CL74" s="269"/>
      <c r="CM74" s="269"/>
      <c r="CN74" s="269"/>
      <c r="CO74" s="269"/>
      <c r="CP74" s="269"/>
      <c r="CQ74" s="269"/>
      <c r="CR74" s="269"/>
      <c r="CS74" s="269"/>
      <c r="CT74" s="269"/>
      <c r="CU74" s="269"/>
      <c r="CV74" s="269"/>
      <c r="CW74" s="269"/>
      <c r="CX74" s="269"/>
      <c r="CY74" s="269"/>
      <c r="CZ74" s="269"/>
      <c r="DA74" s="269"/>
      <c r="DB74" s="269"/>
      <c r="DC74" s="269"/>
      <c r="DD74" s="269"/>
      <c r="DE74" s="269"/>
      <c r="DF74" s="269"/>
      <c r="DG74" s="269"/>
      <c r="DH74" s="269"/>
      <c r="DI74" s="269"/>
      <c r="DJ74" s="269"/>
      <c r="DK74" s="269"/>
      <c r="DL74" s="269"/>
      <c r="DM74" s="269"/>
      <c r="DN74" s="269"/>
      <c r="DO74" s="269"/>
      <c r="DP74" s="269"/>
      <c r="DQ74" s="269"/>
      <c r="DR74" s="269"/>
      <c r="DS74" s="269"/>
      <c r="ED74" s="155"/>
      <c r="ET74" s="269"/>
      <c r="EU74" s="269"/>
      <c r="EV74" s="269"/>
      <c r="EW74" s="269"/>
      <c r="EX74" s="269"/>
      <c r="EY74" s="269"/>
      <c r="EZ74" s="269"/>
      <c r="FA74" s="269"/>
      <c r="FB74" s="269"/>
      <c r="FC74" s="269"/>
      <c r="FD74" s="269"/>
      <c r="FE74" s="269"/>
      <c r="FF74" s="269"/>
      <c r="FG74" s="269"/>
      <c r="FH74" s="269"/>
      <c r="FI74" s="269"/>
      <c r="FJ74" s="269"/>
      <c r="FK74" s="269"/>
      <c r="FL74" s="269"/>
      <c r="FM74" s="269"/>
      <c r="FN74" s="269"/>
      <c r="FO74" s="269"/>
      <c r="FP74" s="269"/>
      <c r="FQ74" s="269"/>
      <c r="FR74" s="269"/>
      <c r="FS74" s="269"/>
      <c r="FT74" s="269"/>
      <c r="FU74" s="269"/>
      <c r="FV74" s="269"/>
      <c r="FW74" s="269"/>
      <c r="FX74" s="269"/>
      <c r="FY74" s="269"/>
      <c r="FZ74" s="269"/>
      <c r="GA74" s="269"/>
      <c r="GB74" s="269"/>
      <c r="GC74" s="269"/>
      <c r="GD74" s="269"/>
      <c r="GE74" s="269"/>
      <c r="GF74" s="269"/>
      <c r="GG74" s="269"/>
      <c r="GH74" s="269"/>
      <c r="GI74" s="269"/>
      <c r="GJ74" s="269"/>
      <c r="GK74" s="269"/>
      <c r="GL74" s="269"/>
      <c r="GM74" s="269"/>
      <c r="LD74" s="155"/>
      <c r="QK74" s="151"/>
      <c r="QL74" s="151"/>
      <c r="QN74" s="151"/>
      <c r="QQ74" s="152"/>
      <c r="QR74" s="153"/>
    </row>
    <row r="75" spans="3:465" ht="5.0999999999999996" customHeight="1" thickBot="1" x14ac:dyDescent="0.35">
      <c r="C75" s="149"/>
      <c r="D75" s="150"/>
      <c r="I75" s="273"/>
      <c r="J75" s="274"/>
      <c r="K75" s="274"/>
      <c r="L75" s="274"/>
      <c r="M75" s="274"/>
      <c r="N75" s="274"/>
      <c r="O75" s="274"/>
      <c r="P75" s="274"/>
      <c r="Q75" s="274"/>
      <c r="R75" s="274"/>
      <c r="S75" s="274"/>
      <c r="T75" s="274"/>
      <c r="U75" s="274"/>
      <c r="V75" s="274"/>
      <c r="W75" s="274"/>
      <c r="X75" s="274"/>
      <c r="Y75" s="274"/>
      <c r="Z75" s="274"/>
      <c r="AA75" s="274"/>
      <c r="AB75" s="274"/>
      <c r="AC75" s="274"/>
      <c r="AD75" s="274"/>
      <c r="AE75" s="274"/>
      <c r="AF75" s="274"/>
      <c r="AG75" s="274"/>
      <c r="AH75" s="274"/>
      <c r="AI75" s="274"/>
      <c r="AJ75" s="274"/>
      <c r="AK75" s="274"/>
      <c r="AL75" s="274"/>
      <c r="AM75" s="274"/>
      <c r="AN75" s="274"/>
      <c r="AO75" s="274"/>
      <c r="AP75" s="274"/>
      <c r="AQ75" s="274"/>
      <c r="AR75" s="274"/>
      <c r="AS75" s="274"/>
      <c r="AT75" s="274"/>
      <c r="AU75" s="274"/>
      <c r="AV75" s="274"/>
      <c r="AW75" s="275"/>
      <c r="AX75" s="282"/>
      <c r="AY75" s="283"/>
      <c r="AZ75" s="283"/>
      <c r="BA75" s="283"/>
      <c r="BB75" s="284"/>
      <c r="BZ75" s="269"/>
      <c r="CA75" s="269"/>
      <c r="CB75" s="269"/>
      <c r="CC75" s="269"/>
      <c r="CD75" s="269"/>
      <c r="CE75" s="269"/>
      <c r="CF75" s="269"/>
      <c r="CG75" s="269"/>
      <c r="CH75" s="269"/>
      <c r="CI75" s="269"/>
      <c r="CJ75" s="269"/>
      <c r="CK75" s="269"/>
      <c r="CL75" s="269"/>
      <c r="CM75" s="269"/>
      <c r="CN75" s="269"/>
      <c r="CO75" s="269"/>
      <c r="CP75" s="269"/>
      <c r="CQ75" s="269"/>
      <c r="CR75" s="269"/>
      <c r="CS75" s="269"/>
      <c r="CT75" s="269"/>
      <c r="CU75" s="269"/>
      <c r="CV75" s="269"/>
      <c r="CW75" s="269"/>
      <c r="CX75" s="269"/>
      <c r="CY75" s="269"/>
      <c r="CZ75" s="269"/>
      <c r="DA75" s="269"/>
      <c r="DB75" s="269"/>
      <c r="DC75" s="269"/>
      <c r="DD75" s="269"/>
      <c r="DE75" s="269"/>
      <c r="DF75" s="269"/>
      <c r="DG75" s="269"/>
      <c r="DH75" s="269"/>
      <c r="DI75" s="269"/>
      <c r="DJ75" s="269"/>
      <c r="DK75" s="269"/>
      <c r="DL75" s="269"/>
      <c r="DM75" s="269"/>
      <c r="DN75" s="269"/>
      <c r="DO75" s="269"/>
      <c r="DP75" s="269"/>
      <c r="DQ75" s="269"/>
      <c r="DR75" s="269"/>
      <c r="DS75" s="269"/>
      <c r="ED75" s="155"/>
      <c r="ET75" s="269"/>
      <c r="EU75" s="269"/>
      <c r="EV75" s="269"/>
      <c r="EW75" s="269"/>
      <c r="EX75" s="269"/>
      <c r="EY75" s="269"/>
      <c r="EZ75" s="269"/>
      <c r="FA75" s="269"/>
      <c r="FB75" s="269"/>
      <c r="FC75" s="269"/>
      <c r="FD75" s="269"/>
      <c r="FE75" s="269"/>
      <c r="FF75" s="269"/>
      <c r="FG75" s="269"/>
      <c r="FH75" s="269"/>
      <c r="FI75" s="269"/>
      <c r="FJ75" s="269"/>
      <c r="FK75" s="269"/>
      <c r="FL75" s="269"/>
      <c r="FM75" s="269"/>
      <c r="FN75" s="269"/>
      <c r="FO75" s="269"/>
      <c r="FP75" s="269"/>
      <c r="FQ75" s="269"/>
      <c r="FR75" s="269"/>
      <c r="FS75" s="269"/>
      <c r="FT75" s="269"/>
      <c r="FU75" s="269"/>
      <c r="FV75" s="269"/>
      <c r="FW75" s="269"/>
      <c r="FX75" s="269"/>
      <c r="FY75" s="269"/>
      <c r="FZ75" s="269"/>
      <c r="GA75" s="269"/>
      <c r="GB75" s="269"/>
      <c r="GC75" s="269"/>
      <c r="GD75" s="269"/>
      <c r="GE75" s="269"/>
      <c r="GF75" s="269"/>
      <c r="GG75" s="269"/>
      <c r="GH75" s="269"/>
      <c r="GI75" s="269"/>
      <c r="GJ75" s="269"/>
      <c r="GK75" s="269"/>
      <c r="GL75" s="269"/>
      <c r="GM75" s="269"/>
      <c r="LD75" s="155"/>
      <c r="QK75" s="151"/>
      <c r="QL75" s="151"/>
      <c r="QN75" s="151"/>
      <c r="QQ75" s="152"/>
      <c r="QR75" s="153"/>
    </row>
    <row r="76" spans="3:465" ht="5.0999999999999996" customHeight="1" x14ac:dyDescent="0.3">
      <c r="C76" s="149"/>
      <c r="D76" s="150"/>
      <c r="I76" s="273"/>
      <c r="J76" s="274"/>
      <c r="K76" s="274"/>
      <c r="L76" s="274"/>
      <c r="M76" s="274"/>
      <c r="N76" s="274"/>
      <c r="O76" s="274"/>
      <c r="P76" s="274"/>
      <c r="Q76" s="274"/>
      <c r="R76" s="274"/>
      <c r="S76" s="274"/>
      <c r="T76" s="274"/>
      <c r="U76" s="274"/>
      <c r="V76" s="274"/>
      <c r="W76" s="274"/>
      <c r="X76" s="274"/>
      <c r="Y76" s="274"/>
      <c r="Z76" s="274"/>
      <c r="AA76" s="274"/>
      <c r="AB76" s="274"/>
      <c r="AC76" s="274"/>
      <c r="AD76" s="274"/>
      <c r="AE76" s="274"/>
      <c r="AF76" s="274"/>
      <c r="AG76" s="274"/>
      <c r="AH76" s="274"/>
      <c r="AI76" s="274"/>
      <c r="AJ76" s="274"/>
      <c r="AK76" s="274"/>
      <c r="AL76" s="274"/>
      <c r="AM76" s="274"/>
      <c r="AN76" s="274"/>
      <c r="AO76" s="274"/>
      <c r="AP76" s="274"/>
      <c r="AQ76" s="274"/>
      <c r="AR76" s="274"/>
      <c r="AS76" s="274"/>
      <c r="AT76" s="274"/>
      <c r="AU76" s="274"/>
      <c r="AV76" s="274"/>
      <c r="AW76" s="275"/>
      <c r="AX76" s="282"/>
      <c r="AY76" s="283"/>
      <c r="AZ76" s="283"/>
      <c r="BA76" s="283"/>
      <c r="BB76" s="284"/>
      <c r="BZ76" s="269"/>
      <c r="CA76" s="269"/>
      <c r="CB76" s="269"/>
      <c r="CC76" s="269"/>
      <c r="CD76" s="269"/>
      <c r="CE76" s="269"/>
      <c r="CF76" s="269"/>
      <c r="CG76" s="269"/>
      <c r="CH76" s="269"/>
      <c r="CI76" s="269"/>
      <c r="CJ76" s="269"/>
      <c r="CK76" s="269"/>
      <c r="CL76" s="269"/>
      <c r="CM76" s="269"/>
      <c r="CN76" s="269"/>
      <c r="CO76" s="269"/>
      <c r="CP76" s="269"/>
      <c r="CQ76" s="269"/>
      <c r="CR76" s="269"/>
      <c r="CS76" s="269"/>
      <c r="CT76" s="269"/>
      <c r="CU76" s="269"/>
      <c r="CV76" s="269"/>
      <c r="CW76" s="269"/>
      <c r="CX76" s="269"/>
      <c r="CY76" s="269"/>
      <c r="CZ76" s="269"/>
      <c r="DA76" s="269"/>
      <c r="DB76" s="269"/>
      <c r="DC76" s="269"/>
      <c r="DD76" s="269"/>
      <c r="DE76" s="269"/>
      <c r="DF76" s="269"/>
      <c r="DG76" s="269"/>
      <c r="DH76" s="269"/>
      <c r="DI76" s="269"/>
      <c r="DJ76" s="269"/>
      <c r="DK76" s="269"/>
      <c r="DL76" s="269"/>
      <c r="DM76" s="269"/>
      <c r="DN76" s="269"/>
      <c r="DO76" s="269"/>
      <c r="DP76" s="269"/>
      <c r="DQ76" s="269"/>
      <c r="DR76" s="269"/>
      <c r="DS76" s="269"/>
      <c r="DT76" s="160"/>
      <c r="DU76" s="160"/>
      <c r="DV76" s="160"/>
      <c r="DW76" s="160"/>
      <c r="DX76" s="160"/>
      <c r="DY76" s="160"/>
      <c r="DZ76" s="160"/>
      <c r="EA76" s="160"/>
      <c r="EB76" s="160"/>
      <c r="EC76" s="160"/>
      <c r="ED76" s="159"/>
      <c r="EE76" s="160"/>
      <c r="EF76" s="160"/>
      <c r="EG76" s="160"/>
      <c r="EH76" s="160"/>
      <c r="EI76" s="160"/>
      <c r="EJ76" s="160"/>
      <c r="EK76" s="160"/>
      <c r="EL76" s="160"/>
      <c r="EM76" s="160"/>
      <c r="EN76" s="160"/>
      <c r="EO76" s="160"/>
      <c r="EP76" s="160"/>
      <c r="EQ76" s="160"/>
      <c r="ER76" s="160"/>
      <c r="ES76" s="179"/>
      <c r="ET76" s="269"/>
      <c r="EU76" s="269"/>
      <c r="EV76" s="269"/>
      <c r="EW76" s="269"/>
      <c r="EX76" s="269"/>
      <c r="EY76" s="269"/>
      <c r="EZ76" s="269"/>
      <c r="FA76" s="269"/>
      <c r="FB76" s="269"/>
      <c r="FC76" s="269"/>
      <c r="FD76" s="269"/>
      <c r="FE76" s="269"/>
      <c r="FF76" s="269"/>
      <c r="FG76" s="269"/>
      <c r="FH76" s="269"/>
      <c r="FI76" s="269"/>
      <c r="FJ76" s="269"/>
      <c r="FK76" s="269"/>
      <c r="FL76" s="269"/>
      <c r="FM76" s="269"/>
      <c r="FN76" s="269"/>
      <c r="FO76" s="269"/>
      <c r="FP76" s="269"/>
      <c r="FQ76" s="269"/>
      <c r="FR76" s="269"/>
      <c r="FS76" s="269"/>
      <c r="FT76" s="269"/>
      <c r="FU76" s="269"/>
      <c r="FV76" s="269"/>
      <c r="FW76" s="269"/>
      <c r="FX76" s="269"/>
      <c r="FY76" s="269"/>
      <c r="FZ76" s="269"/>
      <c r="GA76" s="269"/>
      <c r="GB76" s="269"/>
      <c r="GC76" s="269"/>
      <c r="GD76" s="269"/>
      <c r="GE76" s="269"/>
      <c r="GF76" s="269"/>
      <c r="GG76" s="269"/>
      <c r="GH76" s="269"/>
      <c r="GI76" s="269"/>
      <c r="GJ76" s="269"/>
      <c r="GK76" s="269"/>
      <c r="GL76" s="269"/>
      <c r="GM76" s="269"/>
      <c r="LD76" s="155"/>
      <c r="MK76" s="180"/>
      <c r="ML76" s="180"/>
      <c r="MM76" s="180"/>
      <c r="QK76" s="151"/>
      <c r="QL76" s="151"/>
      <c r="QN76" s="151"/>
      <c r="QQ76" s="152"/>
      <c r="QR76" s="153"/>
    </row>
    <row r="77" spans="3:465" ht="5.0999999999999996" customHeight="1" x14ac:dyDescent="0.3">
      <c r="C77" s="149"/>
      <c r="D77" s="150"/>
      <c r="I77" s="273"/>
      <c r="J77" s="274"/>
      <c r="K77" s="274"/>
      <c r="L77" s="274"/>
      <c r="M77" s="274"/>
      <c r="N77" s="274"/>
      <c r="O77" s="274"/>
      <c r="P77" s="274"/>
      <c r="Q77" s="274"/>
      <c r="R77" s="274"/>
      <c r="S77" s="274"/>
      <c r="T77" s="274"/>
      <c r="U77" s="274"/>
      <c r="V77" s="274"/>
      <c r="W77" s="274"/>
      <c r="X77" s="274"/>
      <c r="Y77" s="274"/>
      <c r="Z77" s="274"/>
      <c r="AA77" s="274"/>
      <c r="AB77" s="274"/>
      <c r="AC77" s="274"/>
      <c r="AD77" s="274"/>
      <c r="AE77" s="274"/>
      <c r="AF77" s="274"/>
      <c r="AG77" s="274"/>
      <c r="AH77" s="274"/>
      <c r="AI77" s="274"/>
      <c r="AJ77" s="274"/>
      <c r="AK77" s="274"/>
      <c r="AL77" s="274"/>
      <c r="AM77" s="274"/>
      <c r="AN77" s="274"/>
      <c r="AO77" s="274"/>
      <c r="AP77" s="274"/>
      <c r="AQ77" s="274"/>
      <c r="AR77" s="274"/>
      <c r="AS77" s="274"/>
      <c r="AT77" s="274"/>
      <c r="AU77" s="274"/>
      <c r="AV77" s="274"/>
      <c r="AW77" s="275"/>
      <c r="AX77" s="282"/>
      <c r="AY77" s="283"/>
      <c r="AZ77" s="283"/>
      <c r="BA77" s="283"/>
      <c r="BB77" s="284"/>
      <c r="BZ77" s="269"/>
      <c r="CA77" s="269"/>
      <c r="CB77" s="269"/>
      <c r="CC77" s="269"/>
      <c r="CD77" s="269"/>
      <c r="CE77" s="269"/>
      <c r="CF77" s="269"/>
      <c r="CG77" s="269"/>
      <c r="CH77" s="269"/>
      <c r="CI77" s="269"/>
      <c r="CJ77" s="269"/>
      <c r="CK77" s="269"/>
      <c r="CL77" s="269"/>
      <c r="CM77" s="269"/>
      <c r="CN77" s="269"/>
      <c r="CO77" s="269"/>
      <c r="CP77" s="269"/>
      <c r="CQ77" s="269"/>
      <c r="CR77" s="269"/>
      <c r="CS77" s="269"/>
      <c r="CT77" s="269"/>
      <c r="CU77" s="269"/>
      <c r="CV77" s="269"/>
      <c r="CW77" s="269"/>
      <c r="CX77" s="269"/>
      <c r="CY77" s="269"/>
      <c r="CZ77" s="269"/>
      <c r="DA77" s="269"/>
      <c r="DB77" s="269"/>
      <c r="DC77" s="269"/>
      <c r="DD77" s="269"/>
      <c r="DE77" s="269"/>
      <c r="DF77" s="269"/>
      <c r="DG77" s="269"/>
      <c r="DH77" s="269"/>
      <c r="DI77" s="269"/>
      <c r="DJ77" s="269"/>
      <c r="DK77" s="269"/>
      <c r="DL77" s="269"/>
      <c r="DM77" s="269"/>
      <c r="DN77" s="269"/>
      <c r="DO77" s="269"/>
      <c r="DP77" s="269"/>
      <c r="DQ77" s="269"/>
      <c r="DR77" s="269"/>
      <c r="DS77" s="269"/>
      <c r="ED77" s="155"/>
      <c r="ES77" s="152"/>
      <c r="ET77" s="269"/>
      <c r="EU77" s="269"/>
      <c r="EV77" s="269"/>
      <c r="EW77" s="269"/>
      <c r="EX77" s="269"/>
      <c r="EY77" s="269"/>
      <c r="EZ77" s="269"/>
      <c r="FA77" s="269"/>
      <c r="FB77" s="269"/>
      <c r="FC77" s="269"/>
      <c r="FD77" s="269"/>
      <c r="FE77" s="269"/>
      <c r="FF77" s="269"/>
      <c r="FG77" s="269"/>
      <c r="FH77" s="269"/>
      <c r="FI77" s="269"/>
      <c r="FJ77" s="269"/>
      <c r="FK77" s="269"/>
      <c r="FL77" s="269"/>
      <c r="FM77" s="269"/>
      <c r="FN77" s="269"/>
      <c r="FO77" s="269"/>
      <c r="FP77" s="269"/>
      <c r="FQ77" s="269"/>
      <c r="FR77" s="269"/>
      <c r="FS77" s="269"/>
      <c r="FT77" s="269"/>
      <c r="FU77" s="269"/>
      <c r="FV77" s="269"/>
      <c r="FW77" s="269"/>
      <c r="FX77" s="269"/>
      <c r="FY77" s="269"/>
      <c r="FZ77" s="269"/>
      <c r="GA77" s="269"/>
      <c r="GB77" s="269"/>
      <c r="GC77" s="269"/>
      <c r="GD77" s="269"/>
      <c r="GE77" s="269"/>
      <c r="GF77" s="269"/>
      <c r="GG77" s="269"/>
      <c r="GH77" s="269"/>
      <c r="GI77" s="269"/>
      <c r="GJ77" s="269"/>
      <c r="GK77" s="269"/>
      <c r="GL77" s="269"/>
      <c r="GM77" s="269"/>
      <c r="LD77" s="155"/>
      <c r="ML77" s="180"/>
      <c r="MM77" s="180"/>
      <c r="MN77" s="180"/>
      <c r="QK77" s="151"/>
      <c r="QL77" s="151"/>
      <c r="QN77" s="151"/>
      <c r="QQ77" s="152"/>
      <c r="QR77" s="153"/>
    </row>
    <row r="78" spans="3:465" ht="5.0999999999999996" customHeight="1" thickBot="1" x14ac:dyDescent="0.35">
      <c r="C78" s="149"/>
      <c r="D78" s="150"/>
      <c r="I78" s="276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  <c r="Z78" s="277"/>
      <c r="AA78" s="277"/>
      <c r="AB78" s="277"/>
      <c r="AC78" s="277"/>
      <c r="AD78" s="277"/>
      <c r="AE78" s="277"/>
      <c r="AF78" s="277"/>
      <c r="AG78" s="277"/>
      <c r="AH78" s="277"/>
      <c r="AI78" s="277"/>
      <c r="AJ78" s="277"/>
      <c r="AK78" s="277"/>
      <c r="AL78" s="277"/>
      <c r="AM78" s="277"/>
      <c r="AN78" s="277"/>
      <c r="AO78" s="277"/>
      <c r="AP78" s="277"/>
      <c r="AQ78" s="277"/>
      <c r="AR78" s="277"/>
      <c r="AS78" s="277"/>
      <c r="AT78" s="277"/>
      <c r="AU78" s="277"/>
      <c r="AV78" s="277"/>
      <c r="AW78" s="278"/>
      <c r="AX78" s="285"/>
      <c r="AY78" s="286"/>
      <c r="AZ78" s="286"/>
      <c r="BA78" s="286"/>
      <c r="BB78" s="287"/>
      <c r="BZ78" s="269"/>
      <c r="CA78" s="269"/>
      <c r="CB78" s="269"/>
      <c r="CC78" s="269"/>
      <c r="CD78" s="269"/>
      <c r="CE78" s="269"/>
      <c r="CF78" s="269"/>
      <c r="CG78" s="269"/>
      <c r="CH78" s="269"/>
      <c r="CI78" s="269"/>
      <c r="CJ78" s="269"/>
      <c r="CK78" s="269"/>
      <c r="CL78" s="269"/>
      <c r="CM78" s="269"/>
      <c r="CN78" s="269"/>
      <c r="CO78" s="269"/>
      <c r="CP78" s="269"/>
      <c r="CQ78" s="269"/>
      <c r="CR78" s="269"/>
      <c r="CS78" s="269"/>
      <c r="CT78" s="269"/>
      <c r="CU78" s="269"/>
      <c r="CV78" s="269"/>
      <c r="CW78" s="269"/>
      <c r="CX78" s="269"/>
      <c r="CY78" s="269"/>
      <c r="CZ78" s="269"/>
      <c r="DA78" s="269"/>
      <c r="DB78" s="269"/>
      <c r="DC78" s="269"/>
      <c r="DD78" s="269"/>
      <c r="DE78" s="269"/>
      <c r="DF78" s="269"/>
      <c r="DG78" s="269"/>
      <c r="DH78" s="269"/>
      <c r="DI78" s="269"/>
      <c r="DJ78" s="269"/>
      <c r="DK78" s="269"/>
      <c r="DL78" s="269"/>
      <c r="DM78" s="269"/>
      <c r="DN78" s="269"/>
      <c r="DO78" s="269"/>
      <c r="DP78" s="269"/>
      <c r="DQ78" s="269"/>
      <c r="DR78" s="269"/>
      <c r="DS78" s="269"/>
      <c r="ED78" s="155"/>
      <c r="ES78" s="152"/>
      <c r="ET78" s="269"/>
      <c r="EU78" s="269"/>
      <c r="EV78" s="269"/>
      <c r="EW78" s="269"/>
      <c r="EX78" s="269"/>
      <c r="EY78" s="269"/>
      <c r="EZ78" s="269"/>
      <c r="FA78" s="269"/>
      <c r="FB78" s="269"/>
      <c r="FC78" s="269"/>
      <c r="FD78" s="269"/>
      <c r="FE78" s="269"/>
      <c r="FF78" s="269"/>
      <c r="FG78" s="269"/>
      <c r="FH78" s="269"/>
      <c r="FI78" s="269"/>
      <c r="FJ78" s="269"/>
      <c r="FK78" s="269"/>
      <c r="FL78" s="269"/>
      <c r="FM78" s="269"/>
      <c r="FN78" s="269"/>
      <c r="FO78" s="269"/>
      <c r="FP78" s="269"/>
      <c r="FQ78" s="269"/>
      <c r="FR78" s="269"/>
      <c r="FS78" s="269"/>
      <c r="FT78" s="269"/>
      <c r="FU78" s="269"/>
      <c r="FV78" s="269"/>
      <c r="FW78" s="269"/>
      <c r="FX78" s="269"/>
      <c r="FY78" s="269"/>
      <c r="FZ78" s="269"/>
      <c r="GA78" s="269"/>
      <c r="GB78" s="269"/>
      <c r="GC78" s="269"/>
      <c r="GD78" s="269"/>
      <c r="GE78" s="269"/>
      <c r="GF78" s="269"/>
      <c r="GG78" s="269"/>
      <c r="GH78" s="269"/>
      <c r="GI78" s="269"/>
      <c r="GJ78" s="269"/>
      <c r="GK78" s="269"/>
      <c r="GL78" s="269"/>
      <c r="GM78" s="269"/>
      <c r="LD78" s="155"/>
      <c r="ML78" s="180"/>
      <c r="MM78" s="180"/>
      <c r="MN78" s="180"/>
      <c r="QK78" s="151"/>
      <c r="QL78" s="151"/>
      <c r="QN78" s="151"/>
      <c r="QQ78" s="152"/>
      <c r="QR78" s="153"/>
    </row>
    <row r="79" spans="3:465" ht="5.0999999999999996" customHeight="1" x14ac:dyDescent="0.3">
      <c r="C79" s="149"/>
      <c r="D79" s="150"/>
      <c r="I79" s="270" t="s">
        <v>275</v>
      </c>
      <c r="J79" s="271"/>
      <c r="K79" s="271"/>
      <c r="L79" s="271"/>
      <c r="M79" s="271"/>
      <c r="N79" s="271"/>
      <c r="O79" s="271"/>
      <c r="P79" s="271"/>
      <c r="Q79" s="271"/>
      <c r="R79" s="271"/>
      <c r="S79" s="271"/>
      <c r="T79" s="271"/>
      <c r="U79" s="271"/>
      <c r="V79" s="271"/>
      <c r="W79" s="271"/>
      <c r="X79" s="271"/>
      <c r="Y79" s="271"/>
      <c r="Z79" s="271"/>
      <c r="AA79" s="271"/>
      <c r="AB79" s="271"/>
      <c r="AC79" s="271"/>
      <c r="AD79" s="271"/>
      <c r="AE79" s="271"/>
      <c r="AF79" s="271"/>
      <c r="AG79" s="271"/>
      <c r="AH79" s="271"/>
      <c r="AI79" s="271"/>
      <c r="AJ79" s="271"/>
      <c r="AK79" s="271"/>
      <c r="AL79" s="271"/>
      <c r="AM79" s="271"/>
      <c r="AN79" s="271"/>
      <c r="AO79" s="271"/>
      <c r="AP79" s="271"/>
      <c r="AQ79" s="271"/>
      <c r="AR79" s="271"/>
      <c r="AS79" s="271"/>
      <c r="AT79" s="271"/>
      <c r="AU79" s="271"/>
      <c r="AV79" s="271"/>
      <c r="AW79" s="272"/>
      <c r="AX79" s="279">
        <v>4</v>
      </c>
      <c r="AY79" s="280"/>
      <c r="AZ79" s="280"/>
      <c r="BA79" s="280"/>
      <c r="BB79" s="281"/>
      <c r="BZ79" s="269"/>
      <c r="CA79" s="269"/>
      <c r="CB79" s="269"/>
      <c r="CC79" s="269"/>
      <c r="CD79" s="269"/>
      <c r="CE79" s="269"/>
      <c r="CF79" s="269"/>
      <c r="CG79" s="269"/>
      <c r="CH79" s="269"/>
      <c r="CI79" s="269"/>
      <c r="CJ79" s="269"/>
      <c r="CK79" s="269"/>
      <c r="CL79" s="269"/>
      <c r="CM79" s="269"/>
      <c r="CN79" s="269"/>
      <c r="CO79" s="269"/>
      <c r="CP79" s="269"/>
      <c r="CQ79" s="269"/>
      <c r="CR79" s="269"/>
      <c r="CS79" s="269"/>
      <c r="CT79" s="269"/>
      <c r="CU79" s="269"/>
      <c r="CV79" s="269"/>
      <c r="CW79" s="269"/>
      <c r="CX79" s="269"/>
      <c r="CY79" s="269"/>
      <c r="CZ79" s="269"/>
      <c r="DA79" s="269"/>
      <c r="DB79" s="269"/>
      <c r="DC79" s="269"/>
      <c r="DD79" s="269"/>
      <c r="DE79" s="269"/>
      <c r="DF79" s="269"/>
      <c r="DG79" s="269"/>
      <c r="DH79" s="269"/>
      <c r="DI79" s="269"/>
      <c r="DJ79" s="269"/>
      <c r="DK79" s="269"/>
      <c r="DL79" s="269"/>
      <c r="DM79" s="269"/>
      <c r="DN79" s="269"/>
      <c r="DO79" s="269"/>
      <c r="DP79" s="269"/>
      <c r="DQ79" s="269"/>
      <c r="DR79" s="269"/>
      <c r="DS79" s="269"/>
      <c r="ED79" s="155"/>
      <c r="ES79" s="152"/>
      <c r="ET79" s="269"/>
      <c r="EU79" s="269"/>
      <c r="EV79" s="269"/>
      <c r="EW79" s="269"/>
      <c r="EX79" s="269"/>
      <c r="EY79" s="269"/>
      <c r="EZ79" s="269"/>
      <c r="FA79" s="269"/>
      <c r="FB79" s="269"/>
      <c r="FC79" s="269"/>
      <c r="FD79" s="269"/>
      <c r="FE79" s="269"/>
      <c r="FF79" s="269"/>
      <c r="FG79" s="269"/>
      <c r="FH79" s="269"/>
      <c r="FI79" s="269"/>
      <c r="FJ79" s="269"/>
      <c r="FK79" s="269"/>
      <c r="FL79" s="269"/>
      <c r="FM79" s="269"/>
      <c r="FN79" s="269"/>
      <c r="FO79" s="269"/>
      <c r="FP79" s="269"/>
      <c r="FQ79" s="269"/>
      <c r="FR79" s="269"/>
      <c r="FS79" s="269"/>
      <c r="FT79" s="269"/>
      <c r="FU79" s="269"/>
      <c r="FV79" s="269"/>
      <c r="FW79" s="269"/>
      <c r="FX79" s="269"/>
      <c r="FY79" s="269"/>
      <c r="FZ79" s="269"/>
      <c r="GA79" s="269"/>
      <c r="GB79" s="269"/>
      <c r="GC79" s="269"/>
      <c r="GD79" s="269"/>
      <c r="GE79" s="269"/>
      <c r="GF79" s="269"/>
      <c r="GG79" s="269"/>
      <c r="GH79" s="269"/>
      <c r="GI79" s="269"/>
      <c r="GJ79" s="269"/>
      <c r="GK79" s="269"/>
      <c r="GL79" s="269"/>
      <c r="GM79" s="269"/>
      <c r="JM79" s="159"/>
      <c r="JN79" s="160"/>
      <c r="JO79" s="160"/>
      <c r="JP79" s="160"/>
      <c r="JQ79" s="160"/>
      <c r="JR79" s="160"/>
      <c r="JS79" s="160"/>
      <c r="JT79" s="160"/>
      <c r="JU79" s="160"/>
      <c r="JV79" s="160"/>
      <c r="JW79" s="160"/>
      <c r="JX79" s="160"/>
      <c r="JY79" s="160"/>
      <c r="JZ79" s="160"/>
      <c r="KA79" s="160"/>
      <c r="KB79" s="160"/>
      <c r="KC79" s="160"/>
      <c r="KD79" s="160"/>
      <c r="KE79" s="160"/>
      <c r="KF79" s="160"/>
      <c r="KG79" s="160"/>
      <c r="KH79" s="160"/>
      <c r="KI79" s="160"/>
      <c r="KJ79" s="160"/>
      <c r="KK79" s="160"/>
      <c r="KL79" s="160"/>
      <c r="KM79" s="160"/>
      <c r="KN79" s="160"/>
      <c r="KO79" s="160"/>
      <c r="KP79" s="160"/>
      <c r="KQ79" s="160"/>
      <c r="KR79" s="160"/>
      <c r="KS79" s="160"/>
      <c r="KT79" s="160"/>
      <c r="KU79" s="160"/>
      <c r="KV79" s="160"/>
      <c r="KW79" s="160"/>
      <c r="KX79" s="160"/>
      <c r="KY79" s="160"/>
      <c r="KZ79" s="160"/>
      <c r="LA79" s="160"/>
      <c r="LB79" s="160"/>
      <c r="LC79" s="160"/>
      <c r="LD79" s="160"/>
      <c r="LE79" s="160"/>
      <c r="LF79" s="160"/>
      <c r="LG79" s="160"/>
      <c r="LH79" s="160"/>
      <c r="LI79" s="160"/>
      <c r="LJ79" s="160"/>
      <c r="LK79" s="160"/>
      <c r="LL79" s="162"/>
      <c r="LM79" s="159"/>
      <c r="LN79" s="160"/>
      <c r="LO79" s="160"/>
      <c r="LP79" s="160"/>
      <c r="LQ79" s="160"/>
      <c r="LR79" s="160"/>
      <c r="LS79" s="160"/>
      <c r="LT79" s="160"/>
      <c r="LU79" s="160"/>
      <c r="LV79" s="160"/>
      <c r="LW79" s="160"/>
      <c r="LX79" s="160"/>
      <c r="LY79" s="160"/>
      <c r="LZ79" s="160"/>
      <c r="MA79" s="160"/>
      <c r="MB79" s="160"/>
      <c r="MC79" s="160"/>
      <c r="MD79" s="160"/>
      <c r="ME79" s="160"/>
      <c r="MF79" s="160"/>
      <c r="MG79" s="160"/>
      <c r="MH79" s="160"/>
      <c r="MI79" s="160"/>
      <c r="MJ79" s="160"/>
      <c r="MK79" s="160"/>
      <c r="ML79" s="160"/>
      <c r="MM79" s="160"/>
      <c r="MN79" s="160"/>
      <c r="MO79" s="160"/>
      <c r="MP79" s="160"/>
      <c r="MQ79" s="160"/>
      <c r="MR79" s="160"/>
      <c r="MS79" s="160"/>
      <c r="MT79" s="160"/>
      <c r="MU79" s="160"/>
      <c r="MV79" s="160"/>
      <c r="MW79" s="160"/>
      <c r="MX79" s="160"/>
      <c r="MY79" s="160"/>
      <c r="MZ79" s="160"/>
      <c r="NA79" s="160"/>
      <c r="NB79" s="160"/>
      <c r="NC79" s="160"/>
      <c r="ND79" s="160"/>
      <c r="NE79" s="160"/>
      <c r="NF79" s="160"/>
      <c r="NG79" s="160"/>
      <c r="NH79" s="160"/>
      <c r="NI79" s="162"/>
      <c r="NJ79" s="160"/>
      <c r="NK79" s="160"/>
      <c r="NL79" s="160"/>
      <c r="NM79" s="160"/>
      <c r="NN79" s="160"/>
      <c r="NO79" s="160"/>
      <c r="NP79" s="160"/>
      <c r="NQ79" s="160"/>
      <c r="NR79" s="160"/>
      <c r="NS79" s="160"/>
      <c r="NT79" s="160"/>
      <c r="NU79" s="160"/>
      <c r="NV79" s="160"/>
      <c r="NW79" s="160"/>
      <c r="NX79" s="160"/>
      <c r="NY79" s="160"/>
      <c r="NZ79" s="160"/>
      <c r="OA79" s="160"/>
      <c r="OB79" s="160"/>
      <c r="OC79" s="160"/>
      <c r="OD79" s="160"/>
      <c r="OE79" s="160"/>
      <c r="OF79" s="160"/>
      <c r="OG79" s="160"/>
      <c r="OH79" s="160"/>
      <c r="OI79" s="160"/>
      <c r="OJ79" s="160"/>
      <c r="OK79" s="160"/>
      <c r="OL79" s="160"/>
      <c r="OM79" s="160"/>
      <c r="ON79" s="160"/>
      <c r="OO79" s="160"/>
      <c r="OP79" s="160"/>
      <c r="OQ79" s="160"/>
      <c r="OR79" s="160"/>
      <c r="OS79" s="160"/>
      <c r="OT79" s="160"/>
      <c r="OU79" s="160"/>
      <c r="OV79" s="160"/>
      <c r="OW79" s="160"/>
      <c r="OX79" s="160"/>
      <c r="OY79" s="160"/>
      <c r="OZ79" s="160"/>
      <c r="PA79" s="160"/>
      <c r="PB79" s="160"/>
      <c r="PC79" s="160"/>
      <c r="PD79" s="160"/>
      <c r="PE79" s="160"/>
      <c r="PF79" s="162"/>
      <c r="QK79" s="151"/>
      <c r="QL79" s="151"/>
      <c r="QN79" s="151"/>
      <c r="QQ79" s="152"/>
      <c r="QR79" s="153"/>
    </row>
    <row r="80" spans="3:465" ht="5.0999999999999996" customHeight="1" x14ac:dyDescent="0.3">
      <c r="C80" s="149"/>
      <c r="D80" s="150"/>
      <c r="I80" s="273"/>
      <c r="J80" s="274"/>
      <c r="K80" s="274"/>
      <c r="L80" s="274"/>
      <c r="M80" s="274"/>
      <c r="N80" s="274"/>
      <c r="O80" s="274"/>
      <c r="P80" s="274"/>
      <c r="Q80" s="274"/>
      <c r="R80" s="274"/>
      <c r="S80" s="274"/>
      <c r="T80" s="274"/>
      <c r="U80" s="274"/>
      <c r="V80" s="274"/>
      <c r="W80" s="274"/>
      <c r="X80" s="274"/>
      <c r="Y80" s="274"/>
      <c r="Z80" s="274"/>
      <c r="AA80" s="274"/>
      <c r="AB80" s="274"/>
      <c r="AC80" s="274"/>
      <c r="AD80" s="274"/>
      <c r="AE80" s="274"/>
      <c r="AF80" s="274"/>
      <c r="AG80" s="274"/>
      <c r="AH80" s="274"/>
      <c r="AI80" s="274"/>
      <c r="AJ80" s="274"/>
      <c r="AK80" s="274"/>
      <c r="AL80" s="274"/>
      <c r="AM80" s="274"/>
      <c r="AN80" s="274"/>
      <c r="AO80" s="274"/>
      <c r="AP80" s="274"/>
      <c r="AQ80" s="274"/>
      <c r="AR80" s="274"/>
      <c r="AS80" s="274"/>
      <c r="AT80" s="274"/>
      <c r="AU80" s="274"/>
      <c r="AV80" s="274"/>
      <c r="AW80" s="275"/>
      <c r="AX80" s="282"/>
      <c r="AY80" s="283"/>
      <c r="AZ80" s="283"/>
      <c r="BA80" s="283"/>
      <c r="BB80" s="284"/>
      <c r="ED80" s="155"/>
      <c r="ES80" s="152"/>
      <c r="ET80" s="269"/>
      <c r="EU80" s="269"/>
      <c r="EV80" s="269"/>
      <c r="EW80" s="269"/>
      <c r="EX80" s="269"/>
      <c r="EY80" s="269"/>
      <c r="EZ80" s="269"/>
      <c r="FA80" s="269"/>
      <c r="FB80" s="269"/>
      <c r="FC80" s="269"/>
      <c r="FD80" s="269"/>
      <c r="FE80" s="269"/>
      <c r="FF80" s="269"/>
      <c r="FG80" s="269"/>
      <c r="FH80" s="269"/>
      <c r="FI80" s="269"/>
      <c r="FJ80" s="269"/>
      <c r="FK80" s="269"/>
      <c r="FL80" s="269"/>
      <c r="FM80" s="269"/>
      <c r="FN80" s="269"/>
      <c r="FO80" s="269"/>
      <c r="FP80" s="269"/>
      <c r="FQ80" s="269"/>
      <c r="FR80" s="269"/>
      <c r="FS80" s="269"/>
      <c r="FT80" s="269"/>
      <c r="FU80" s="269"/>
      <c r="FV80" s="269"/>
      <c r="FW80" s="269"/>
      <c r="FX80" s="269"/>
      <c r="FY80" s="269"/>
      <c r="FZ80" s="269"/>
      <c r="GA80" s="269"/>
      <c r="GB80" s="269"/>
      <c r="GC80" s="269"/>
      <c r="GD80" s="269"/>
      <c r="GE80" s="269"/>
      <c r="GF80" s="269"/>
      <c r="GG80" s="269"/>
      <c r="GH80" s="269"/>
      <c r="GI80" s="269"/>
      <c r="GJ80" s="269"/>
      <c r="GK80" s="269"/>
      <c r="GL80" s="269"/>
      <c r="GM80" s="269"/>
      <c r="JM80" s="155"/>
      <c r="KP80" s="166"/>
      <c r="KQ80" s="166"/>
      <c r="KR80" s="166"/>
      <c r="KS80" s="166"/>
      <c r="KT80" s="166"/>
      <c r="KU80" s="166"/>
      <c r="KV80" s="166"/>
      <c r="KW80" s="166"/>
      <c r="KX80" s="166"/>
      <c r="KY80" s="166"/>
      <c r="KZ80" s="166"/>
      <c r="LA80" s="166"/>
      <c r="LB80" s="166"/>
      <c r="LC80" s="166"/>
      <c r="LD80" s="166"/>
      <c r="LE80" s="166"/>
      <c r="LF80" s="166"/>
      <c r="LG80" s="166"/>
      <c r="LH80" s="166"/>
      <c r="LI80" s="166"/>
      <c r="LJ80" s="166"/>
      <c r="LK80" s="166"/>
      <c r="LL80" s="158"/>
      <c r="LM80" s="165"/>
      <c r="LN80" s="166"/>
      <c r="LO80" s="166"/>
      <c r="LP80" s="166"/>
      <c r="LQ80" s="166"/>
      <c r="LR80" s="166"/>
      <c r="LS80" s="166"/>
      <c r="LT80" s="166"/>
      <c r="LU80" s="166"/>
      <c r="LV80" s="166"/>
      <c r="LW80" s="166"/>
      <c r="LX80" s="166"/>
      <c r="LY80" s="166"/>
      <c r="LZ80" s="166"/>
      <c r="MA80" s="166"/>
      <c r="MB80" s="166"/>
      <c r="MC80" s="166"/>
      <c r="MD80" s="166"/>
      <c r="ME80" s="166"/>
      <c r="MF80" s="166"/>
      <c r="MG80" s="166"/>
      <c r="MM80" s="166"/>
      <c r="MN80" s="166"/>
      <c r="MO80" s="166"/>
      <c r="MP80" s="166"/>
      <c r="MQ80" s="166"/>
      <c r="MR80" s="166"/>
      <c r="MS80" s="166"/>
      <c r="MT80" s="166"/>
      <c r="MU80" s="166"/>
      <c r="MV80" s="166"/>
      <c r="MW80" s="166"/>
      <c r="MX80" s="166"/>
      <c r="MY80" s="166"/>
      <c r="MZ80" s="166"/>
      <c r="NA80" s="166"/>
      <c r="NB80" s="166"/>
      <c r="NC80" s="166"/>
      <c r="ND80" s="166"/>
      <c r="NE80" s="166"/>
      <c r="NF80" s="166"/>
      <c r="NG80" s="166"/>
      <c r="NH80" s="166"/>
      <c r="NI80" s="181"/>
      <c r="PF80" s="158"/>
      <c r="QK80" s="151"/>
      <c r="QL80" s="151"/>
      <c r="QN80" s="151"/>
      <c r="QQ80" s="152"/>
      <c r="QR80" s="153"/>
    </row>
    <row r="81" spans="3:460" ht="5.0999999999999996" customHeight="1" x14ac:dyDescent="0.3">
      <c r="C81" s="149"/>
      <c r="D81" s="150"/>
      <c r="I81" s="273"/>
      <c r="J81" s="274"/>
      <c r="K81" s="274"/>
      <c r="L81" s="274"/>
      <c r="M81" s="274"/>
      <c r="N81" s="274"/>
      <c r="O81" s="274"/>
      <c r="P81" s="274"/>
      <c r="Q81" s="274"/>
      <c r="R81" s="274"/>
      <c r="S81" s="274"/>
      <c r="T81" s="274"/>
      <c r="U81" s="274"/>
      <c r="V81" s="274"/>
      <c r="W81" s="274"/>
      <c r="X81" s="274"/>
      <c r="Y81" s="274"/>
      <c r="Z81" s="274"/>
      <c r="AA81" s="274"/>
      <c r="AB81" s="274"/>
      <c r="AC81" s="274"/>
      <c r="AD81" s="274"/>
      <c r="AE81" s="274"/>
      <c r="AF81" s="274"/>
      <c r="AG81" s="274"/>
      <c r="AH81" s="274"/>
      <c r="AI81" s="274"/>
      <c r="AJ81" s="274"/>
      <c r="AK81" s="274"/>
      <c r="AL81" s="274"/>
      <c r="AM81" s="274"/>
      <c r="AN81" s="274"/>
      <c r="AO81" s="274"/>
      <c r="AP81" s="274"/>
      <c r="AQ81" s="274"/>
      <c r="AR81" s="274"/>
      <c r="AS81" s="274"/>
      <c r="AT81" s="274"/>
      <c r="AU81" s="274"/>
      <c r="AV81" s="274"/>
      <c r="AW81" s="275"/>
      <c r="AX81" s="282"/>
      <c r="AY81" s="283"/>
      <c r="AZ81" s="283"/>
      <c r="BA81" s="283"/>
      <c r="BB81" s="284"/>
      <c r="ED81" s="155"/>
      <c r="IR81" s="251" t="s">
        <v>276</v>
      </c>
      <c r="IS81" s="252"/>
      <c r="IT81" s="252"/>
      <c r="IU81" s="252"/>
      <c r="IV81" s="252"/>
      <c r="IW81" s="252"/>
      <c r="IX81" s="252"/>
      <c r="IY81" s="252"/>
      <c r="IZ81" s="252"/>
      <c r="JA81" s="252"/>
      <c r="JB81" s="252"/>
      <c r="JC81" s="252"/>
      <c r="JD81" s="252"/>
      <c r="JE81" s="252"/>
      <c r="JF81" s="252"/>
      <c r="JG81" s="252"/>
      <c r="JH81" s="252"/>
      <c r="JI81" s="252"/>
      <c r="JJ81" s="252"/>
      <c r="JK81" s="252"/>
      <c r="JL81" s="252"/>
      <c r="JM81" s="252"/>
      <c r="JN81" s="252"/>
      <c r="JO81" s="252"/>
      <c r="JP81" s="252"/>
      <c r="JQ81" s="252"/>
      <c r="JR81" s="252"/>
      <c r="JS81" s="252"/>
      <c r="JT81" s="252"/>
      <c r="JU81" s="252"/>
      <c r="JV81" s="252"/>
      <c r="JW81" s="252"/>
      <c r="JX81" s="252"/>
      <c r="JY81" s="252"/>
      <c r="JZ81" s="252"/>
      <c r="KA81" s="252"/>
      <c r="KB81" s="252"/>
      <c r="KC81" s="252"/>
      <c r="KD81" s="252"/>
      <c r="KE81" s="311"/>
      <c r="KF81" s="251">
        <f>SUM(KF95,KF107,KF117)</f>
        <v>15</v>
      </c>
      <c r="KG81" s="252"/>
      <c r="KH81" s="252"/>
      <c r="KI81" s="252"/>
      <c r="KJ81" s="311"/>
      <c r="KP81" s="251" t="s">
        <v>277</v>
      </c>
      <c r="KQ81" s="252"/>
      <c r="KR81" s="252"/>
      <c r="KS81" s="252"/>
      <c r="KT81" s="252"/>
      <c r="KU81" s="252"/>
      <c r="KV81" s="252"/>
      <c r="KW81" s="252"/>
      <c r="KX81" s="252"/>
      <c r="KY81" s="252"/>
      <c r="KZ81" s="252"/>
      <c r="LA81" s="252"/>
      <c r="LB81" s="252"/>
      <c r="LC81" s="252"/>
      <c r="LD81" s="252"/>
      <c r="LE81" s="252"/>
      <c r="LF81" s="252"/>
      <c r="LG81" s="252"/>
      <c r="LH81" s="252"/>
      <c r="LI81" s="252"/>
      <c r="LJ81" s="252"/>
      <c r="LK81" s="252"/>
      <c r="LL81" s="252"/>
      <c r="LM81" s="252"/>
      <c r="LN81" s="252"/>
      <c r="LO81" s="252"/>
      <c r="LP81" s="252"/>
      <c r="LQ81" s="252"/>
      <c r="LR81" s="252"/>
      <c r="LS81" s="252"/>
      <c r="LT81" s="252"/>
      <c r="LU81" s="252"/>
      <c r="LV81" s="252"/>
      <c r="LW81" s="252"/>
      <c r="LX81" s="252"/>
      <c r="LY81" s="252"/>
      <c r="LZ81" s="252"/>
      <c r="MA81" s="252"/>
      <c r="MB81" s="252"/>
      <c r="MC81" s="311"/>
      <c r="MD81" s="251">
        <f>SUM(MD95,MD105,MD115,MD125)</f>
        <v>25</v>
      </c>
      <c r="ME81" s="252"/>
      <c r="MF81" s="252"/>
      <c r="MG81" s="252"/>
      <c r="MH81" s="311"/>
      <c r="MM81" s="251" t="s">
        <v>278</v>
      </c>
      <c r="MN81" s="252"/>
      <c r="MO81" s="252"/>
      <c r="MP81" s="252"/>
      <c r="MQ81" s="252"/>
      <c r="MR81" s="252"/>
      <c r="MS81" s="252"/>
      <c r="MT81" s="252"/>
      <c r="MU81" s="252"/>
      <c r="MV81" s="252"/>
      <c r="MW81" s="252"/>
      <c r="MX81" s="252"/>
      <c r="MY81" s="252"/>
      <c r="MZ81" s="252"/>
      <c r="NA81" s="252"/>
      <c r="NB81" s="252"/>
      <c r="NC81" s="252"/>
      <c r="ND81" s="252"/>
      <c r="NE81" s="252"/>
      <c r="NF81" s="252"/>
      <c r="NG81" s="252"/>
      <c r="NH81" s="252"/>
      <c r="NI81" s="252"/>
      <c r="NJ81" s="252"/>
      <c r="NK81" s="252"/>
      <c r="NL81" s="252"/>
      <c r="NM81" s="252"/>
      <c r="NN81" s="252"/>
      <c r="NO81" s="252"/>
      <c r="NP81" s="252"/>
      <c r="NQ81" s="252"/>
      <c r="NR81" s="252"/>
      <c r="NS81" s="252"/>
      <c r="NT81" s="252"/>
      <c r="NU81" s="252"/>
      <c r="NV81" s="252"/>
      <c r="NW81" s="252"/>
      <c r="NX81" s="252"/>
      <c r="NY81" s="252"/>
      <c r="NZ81" s="311"/>
      <c r="OA81" s="251">
        <f>SUM(OA95:OE144)</f>
        <v>7</v>
      </c>
      <c r="OB81" s="252"/>
      <c r="OC81" s="252"/>
      <c r="OD81" s="252"/>
      <c r="OE81" s="311"/>
      <c r="OJ81" s="310" t="s">
        <v>279</v>
      </c>
      <c r="OK81" s="310"/>
      <c r="OL81" s="310"/>
      <c r="OM81" s="310"/>
      <c r="ON81" s="310"/>
      <c r="OO81" s="310"/>
      <c r="OP81" s="310"/>
      <c r="OQ81" s="310"/>
      <c r="OR81" s="310"/>
      <c r="OS81" s="310"/>
      <c r="OT81" s="310"/>
      <c r="OU81" s="310"/>
      <c r="OV81" s="310"/>
      <c r="OW81" s="310"/>
      <c r="OX81" s="310"/>
      <c r="OY81" s="310"/>
      <c r="OZ81" s="310"/>
      <c r="PA81" s="310"/>
      <c r="PB81" s="310"/>
      <c r="PC81" s="310"/>
      <c r="PD81" s="310"/>
      <c r="PE81" s="310"/>
      <c r="PF81" s="310"/>
      <c r="PG81" s="310"/>
      <c r="PH81" s="310"/>
      <c r="PI81" s="310"/>
      <c r="PJ81" s="310"/>
      <c r="PK81" s="310"/>
      <c r="PL81" s="310"/>
      <c r="PM81" s="310"/>
      <c r="PN81" s="310"/>
      <c r="PO81" s="310"/>
      <c r="PP81" s="310"/>
      <c r="PQ81" s="310"/>
      <c r="PR81" s="310"/>
      <c r="PS81" s="310"/>
      <c r="PT81" s="310"/>
      <c r="PU81" s="310"/>
      <c r="PV81" s="310"/>
      <c r="PW81" s="310"/>
      <c r="PX81" s="310">
        <f>SUM(PY95:QD114)</f>
        <v>2</v>
      </c>
      <c r="PY81" s="310"/>
      <c r="PZ81" s="310"/>
      <c r="QA81" s="310"/>
      <c r="QB81" s="310"/>
      <c r="QC81" s="310"/>
      <c r="QI81" s="151"/>
      <c r="QJ81" s="151"/>
      <c r="QK81" s="151"/>
      <c r="QL81" s="151"/>
      <c r="QN81" s="151"/>
      <c r="QQ81" s="152"/>
      <c r="QR81" s="153"/>
    </row>
    <row r="82" spans="3:460" ht="5.0999999999999996" customHeight="1" x14ac:dyDescent="0.3">
      <c r="C82" s="149"/>
      <c r="D82" s="150"/>
      <c r="I82" s="273"/>
      <c r="J82" s="274"/>
      <c r="K82" s="274"/>
      <c r="L82" s="274"/>
      <c r="M82" s="274"/>
      <c r="N82" s="274"/>
      <c r="O82" s="274"/>
      <c r="P82" s="274"/>
      <c r="Q82" s="274"/>
      <c r="R82" s="274"/>
      <c r="S82" s="274"/>
      <c r="T82" s="274"/>
      <c r="U82" s="274"/>
      <c r="V82" s="274"/>
      <c r="W82" s="274"/>
      <c r="X82" s="274"/>
      <c r="Y82" s="274"/>
      <c r="Z82" s="274"/>
      <c r="AA82" s="274"/>
      <c r="AB82" s="274"/>
      <c r="AC82" s="274"/>
      <c r="AD82" s="274"/>
      <c r="AE82" s="274"/>
      <c r="AF82" s="274"/>
      <c r="AG82" s="274"/>
      <c r="AH82" s="274"/>
      <c r="AI82" s="274"/>
      <c r="AJ82" s="274"/>
      <c r="AK82" s="274"/>
      <c r="AL82" s="274"/>
      <c r="AM82" s="274"/>
      <c r="AN82" s="274"/>
      <c r="AO82" s="274"/>
      <c r="AP82" s="274"/>
      <c r="AQ82" s="274"/>
      <c r="AR82" s="274"/>
      <c r="AS82" s="274"/>
      <c r="AT82" s="274"/>
      <c r="AU82" s="274"/>
      <c r="AV82" s="274"/>
      <c r="AW82" s="275"/>
      <c r="AX82" s="282"/>
      <c r="AY82" s="283"/>
      <c r="AZ82" s="283"/>
      <c r="BA82" s="283"/>
      <c r="BB82" s="284"/>
      <c r="ED82" s="155"/>
      <c r="IR82" s="254"/>
      <c r="IS82" s="255"/>
      <c r="IT82" s="255"/>
      <c r="IU82" s="255"/>
      <c r="IV82" s="255"/>
      <c r="IW82" s="255"/>
      <c r="IX82" s="255"/>
      <c r="IY82" s="255"/>
      <c r="IZ82" s="255"/>
      <c r="JA82" s="255"/>
      <c r="JB82" s="255"/>
      <c r="JC82" s="255"/>
      <c r="JD82" s="255"/>
      <c r="JE82" s="255"/>
      <c r="JF82" s="255"/>
      <c r="JG82" s="255"/>
      <c r="JH82" s="255"/>
      <c r="JI82" s="255"/>
      <c r="JJ82" s="255"/>
      <c r="JK82" s="255"/>
      <c r="JL82" s="255"/>
      <c r="JM82" s="255"/>
      <c r="JN82" s="255"/>
      <c r="JO82" s="255"/>
      <c r="JP82" s="255"/>
      <c r="JQ82" s="255"/>
      <c r="JR82" s="255"/>
      <c r="JS82" s="255"/>
      <c r="JT82" s="255"/>
      <c r="JU82" s="255"/>
      <c r="JV82" s="255"/>
      <c r="JW82" s="255"/>
      <c r="JX82" s="255"/>
      <c r="JY82" s="255"/>
      <c r="JZ82" s="255"/>
      <c r="KA82" s="255"/>
      <c r="KB82" s="255"/>
      <c r="KC82" s="255"/>
      <c r="KD82" s="255"/>
      <c r="KE82" s="312"/>
      <c r="KF82" s="254"/>
      <c r="KG82" s="255"/>
      <c r="KH82" s="255"/>
      <c r="KI82" s="255"/>
      <c r="KJ82" s="312"/>
      <c r="KP82" s="254"/>
      <c r="KQ82" s="255"/>
      <c r="KR82" s="255"/>
      <c r="KS82" s="255"/>
      <c r="KT82" s="255"/>
      <c r="KU82" s="255"/>
      <c r="KV82" s="255"/>
      <c r="KW82" s="255"/>
      <c r="KX82" s="255"/>
      <c r="KY82" s="255"/>
      <c r="KZ82" s="255"/>
      <c r="LA82" s="255"/>
      <c r="LB82" s="255"/>
      <c r="LC82" s="255"/>
      <c r="LD82" s="255"/>
      <c r="LE82" s="255"/>
      <c r="LF82" s="255"/>
      <c r="LG82" s="255"/>
      <c r="LH82" s="255"/>
      <c r="LI82" s="255"/>
      <c r="LJ82" s="255"/>
      <c r="LK82" s="255"/>
      <c r="LL82" s="255"/>
      <c r="LM82" s="255"/>
      <c r="LN82" s="255"/>
      <c r="LO82" s="255"/>
      <c r="LP82" s="255"/>
      <c r="LQ82" s="255"/>
      <c r="LR82" s="255"/>
      <c r="LS82" s="255"/>
      <c r="LT82" s="255"/>
      <c r="LU82" s="255"/>
      <c r="LV82" s="255"/>
      <c r="LW82" s="255"/>
      <c r="LX82" s="255"/>
      <c r="LY82" s="255"/>
      <c r="LZ82" s="255"/>
      <c r="MA82" s="255"/>
      <c r="MB82" s="255"/>
      <c r="MC82" s="312"/>
      <c r="MD82" s="254"/>
      <c r="ME82" s="255"/>
      <c r="MF82" s="255"/>
      <c r="MG82" s="255"/>
      <c r="MH82" s="312"/>
      <c r="MM82" s="254"/>
      <c r="MN82" s="255"/>
      <c r="MO82" s="255"/>
      <c r="MP82" s="255"/>
      <c r="MQ82" s="255"/>
      <c r="MR82" s="255"/>
      <c r="MS82" s="255"/>
      <c r="MT82" s="255"/>
      <c r="MU82" s="255"/>
      <c r="MV82" s="255"/>
      <c r="MW82" s="255"/>
      <c r="MX82" s="255"/>
      <c r="MY82" s="255"/>
      <c r="MZ82" s="255"/>
      <c r="NA82" s="255"/>
      <c r="NB82" s="255"/>
      <c r="NC82" s="255"/>
      <c r="ND82" s="255"/>
      <c r="NE82" s="255"/>
      <c r="NF82" s="255"/>
      <c r="NG82" s="255"/>
      <c r="NH82" s="255"/>
      <c r="NI82" s="255"/>
      <c r="NJ82" s="255"/>
      <c r="NK82" s="255"/>
      <c r="NL82" s="255"/>
      <c r="NM82" s="255"/>
      <c r="NN82" s="255"/>
      <c r="NO82" s="255"/>
      <c r="NP82" s="255"/>
      <c r="NQ82" s="255"/>
      <c r="NR82" s="255"/>
      <c r="NS82" s="255"/>
      <c r="NT82" s="255"/>
      <c r="NU82" s="255"/>
      <c r="NV82" s="255"/>
      <c r="NW82" s="255"/>
      <c r="NX82" s="255"/>
      <c r="NY82" s="255"/>
      <c r="NZ82" s="312"/>
      <c r="OA82" s="254"/>
      <c r="OB82" s="255"/>
      <c r="OC82" s="255"/>
      <c r="OD82" s="255"/>
      <c r="OE82" s="312"/>
      <c r="OJ82" s="310"/>
      <c r="OK82" s="310"/>
      <c r="OL82" s="310"/>
      <c r="OM82" s="310"/>
      <c r="ON82" s="310"/>
      <c r="OO82" s="310"/>
      <c r="OP82" s="310"/>
      <c r="OQ82" s="310"/>
      <c r="OR82" s="310"/>
      <c r="OS82" s="310"/>
      <c r="OT82" s="310"/>
      <c r="OU82" s="310"/>
      <c r="OV82" s="310"/>
      <c r="OW82" s="310"/>
      <c r="OX82" s="310"/>
      <c r="OY82" s="310"/>
      <c r="OZ82" s="310"/>
      <c r="PA82" s="310"/>
      <c r="PB82" s="310"/>
      <c r="PC82" s="310"/>
      <c r="PD82" s="310"/>
      <c r="PE82" s="310"/>
      <c r="PF82" s="310"/>
      <c r="PG82" s="310"/>
      <c r="PH82" s="310"/>
      <c r="PI82" s="310"/>
      <c r="PJ82" s="310"/>
      <c r="PK82" s="310"/>
      <c r="PL82" s="310"/>
      <c r="PM82" s="310"/>
      <c r="PN82" s="310"/>
      <c r="PO82" s="310"/>
      <c r="PP82" s="310"/>
      <c r="PQ82" s="310"/>
      <c r="PR82" s="310"/>
      <c r="PS82" s="310"/>
      <c r="PT82" s="310"/>
      <c r="PU82" s="310"/>
      <c r="PV82" s="310"/>
      <c r="PW82" s="310"/>
      <c r="PX82" s="310"/>
      <c r="PY82" s="310"/>
      <c r="PZ82" s="310"/>
      <c r="QA82" s="310"/>
      <c r="QB82" s="310"/>
      <c r="QC82" s="310"/>
      <c r="QK82" s="151"/>
      <c r="QL82" s="151"/>
      <c r="QM82" s="151"/>
      <c r="QN82" s="151"/>
      <c r="QQ82" s="152"/>
      <c r="QR82" s="153"/>
    </row>
    <row r="83" spans="3:460" ht="5.0999999999999996" customHeight="1" x14ac:dyDescent="0.3">
      <c r="C83" s="149"/>
      <c r="D83" s="150"/>
      <c r="I83" s="273"/>
      <c r="J83" s="274"/>
      <c r="K83" s="274"/>
      <c r="L83" s="274"/>
      <c r="M83" s="274"/>
      <c r="N83" s="274"/>
      <c r="O83" s="274"/>
      <c r="P83" s="274"/>
      <c r="Q83" s="274"/>
      <c r="R83" s="274"/>
      <c r="S83" s="274"/>
      <c r="T83" s="274"/>
      <c r="U83" s="274"/>
      <c r="V83" s="274"/>
      <c r="W83" s="274"/>
      <c r="X83" s="274"/>
      <c r="Y83" s="274"/>
      <c r="Z83" s="274"/>
      <c r="AA83" s="274"/>
      <c r="AB83" s="274"/>
      <c r="AC83" s="274"/>
      <c r="AD83" s="274"/>
      <c r="AE83" s="274"/>
      <c r="AF83" s="274"/>
      <c r="AG83" s="274"/>
      <c r="AH83" s="274"/>
      <c r="AI83" s="274"/>
      <c r="AJ83" s="274"/>
      <c r="AK83" s="274"/>
      <c r="AL83" s="274"/>
      <c r="AM83" s="274"/>
      <c r="AN83" s="274"/>
      <c r="AO83" s="274"/>
      <c r="AP83" s="274"/>
      <c r="AQ83" s="274"/>
      <c r="AR83" s="274"/>
      <c r="AS83" s="274"/>
      <c r="AT83" s="274"/>
      <c r="AU83" s="274"/>
      <c r="AV83" s="274"/>
      <c r="AW83" s="275"/>
      <c r="AX83" s="282"/>
      <c r="AY83" s="283"/>
      <c r="AZ83" s="283"/>
      <c r="BA83" s="283"/>
      <c r="BB83" s="284"/>
      <c r="ED83" s="155"/>
      <c r="IR83" s="254"/>
      <c r="IS83" s="255"/>
      <c r="IT83" s="255"/>
      <c r="IU83" s="255"/>
      <c r="IV83" s="255"/>
      <c r="IW83" s="255"/>
      <c r="IX83" s="255"/>
      <c r="IY83" s="255"/>
      <c r="IZ83" s="255"/>
      <c r="JA83" s="255"/>
      <c r="JB83" s="255"/>
      <c r="JC83" s="255"/>
      <c r="JD83" s="255"/>
      <c r="JE83" s="255"/>
      <c r="JF83" s="255"/>
      <c r="JG83" s="255"/>
      <c r="JH83" s="255"/>
      <c r="JI83" s="255"/>
      <c r="JJ83" s="255"/>
      <c r="JK83" s="255"/>
      <c r="JL83" s="255"/>
      <c r="JM83" s="255"/>
      <c r="JN83" s="255"/>
      <c r="JO83" s="255"/>
      <c r="JP83" s="255"/>
      <c r="JQ83" s="255"/>
      <c r="JR83" s="255"/>
      <c r="JS83" s="255"/>
      <c r="JT83" s="255"/>
      <c r="JU83" s="255"/>
      <c r="JV83" s="255"/>
      <c r="JW83" s="255"/>
      <c r="JX83" s="255"/>
      <c r="JY83" s="255"/>
      <c r="JZ83" s="255"/>
      <c r="KA83" s="255"/>
      <c r="KB83" s="255"/>
      <c r="KC83" s="255"/>
      <c r="KD83" s="255"/>
      <c r="KE83" s="312"/>
      <c r="KF83" s="254"/>
      <c r="KG83" s="255"/>
      <c r="KH83" s="255"/>
      <c r="KI83" s="255"/>
      <c r="KJ83" s="312"/>
      <c r="KP83" s="254"/>
      <c r="KQ83" s="255"/>
      <c r="KR83" s="255"/>
      <c r="KS83" s="255"/>
      <c r="KT83" s="255"/>
      <c r="KU83" s="255"/>
      <c r="KV83" s="255"/>
      <c r="KW83" s="255"/>
      <c r="KX83" s="255"/>
      <c r="KY83" s="255"/>
      <c r="KZ83" s="255"/>
      <c r="LA83" s="255"/>
      <c r="LB83" s="255"/>
      <c r="LC83" s="255"/>
      <c r="LD83" s="255"/>
      <c r="LE83" s="255"/>
      <c r="LF83" s="255"/>
      <c r="LG83" s="255"/>
      <c r="LH83" s="255"/>
      <c r="LI83" s="255"/>
      <c r="LJ83" s="255"/>
      <c r="LK83" s="255"/>
      <c r="LL83" s="255"/>
      <c r="LM83" s="255"/>
      <c r="LN83" s="255"/>
      <c r="LO83" s="255"/>
      <c r="LP83" s="255"/>
      <c r="LQ83" s="255"/>
      <c r="LR83" s="255"/>
      <c r="LS83" s="255"/>
      <c r="LT83" s="255"/>
      <c r="LU83" s="255"/>
      <c r="LV83" s="255"/>
      <c r="LW83" s="255"/>
      <c r="LX83" s="255"/>
      <c r="LY83" s="255"/>
      <c r="LZ83" s="255"/>
      <c r="MA83" s="255"/>
      <c r="MB83" s="255"/>
      <c r="MC83" s="312"/>
      <c r="MD83" s="254"/>
      <c r="ME83" s="255"/>
      <c r="MF83" s="255"/>
      <c r="MG83" s="255"/>
      <c r="MH83" s="312"/>
      <c r="MM83" s="254"/>
      <c r="MN83" s="255"/>
      <c r="MO83" s="255"/>
      <c r="MP83" s="255"/>
      <c r="MQ83" s="255"/>
      <c r="MR83" s="255"/>
      <c r="MS83" s="255"/>
      <c r="MT83" s="255"/>
      <c r="MU83" s="255"/>
      <c r="MV83" s="255"/>
      <c r="MW83" s="255"/>
      <c r="MX83" s="255"/>
      <c r="MY83" s="255"/>
      <c r="MZ83" s="255"/>
      <c r="NA83" s="255"/>
      <c r="NB83" s="255"/>
      <c r="NC83" s="255"/>
      <c r="ND83" s="255"/>
      <c r="NE83" s="255"/>
      <c r="NF83" s="255"/>
      <c r="NG83" s="255"/>
      <c r="NH83" s="255"/>
      <c r="NI83" s="255"/>
      <c r="NJ83" s="255"/>
      <c r="NK83" s="255"/>
      <c r="NL83" s="255"/>
      <c r="NM83" s="255"/>
      <c r="NN83" s="255"/>
      <c r="NO83" s="255"/>
      <c r="NP83" s="255"/>
      <c r="NQ83" s="255"/>
      <c r="NR83" s="255"/>
      <c r="NS83" s="255"/>
      <c r="NT83" s="255"/>
      <c r="NU83" s="255"/>
      <c r="NV83" s="255"/>
      <c r="NW83" s="255"/>
      <c r="NX83" s="255"/>
      <c r="NY83" s="255"/>
      <c r="NZ83" s="312"/>
      <c r="OA83" s="254"/>
      <c r="OB83" s="255"/>
      <c r="OC83" s="255"/>
      <c r="OD83" s="255"/>
      <c r="OE83" s="312"/>
      <c r="OJ83" s="310"/>
      <c r="OK83" s="310"/>
      <c r="OL83" s="310"/>
      <c r="OM83" s="310"/>
      <c r="ON83" s="310"/>
      <c r="OO83" s="310"/>
      <c r="OP83" s="310"/>
      <c r="OQ83" s="310"/>
      <c r="OR83" s="310"/>
      <c r="OS83" s="310"/>
      <c r="OT83" s="310"/>
      <c r="OU83" s="310"/>
      <c r="OV83" s="310"/>
      <c r="OW83" s="310"/>
      <c r="OX83" s="310"/>
      <c r="OY83" s="310"/>
      <c r="OZ83" s="310"/>
      <c r="PA83" s="310"/>
      <c r="PB83" s="310"/>
      <c r="PC83" s="310"/>
      <c r="PD83" s="310"/>
      <c r="PE83" s="310"/>
      <c r="PF83" s="310"/>
      <c r="PG83" s="310"/>
      <c r="PH83" s="310"/>
      <c r="PI83" s="310"/>
      <c r="PJ83" s="310"/>
      <c r="PK83" s="310"/>
      <c r="PL83" s="310"/>
      <c r="PM83" s="310"/>
      <c r="PN83" s="310"/>
      <c r="PO83" s="310"/>
      <c r="PP83" s="310"/>
      <c r="PQ83" s="310"/>
      <c r="PR83" s="310"/>
      <c r="PS83" s="310"/>
      <c r="PT83" s="310"/>
      <c r="PU83" s="310"/>
      <c r="PV83" s="310"/>
      <c r="PW83" s="310"/>
      <c r="PX83" s="310"/>
      <c r="PY83" s="310"/>
      <c r="PZ83" s="310"/>
      <c r="QA83" s="310"/>
      <c r="QB83" s="310"/>
      <c r="QC83" s="310"/>
      <c r="QK83" s="151"/>
      <c r="QL83" s="151"/>
      <c r="QM83" s="151"/>
      <c r="QN83" s="151"/>
      <c r="QQ83" s="152"/>
      <c r="QR83" s="153"/>
    </row>
    <row r="84" spans="3:460" ht="5.0999999999999996" customHeight="1" x14ac:dyDescent="0.3">
      <c r="C84" s="149"/>
      <c r="D84" s="150"/>
      <c r="I84" s="273"/>
      <c r="J84" s="274"/>
      <c r="K84" s="274"/>
      <c r="L84" s="274"/>
      <c r="M84" s="274"/>
      <c r="N84" s="274"/>
      <c r="O84" s="274"/>
      <c r="P84" s="274"/>
      <c r="Q84" s="274"/>
      <c r="R84" s="274"/>
      <c r="S84" s="274"/>
      <c r="T84" s="274"/>
      <c r="U84" s="274"/>
      <c r="V84" s="274"/>
      <c r="W84" s="274"/>
      <c r="X84" s="274"/>
      <c r="Y84" s="274"/>
      <c r="Z84" s="274"/>
      <c r="AA84" s="274"/>
      <c r="AB84" s="274"/>
      <c r="AC84" s="274"/>
      <c r="AD84" s="274"/>
      <c r="AE84" s="274"/>
      <c r="AF84" s="274"/>
      <c r="AG84" s="274"/>
      <c r="AH84" s="274"/>
      <c r="AI84" s="274"/>
      <c r="AJ84" s="274"/>
      <c r="AK84" s="274"/>
      <c r="AL84" s="274"/>
      <c r="AM84" s="274"/>
      <c r="AN84" s="274"/>
      <c r="AO84" s="274"/>
      <c r="AP84" s="274"/>
      <c r="AQ84" s="274"/>
      <c r="AR84" s="274"/>
      <c r="AS84" s="274"/>
      <c r="AT84" s="274"/>
      <c r="AU84" s="274"/>
      <c r="AV84" s="274"/>
      <c r="AW84" s="275"/>
      <c r="AX84" s="282"/>
      <c r="AY84" s="283"/>
      <c r="AZ84" s="283"/>
      <c r="BA84" s="283"/>
      <c r="BB84" s="284"/>
      <c r="ED84" s="155"/>
      <c r="IR84" s="254"/>
      <c r="IS84" s="255"/>
      <c r="IT84" s="255"/>
      <c r="IU84" s="255"/>
      <c r="IV84" s="255"/>
      <c r="IW84" s="255"/>
      <c r="IX84" s="255"/>
      <c r="IY84" s="255"/>
      <c r="IZ84" s="255"/>
      <c r="JA84" s="255"/>
      <c r="JB84" s="255"/>
      <c r="JC84" s="255"/>
      <c r="JD84" s="255"/>
      <c r="JE84" s="255"/>
      <c r="JF84" s="255"/>
      <c r="JG84" s="255"/>
      <c r="JH84" s="255"/>
      <c r="JI84" s="255"/>
      <c r="JJ84" s="255"/>
      <c r="JK84" s="255"/>
      <c r="JL84" s="255"/>
      <c r="JM84" s="255"/>
      <c r="JN84" s="255"/>
      <c r="JO84" s="255"/>
      <c r="JP84" s="255"/>
      <c r="JQ84" s="255"/>
      <c r="JR84" s="255"/>
      <c r="JS84" s="255"/>
      <c r="JT84" s="255"/>
      <c r="JU84" s="255"/>
      <c r="JV84" s="255"/>
      <c r="JW84" s="255"/>
      <c r="JX84" s="255"/>
      <c r="JY84" s="255"/>
      <c r="JZ84" s="255"/>
      <c r="KA84" s="255"/>
      <c r="KB84" s="255"/>
      <c r="KC84" s="255"/>
      <c r="KD84" s="255"/>
      <c r="KE84" s="312"/>
      <c r="KF84" s="254"/>
      <c r="KG84" s="255"/>
      <c r="KH84" s="255"/>
      <c r="KI84" s="255"/>
      <c r="KJ84" s="312"/>
      <c r="KP84" s="254"/>
      <c r="KQ84" s="255"/>
      <c r="KR84" s="255"/>
      <c r="KS84" s="255"/>
      <c r="KT84" s="255"/>
      <c r="KU84" s="255"/>
      <c r="KV84" s="255"/>
      <c r="KW84" s="255"/>
      <c r="KX84" s="255"/>
      <c r="KY84" s="255"/>
      <c r="KZ84" s="255"/>
      <c r="LA84" s="255"/>
      <c r="LB84" s="255"/>
      <c r="LC84" s="255"/>
      <c r="LD84" s="255"/>
      <c r="LE84" s="255"/>
      <c r="LF84" s="255"/>
      <c r="LG84" s="255"/>
      <c r="LH84" s="255"/>
      <c r="LI84" s="255"/>
      <c r="LJ84" s="255"/>
      <c r="LK84" s="255"/>
      <c r="LL84" s="255"/>
      <c r="LM84" s="255"/>
      <c r="LN84" s="255"/>
      <c r="LO84" s="255"/>
      <c r="LP84" s="255"/>
      <c r="LQ84" s="255"/>
      <c r="LR84" s="255"/>
      <c r="LS84" s="255"/>
      <c r="LT84" s="255"/>
      <c r="LU84" s="255"/>
      <c r="LV84" s="255"/>
      <c r="LW84" s="255"/>
      <c r="LX84" s="255"/>
      <c r="LY84" s="255"/>
      <c r="LZ84" s="255"/>
      <c r="MA84" s="255"/>
      <c r="MB84" s="255"/>
      <c r="MC84" s="312"/>
      <c r="MD84" s="254"/>
      <c r="ME84" s="255"/>
      <c r="MF84" s="255"/>
      <c r="MG84" s="255"/>
      <c r="MH84" s="312"/>
      <c r="MM84" s="254"/>
      <c r="MN84" s="255"/>
      <c r="MO84" s="255"/>
      <c r="MP84" s="255"/>
      <c r="MQ84" s="255"/>
      <c r="MR84" s="255"/>
      <c r="MS84" s="255"/>
      <c r="MT84" s="255"/>
      <c r="MU84" s="255"/>
      <c r="MV84" s="255"/>
      <c r="MW84" s="255"/>
      <c r="MX84" s="255"/>
      <c r="MY84" s="255"/>
      <c r="MZ84" s="255"/>
      <c r="NA84" s="255"/>
      <c r="NB84" s="255"/>
      <c r="NC84" s="255"/>
      <c r="ND84" s="255"/>
      <c r="NE84" s="255"/>
      <c r="NF84" s="255"/>
      <c r="NG84" s="255"/>
      <c r="NH84" s="255"/>
      <c r="NI84" s="255"/>
      <c r="NJ84" s="255"/>
      <c r="NK84" s="255"/>
      <c r="NL84" s="255"/>
      <c r="NM84" s="255"/>
      <c r="NN84" s="255"/>
      <c r="NO84" s="255"/>
      <c r="NP84" s="255"/>
      <c r="NQ84" s="255"/>
      <c r="NR84" s="255"/>
      <c r="NS84" s="255"/>
      <c r="NT84" s="255"/>
      <c r="NU84" s="255"/>
      <c r="NV84" s="255"/>
      <c r="NW84" s="255"/>
      <c r="NX84" s="255"/>
      <c r="NY84" s="255"/>
      <c r="NZ84" s="312"/>
      <c r="OA84" s="254"/>
      <c r="OB84" s="255"/>
      <c r="OC84" s="255"/>
      <c r="OD84" s="255"/>
      <c r="OE84" s="312"/>
      <c r="OJ84" s="310"/>
      <c r="OK84" s="310"/>
      <c r="OL84" s="310"/>
      <c r="OM84" s="310"/>
      <c r="ON84" s="310"/>
      <c r="OO84" s="310"/>
      <c r="OP84" s="310"/>
      <c r="OQ84" s="310"/>
      <c r="OR84" s="310"/>
      <c r="OS84" s="310"/>
      <c r="OT84" s="310"/>
      <c r="OU84" s="310"/>
      <c r="OV84" s="310"/>
      <c r="OW84" s="310"/>
      <c r="OX84" s="310"/>
      <c r="OY84" s="310"/>
      <c r="OZ84" s="310"/>
      <c r="PA84" s="310"/>
      <c r="PB84" s="310"/>
      <c r="PC84" s="310"/>
      <c r="PD84" s="310"/>
      <c r="PE84" s="310"/>
      <c r="PF84" s="310"/>
      <c r="PG84" s="310"/>
      <c r="PH84" s="310"/>
      <c r="PI84" s="310"/>
      <c r="PJ84" s="310"/>
      <c r="PK84" s="310"/>
      <c r="PL84" s="310"/>
      <c r="PM84" s="310"/>
      <c r="PN84" s="310"/>
      <c r="PO84" s="310"/>
      <c r="PP84" s="310"/>
      <c r="PQ84" s="310"/>
      <c r="PR84" s="310"/>
      <c r="PS84" s="310"/>
      <c r="PT84" s="310"/>
      <c r="PU84" s="310"/>
      <c r="PV84" s="310"/>
      <c r="PW84" s="310"/>
      <c r="PX84" s="310"/>
      <c r="PY84" s="310"/>
      <c r="PZ84" s="310"/>
      <c r="QA84" s="310"/>
      <c r="QB84" s="310"/>
      <c r="QC84" s="310"/>
      <c r="QK84" s="151"/>
      <c r="QL84" s="151"/>
      <c r="QM84" s="151"/>
      <c r="QN84" s="151"/>
      <c r="QQ84" s="152"/>
      <c r="QR84" s="153"/>
    </row>
    <row r="85" spans="3:460" ht="5.0999999999999996" customHeight="1" x14ac:dyDescent="0.3">
      <c r="C85" s="149"/>
      <c r="D85" s="150"/>
      <c r="I85" s="273"/>
      <c r="J85" s="274"/>
      <c r="K85" s="274"/>
      <c r="L85" s="274"/>
      <c r="M85" s="274"/>
      <c r="N85" s="274"/>
      <c r="O85" s="274"/>
      <c r="P85" s="274"/>
      <c r="Q85" s="274"/>
      <c r="R85" s="274"/>
      <c r="S85" s="274"/>
      <c r="T85" s="274"/>
      <c r="U85" s="274"/>
      <c r="V85" s="274"/>
      <c r="W85" s="274"/>
      <c r="X85" s="274"/>
      <c r="Y85" s="274"/>
      <c r="Z85" s="274"/>
      <c r="AA85" s="274"/>
      <c r="AB85" s="274"/>
      <c r="AC85" s="274"/>
      <c r="AD85" s="274"/>
      <c r="AE85" s="274"/>
      <c r="AF85" s="274"/>
      <c r="AG85" s="274"/>
      <c r="AH85" s="274"/>
      <c r="AI85" s="274"/>
      <c r="AJ85" s="274"/>
      <c r="AK85" s="274"/>
      <c r="AL85" s="274"/>
      <c r="AM85" s="274"/>
      <c r="AN85" s="274"/>
      <c r="AO85" s="274"/>
      <c r="AP85" s="274"/>
      <c r="AQ85" s="274"/>
      <c r="AR85" s="274"/>
      <c r="AS85" s="274"/>
      <c r="AT85" s="274"/>
      <c r="AU85" s="274"/>
      <c r="AV85" s="274"/>
      <c r="AW85" s="275"/>
      <c r="AX85" s="282"/>
      <c r="AY85" s="283"/>
      <c r="AZ85" s="283"/>
      <c r="BA85" s="283"/>
      <c r="BB85" s="284"/>
      <c r="ED85" s="155"/>
      <c r="IR85" s="254"/>
      <c r="IS85" s="255"/>
      <c r="IT85" s="255"/>
      <c r="IU85" s="255"/>
      <c r="IV85" s="255"/>
      <c r="IW85" s="255"/>
      <c r="IX85" s="255"/>
      <c r="IY85" s="255"/>
      <c r="IZ85" s="255"/>
      <c r="JA85" s="255"/>
      <c r="JB85" s="255"/>
      <c r="JC85" s="255"/>
      <c r="JD85" s="255"/>
      <c r="JE85" s="255"/>
      <c r="JF85" s="255"/>
      <c r="JG85" s="255"/>
      <c r="JH85" s="255"/>
      <c r="JI85" s="255"/>
      <c r="JJ85" s="255"/>
      <c r="JK85" s="255"/>
      <c r="JL85" s="255"/>
      <c r="JM85" s="255"/>
      <c r="JN85" s="255"/>
      <c r="JO85" s="255"/>
      <c r="JP85" s="255"/>
      <c r="JQ85" s="255"/>
      <c r="JR85" s="255"/>
      <c r="JS85" s="255"/>
      <c r="JT85" s="255"/>
      <c r="JU85" s="255"/>
      <c r="JV85" s="255"/>
      <c r="JW85" s="255"/>
      <c r="JX85" s="255"/>
      <c r="JY85" s="255"/>
      <c r="JZ85" s="255"/>
      <c r="KA85" s="255"/>
      <c r="KB85" s="255"/>
      <c r="KC85" s="255"/>
      <c r="KD85" s="255"/>
      <c r="KE85" s="312"/>
      <c r="KF85" s="254"/>
      <c r="KG85" s="255"/>
      <c r="KH85" s="255"/>
      <c r="KI85" s="255"/>
      <c r="KJ85" s="312"/>
      <c r="KP85" s="254"/>
      <c r="KQ85" s="255"/>
      <c r="KR85" s="255"/>
      <c r="KS85" s="255"/>
      <c r="KT85" s="255"/>
      <c r="KU85" s="255"/>
      <c r="KV85" s="255"/>
      <c r="KW85" s="255"/>
      <c r="KX85" s="255"/>
      <c r="KY85" s="255"/>
      <c r="KZ85" s="255"/>
      <c r="LA85" s="255"/>
      <c r="LB85" s="255"/>
      <c r="LC85" s="255"/>
      <c r="LD85" s="255"/>
      <c r="LE85" s="255"/>
      <c r="LF85" s="255"/>
      <c r="LG85" s="255"/>
      <c r="LH85" s="255"/>
      <c r="LI85" s="255"/>
      <c r="LJ85" s="255"/>
      <c r="LK85" s="255"/>
      <c r="LL85" s="255"/>
      <c r="LM85" s="255"/>
      <c r="LN85" s="255"/>
      <c r="LO85" s="255"/>
      <c r="LP85" s="255"/>
      <c r="LQ85" s="255"/>
      <c r="LR85" s="255"/>
      <c r="LS85" s="255"/>
      <c r="LT85" s="255"/>
      <c r="LU85" s="255"/>
      <c r="LV85" s="255"/>
      <c r="LW85" s="255"/>
      <c r="LX85" s="255"/>
      <c r="LY85" s="255"/>
      <c r="LZ85" s="255"/>
      <c r="MA85" s="255"/>
      <c r="MB85" s="255"/>
      <c r="MC85" s="312"/>
      <c r="MD85" s="254"/>
      <c r="ME85" s="255"/>
      <c r="MF85" s="255"/>
      <c r="MG85" s="255"/>
      <c r="MH85" s="312"/>
      <c r="MM85" s="254"/>
      <c r="MN85" s="255"/>
      <c r="MO85" s="255"/>
      <c r="MP85" s="255"/>
      <c r="MQ85" s="255"/>
      <c r="MR85" s="255"/>
      <c r="MS85" s="255"/>
      <c r="MT85" s="255"/>
      <c r="MU85" s="255"/>
      <c r="MV85" s="255"/>
      <c r="MW85" s="255"/>
      <c r="MX85" s="255"/>
      <c r="MY85" s="255"/>
      <c r="MZ85" s="255"/>
      <c r="NA85" s="255"/>
      <c r="NB85" s="255"/>
      <c r="NC85" s="255"/>
      <c r="ND85" s="255"/>
      <c r="NE85" s="255"/>
      <c r="NF85" s="255"/>
      <c r="NG85" s="255"/>
      <c r="NH85" s="255"/>
      <c r="NI85" s="255"/>
      <c r="NJ85" s="255"/>
      <c r="NK85" s="255"/>
      <c r="NL85" s="255"/>
      <c r="NM85" s="255"/>
      <c r="NN85" s="255"/>
      <c r="NO85" s="255"/>
      <c r="NP85" s="255"/>
      <c r="NQ85" s="255"/>
      <c r="NR85" s="255"/>
      <c r="NS85" s="255"/>
      <c r="NT85" s="255"/>
      <c r="NU85" s="255"/>
      <c r="NV85" s="255"/>
      <c r="NW85" s="255"/>
      <c r="NX85" s="255"/>
      <c r="NY85" s="255"/>
      <c r="NZ85" s="312"/>
      <c r="OA85" s="254"/>
      <c r="OB85" s="255"/>
      <c r="OC85" s="255"/>
      <c r="OD85" s="255"/>
      <c r="OE85" s="312"/>
      <c r="OJ85" s="310"/>
      <c r="OK85" s="310"/>
      <c r="OL85" s="310"/>
      <c r="OM85" s="310"/>
      <c r="ON85" s="310"/>
      <c r="OO85" s="310"/>
      <c r="OP85" s="310"/>
      <c r="OQ85" s="310"/>
      <c r="OR85" s="310"/>
      <c r="OS85" s="310"/>
      <c r="OT85" s="310"/>
      <c r="OU85" s="310"/>
      <c r="OV85" s="310"/>
      <c r="OW85" s="310"/>
      <c r="OX85" s="310"/>
      <c r="OY85" s="310"/>
      <c r="OZ85" s="310"/>
      <c r="PA85" s="310"/>
      <c r="PB85" s="310"/>
      <c r="PC85" s="310"/>
      <c r="PD85" s="310"/>
      <c r="PE85" s="310"/>
      <c r="PF85" s="310"/>
      <c r="PG85" s="310"/>
      <c r="PH85" s="310"/>
      <c r="PI85" s="310"/>
      <c r="PJ85" s="310"/>
      <c r="PK85" s="310"/>
      <c r="PL85" s="310"/>
      <c r="PM85" s="310"/>
      <c r="PN85" s="310"/>
      <c r="PO85" s="310"/>
      <c r="PP85" s="310"/>
      <c r="PQ85" s="310"/>
      <c r="PR85" s="310"/>
      <c r="PS85" s="310"/>
      <c r="PT85" s="310"/>
      <c r="PU85" s="310"/>
      <c r="PV85" s="310"/>
      <c r="PW85" s="310"/>
      <c r="PX85" s="310"/>
      <c r="PY85" s="310"/>
      <c r="PZ85" s="310"/>
      <c r="QA85" s="310"/>
      <c r="QB85" s="310"/>
      <c r="QC85" s="310"/>
      <c r="QK85" s="151"/>
      <c r="QL85" s="151"/>
      <c r="QM85" s="151"/>
      <c r="QN85" s="151"/>
      <c r="QQ85" s="152"/>
      <c r="QR85" s="153"/>
    </row>
    <row r="86" spans="3:460" ht="5.0999999999999996" customHeight="1" x14ac:dyDescent="0.3">
      <c r="C86" s="149"/>
      <c r="D86" s="150"/>
      <c r="I86" s="273"/>
      <c r="J86" s="274"/>
      <c r="K86" s="274"/>
      <c r="L86" s="274"/>
      <c r="M86" s="274"/>
      <c r="N86" s="274"/>
      <c r="O86" s="274"/>
      <c r="P86" s="274"/>
      <c r="Q86" s="274"/>
      <c r="R86" s="274"/>
      <c r="S86" s="274"/>
      <c r="T86" s="274"/>
      <c r="U86" s="274"/>
      <c r="V86" s="274"/>
      <c r="W86" s="274"/>
      <c r="X86" s="274"/>
      <c r="Y86" s="274"/>
      <c r="Z86" s="274"/>
      <c r="AA86" s="274"/>
      <c r="AB86" s="274"/>
      <c r="AC86" s="274"/>
      <c r="AD86" s="274"/>
      <c r="AE86" s="274"/>
      <c r="AF86" s="274"/>
      <c r="AG86" s="274"/>
      <c r="AH86" s="274"/>
      <c r="AI86" s="274"/>
      <c r="AJ86" s="274"/>
      <c r="AK86" s="274"/>
      <c r="AL86" s="274"/>
      <c r="AM86" s="274"/>
      <c r="AN86" s="274"/>
      <c r="AO86" s="274"/>
      <c r="AP86" s="274"/>
      <c r="AQ86" s="274"/>
      <c r="AR86" s="274"/>
      <c r="AS86" s="274"/>
      <c r="AT86" s="274"/>
      <c r="AU86" s="274"/>
      <c r="AV86" s="274"/>
      <c r="AW86" s="275"/>
      <c r="AX86" s="282"/>
      <c r="AY86" s="283"/>
      <c r="AZ86" s="283"/>
      <c r="BA86" s="283"/>
      <c r="BB86" s="284"/>
      <c r="ED86" s="155"/>
      <c r="IR86" s="254"/>
      <c r="IS86" s="255"/>
      <c r="IT86" s="255"/>
      <c r="IU86" s="255"/>
      <c r="IV86" s="255"/>
      <c r="IW86" s="255"/>
      <c r="IX86" s="255"/>
      <c r="IY86" s="255"/>
      <c r="IZ86" s="255"/>
      <c r="JA86" s="255"/>
      <c r="JB86" s="255"/>
      <c r="JC86" s="255"/>
      <c r="JD86" s="255"/>
      <c r="JE86" s="255"/>
      <c r="JF86" s="255"/>
      <c r="JG86" s="255"/>
      <c r="JH86" s="255"/>
      <c r="JI86" s="255"/>
      <c r="JJ86" s="255"/>
      <c r="JK86" s="255"/>
      <c r="JL86" s="255"/>
      <c r="JM86" s="255"/>
      <c r="JN86" s="255"/>
      <c r="JO86" s="255"/>
      <c r="JP86" s="255"/>
      <c r="JQ86" s="255"/>
      <c r="JR86" s="255"/>
      <c r="JS86" s="255"/>
      <c r="JT86" s="255"/>
      <c r="JU86" s="255"/>
      <c r="JV86" s="255"/>
      <c r="JW86" s="255"/>
      <c r="JX86" s="255"/>
      <c r="JY86" s="255"/>
      <c r="JZ86" s="255"/>
      <c r="KA86" s="255"/>
      <c r="KB86" s="255"/>
      <c r="KC86" s="255"/>
      <c r="KD86" s="255"/>
      <c r="KE86" s="312"/>
      <c r="KF86" s="254"/>
      <c r="KG86" s="255"/>
      <c r="KH86" s="255"/>
      <c r="KI86" s="255"/>
      <c r="KJ86" s="312"/>
      <c r="KP86" s="254"/>
      <c r="KQ86" s="255"/>
      <c r="KR86" s="255"/>
      <c r="KS86" s="255"/>
      <c r="KT86" s="255"/>
      <c r="KU86" s="255"/>
      <c r="KV86" s="255"/>
      <c r="KW86" s="255"/>
      <c r="KX86" s="255"/>
      <c r="KY86" s="255"/>
      <c r="KZ86" s="255"/>
      <c r="LA86" s="255"/>
      <c r="LB86" s="255"/>
      <c r="LC86" s="255"/>
      <c r="LD86" s="255"/>
      <c r="LE86" s="255"/>
      <c r="LF86" s="255"/>
      <c r="LG86" s="255"/>
      <c r="LH86" s="255"/>
      <c r="LI86" s="255"/>
      <c r="LJ86" s="255"/>
      <c r="LK86" s="255"/>
      <c r="LL86" s="255"/>
      <c r="LM86" s="255"/>
      <c r="LN86" s="255"/>
      <c r="LO86" s="255"/>
      <c r="LP86" s="255"/>
      <c r="LQ86" s="255"/>
      <c r="LR86" s="255"/>
      <c r="LS86" s="255"/>
      <c r="LT86" s="255"/>
      <c r="LU86" s="255"/>
      <c r="LV86" s="255"/>
      <c r="LW86" s="255"/>
      <c r="LX86" s="255"/>
      <c r="LY86" s="255"/>
      <c r="LZ86" s="255"/>
      <c r="MA86" s="255"/>
      <c r="MB86" s="255"/>
      <c r="MC86" s="312"/>
      <c r="MD86" s="254"/>
      <c r="ME86" s="255"/>
      <c r="MF86" s="255"/>
      <c r="MG86" s="255"/>
      <c r="MH86" s="312"/>
      <c r="MM86" s="254"/>
      <c r="MN86" s="255"/>
      <c r="MO86" s="255"/>
      <c r="MP86" s="255"/>
      <c r="MQ86" s="255"/>
      <c r="MR86" s="255"/>
      <c r="MS86" s="255"/>
      <c r="MT86" s="255"/>
      <c r="MU86" s="255"/>
      <c r="MV86" s="255"/>
      <c r="MW86" s="255"/>
      <c r="MX86" s="255"/>
      <c r="MY86" s="255"/>
      <c r="MZ86" s="255"/>
      <c r="NA86" s="255"/>
      <c r="NB86" s="255"/>
      <c r="NC86" s="255"/>
      <c r="ND86" s="255"/>
      <c r="NE86" s="255"/>
      <c r="NF86" s="255"/>
      <c r="NG86" s="255"/>
      <c r="NH86" s="255"/>
      <c r="NI86" s="255"/>
      <c r="NJ86" s="255"/>
      <c r="NK86" s="255"/>
      <c r="NL86" s="255"/>
      <c r="NM86" s="255"/>
      <c r="NN86" s="255"/>
      <c r="NO86" s="255"/>
      <c r="NP86" s="255"/>
      <c r="NQ86" s="255"/>
      <c r="NR86" s="255"/>
      <c r="NS86" s="255"/>
      <c r="NT86" s="255"/>
      <c r="NU86" s="255"/>
      <c r="NV86" s="255"/>
      <c r="NW86" s="255"/>
      <c r="NX86" s="255"/>
      <c r="NY86" s="255"/>
      <c r="NZ86" s="312"/>
      <c r="OA86" s="254"/>
      <c r="OB86" s="255"/>
      <c r="OC86" s="255"/>
      <c r="OD86" s="255"/>
      <c r="OE86" s="312"/>
      <c r="OJ86" s="310"/>
      <c r="OK86" s="310"/>
      <c r="OL86" s="310"/>
      <c r="OM86" s="310"/>
      <c r="ON86" s="310"/>
      <c r="OO86" s="310"/>
      <c r="OP86" s="310"/>
      <c r="OQ86" s="310"/>
      <c r="OR86" s="310"/>
      <c r="OS86" s="310"/>
      <c r="OT86" s="310"/>
      <c r="OU86" s="310"/>
      <c r="OV86" s="310"/>
      <c r="OW86" s="310"/>
      <c r="OX86" s="310"/>
      <c r="OY86" s="310"/>
      <c r="OZ86" s="310"/>
      <c r="PA86" s="310"/>
      <c r="PB86" s="310"/>
      <c r="PC86" s="310"/>
      <c r="PD86" s="310"/>
      <c r="PE86" s="310"/>
      <c r="PF86" s="310"/>
      <c r="PG86" s="310"/>
      <c r="PH86" s="310"/>
      <c r="PI86" s="310"/>
      <c r="PJ86" s="310"/>
      <c r="PK86" s="310"/>
      <c r="PL86" s="310"/>
      <c r="PM86" s="310"/>
      <c r="PN86" s="310"/>
      <c r="PO86" s="310"/>
      <c r="PP86" s="310"/>
      <c r="PQ86" s="310"/>
      <c r="PR86" s="310"/>
      <c r="PS86" s="310"/>
      <c r="PT86" s="310"/>
      <c r="PU86" s="310"/>
      <c r="PV86" s="310"/>
      <c r="PW86" s="310"/>
      <c r="PX86" s="310"/>
      <c r="PY86" s="310"/>
      <c r="PZ86" s="310"/>
      <c r="QA86" s="310"/>
      <c r="QB86" s="310"/>
      <c r="QC86" s="310"/>
      <c r="QK86" s="151"/>
      <c r="QL86" s="151"/>
      <c r="QM86" s="151"/>
      <c r="QN86" s="151"/>
      <c r="QQ86" s="152"/>
      <c r="QR86" s="153"/>
    </row>
    <row r="87" spans="3:460" ht="5.0999999999999996" customHeight="1" x14ac:dyDescent="0.3">
      <c r="C87" s="149"/>
      <c r="D87" s="150"/>
      <c r="I87" s="276"/>
      <c r="J87" s="277"/>
      <c r="K87" s="277"/>
      <c r="L87" s="277"/>
      <c r="M87" s="277"/>
      <c r="N87" s="277"/>
      <c r="O87" s="277"/>
      <c r="P87" s="277"/>
      <c r="Q87" s="277"/>
      <c r="R87" s="277"/>
      <c r="S87" s="277"/>
      <c r="T87" s="277"/>
      <c r="U87" s="277"/>
      <c r="V87" s="277"/>
      <c r="W87" s="277"/>
      <c r="X87" s="277"/>
      <c r="Y87" s="277"/>
      <c r="Z87" s="277"/>
      <c r="AA87" s="277"/>
      <c r="AB87" s="277"/>
      <c r="AC87" s="277"/>
      <c r="AD87" s="277"/>
      <c r="AE87" s="277"/>
      <c r="AF87" s="277"/>
      <c r="AG87" s="277"/>
      <c r="AH87" s="277"/>
      <c r="AI87" s="277"/>
      <c r="AJ87" s="277"/>
      <c r="AK87" s="277"/>
      <c r="AL87" s="277"/>
      <c r="AM87" s="277"/>
      <c r="AN87" s="277"/>
      <c r="AO87" s="277"/>
      <c r="AP87" s="277"/>
      <c r="AQ87" s="277"/>
      <c r="AR87" s="277"/>
      <c r="AS87" s="277"/>
      <c r="AT87" s="277"/>
      <c r="AU87" s="277"/>
      <c r="AV87" s="277"/>
      <c r="AW87" s="278"/>
      <c r="AX87" s="285"/>
      <c r="AY87" s="286"/>
      <c r="AZ87" s="286"/>
      <c r="BA87" s="286"/>
      <c r="BB87" s="287"/>
      <c r="ED87" s="155"/>
      <c r="IR87" s="254"/>
      <c r="IS87" s="255"/>
      <c r="IT87" s="255"/>
      <c r="IU87" s="255"/>
      <c r="IV87" s="255"/>
      <c r="IW87" s="255"/>
      <c r="IX87" s="255"/>
      <c r="IY87" s="255"/>
      <c r="IZ87" s="255"/>
      <c r="JA87" s="255"/>
      <c r="JB87" s="255"/>
      <c r="JC87" s="255"/>
      <c r="JD87" s="255"/>
      <c r="JE87" s="255"/>
      <c r="JF87" s="255"/>
      <c r="JG87" s="255"/>
      <c r="JH87" s="255"/>
      <c r="JI87" s="255"/>
      <c r="JJ87" s="255"/>
      <c r="JK87" s="255"/>
      <c r="JL87" s="255"/>
      <c r="JM87" s="255"/>
      <c r="JN87" s="255"/>
      <c r="JO87" s="255"/>
      <c r="JP87" s="255"/>
      <c r="JQ87" s="255"/>
      <c r="JR87" s="255"/>
      <c r="JS87" s="255"/>
      <c r="JT87" s="255"/>
      <c r="JU87" s="255"/>
      <c r="JV87" s="255"/>
      <c r="JW87" s="255"/>
      <c r="JX87" s="255"/>
      <c r="JY87" s="255"/>
      <c r="JZ87" s="255"/>
      <c r="KA87" s="255"/>
      <c r="KB87" s="255"/>
      <c r="KC87" s="255"/>
      <c r="KD87" s="255"/>
      <c r="KE87" s="312"/>
      <c r="KF87" s="254"/>
      <c r="KG87" s="255"/>
      <c r="KH87" s="255"/>
      <c r="KI87" s="255"/>
      <c r="KJ87" s="312"/>
      <c r="KP87" s="254"/>
      <c r="KQ87" s="255"/>
      <c r="KR87" s="255"/>
      <c r="KS87" s="255"/>
      <c r="KT87" s="255"/>
      <c r="KU87" s="255"/>
      <c r="KV87" s="255"/>
      <c r="KW87" s="255"/>
      <c r="KX87" s="255"/>
      <c r="KY87" s="255"/>
      <c r="KZ87" s="255"/>
      <c r="LA87" s="255"/>
      <c r="LB87" s="255"/>
      <c r="LC87" s="255"/>
      <c r="LD87" s="255"/>
      <c r="LE87" s="255"/>
      <c r="LF87" s="255"/>
      <c r="LG87" s="255"/>
      <c r="LH87" s="255"/>
      <c r="LI87" s="255"/>
      <c r="LJ87" s="255"/>
      <c r="LK87" s="255"/>
      <c r="LL87" s="255"/>
      <c r="LM87" s="255"/>
      <c r="LN87" s="255"/>
      <c r="LO87" s="255"/>
      <c r="LP87" s="255"/>
      <c r="LQ87" s="255"/>
      <c r="LR87" s="255"/>
      <c r="LS87" s="255"/>
      <c r="LT87" s="255"/>
      <c r="LU87" s="255"/>
      <c r="LV87" s="255"/>
      <c r="LW87" s="255"/>
      <c r="LX87" s="255"/>
      <c r="LY87" s="255"/>
      <c r="LZ87" s="255"/>
      <c r="MA87" s="255"/>
      <c r="MB87" s="255"/>
      <c r="MC87" s="312"/>
      <c r="MD87" s="254"/>
      <c r="ME87" s="255"/>
      <c r="MF87" s="255"/>
      <c r="MG87" s="255"/>
      <c r="MH87" s="312"/>
      <c r="MM87" s="254"/>
      <c r="MN87" s="255"/>
      <c r="MO87" s="255"/>
      <c r="MP87" s="255"/>
      <c r="MQ87" s="255"/>
      <c r="MR87" s="255"/>
      <c r="MS87" s="255"/>
      <c r="MT87" s="255"/>
      <c r="MU87" s="255"/>
      <c r="MV87" s="255"/>
      <c r="MW87" s="255"/>
      <c r="MX87" s="255"/>
      <c r="MY87" s="255"/>
      <c r="MZ87" s="255"/>
      <c r="NA87" s="255"/>
      <c r="NB87" s="255"/>
      <c r="NC87" s="255"/>
      <c r="ND87" s="255"/>
      <c r="NE87" s="255"/>
      <c r="NF87" s="255"/>
      <c r="NG87" s="255"/>
      <c r="NH87" s="255"/>
      <c r="NI87" s="255"/>
      <c r="NJ87" s="255"/>
      <c r="NK87" s="255"/>
      <c r="NL87" s="255"/>
      <c r="NM87" s="255"/>
      <c r="NN87" s="255"/>
      <c r="NO87" s="255"/>
      <c r="NP87" s="255"/>
      <c r="NQ87" s="255"/>
      <c r="NR87" s="255"/>
      <c r="NS87" s="255"/>
      <c r="NT87" s="255"/>
      <c r="NU87" s="255"/>
      <c r="NV87" s="255"/>
      <c r="NW87" s="255"/>
      <c r="NX87" s="255"/>
      <c r="NY87" s="255"/>
      <c r="NZ87" s="312"/>
      <c r="OA87" s="254"/>
      <c r="OB87" s="255"/>
      <c r="OC87" s="255"/>
      <c r="OD87" s="255"/>
      <c r="OE87" s="312"/>
      <c r="OJ87" s="310"/>
      <c r="OK87" s="310"/>
      <c r="OL87" s="310"/>
      <c r="OM87" s="310"/>
      <c r="ON87" s="310"/>
      <c r="OO87" s="310"/>
      <c r="OP87" s="310"/>
      <c r="OQ87" s="310"/>
      <c r="OR87" s="310"/>
      <c r="OS87" s="310"/>
      <c r="OT87" s="310"/>
      <c r="OU87" s="310"/>
      <c r="OV87" s="310"/>
      <c r="OW87" s="310"/>
      <c r="OX87" s="310"/>
      <c r="OY87" s="310"/>
      <c r="OZ87" s="310"/>
      <c r="PA87" s="310"/>
      <c r="PB87" s="310"/>
      <c r="PC87" s="310"/>
      <c r="PD87" s="310"/>
      <c r="PE87" s="310"/>
      <c r="PF87" s="310"/>
      <c r="PG87" s="310"/>
      <c r="PH87" s="310"/>
      <c r="PI87" s="310"/>
      <c r="PJ87" s="310"/>
      <c r="PK87" s="310"/>
      <c r="PL87" s="310"/>
      <c r="PM87" s="310"/>
      <c r="PN87" s="310"/>
      <c r="PO87" s="310"/>
      <c r="PP87" s="310"/>
      <c r="PQ87" s="310"/>
      <c r="PR87" s="310"/>
      <c r="PS87" s="310"/>
      <c r="PT87" s="310"/>
      <c r="PU87" s="310"/>
      <c r="PV87" s="310"/>
      <c r="PW87" s="310"/>
      <c r="PX87" s="310"/>
      <c r="PY87" s="310"/>
      <c r="PZ87" s="310"/>
      <c r="QA87" s="310"/>
      <c r="QB87" s="310"/>
      <c r="QC87" s="310"/>
      <c r="QK87" s="151"/>
      <c r="QL87" s="151"/>
      <c r="QM87" s="151"/>
      <c r="QN87" s="151"/>
      <c r="QQ87" s="152"/>
      <c r="QR87" s="153"/>
    </row>
    <row r="88" spans="3:460" ht="5.0999999999999996" customHeight="1" x14ac:dyDescent="0.3">
      <c r="C88" s="149"/>
      <c r="D88" s="150"/>
      <c r="AX88" s="241"/>
      <c r="AY88" s="241"/>
      <c r="AZ88" s="241"/>
      <c r="BA88" s="241"/>
      <c r="BB88" s="241"/>
      <c r="ED88" s="155"/>
      <c r="IR88" s="254"/>
      <c r="IS88" s="255"/>
      <c r="IT88" s="255"/>
      <c r="IU88" s="255"/>
      <c r="IV88" s="255"/>
      <c r="IW88" s="255"/>
      <c r="IX88" s="255"/>
      <c r="IY88" s="255"/>
      <c r="IZ88" s="255"/>
      <c r="JA88" s="255"/>
      <c r="JB88" s="255"/>
      <c r="JC88" s="255"/>
      <c r="JD88" s="255"/>
      <c r="JE88" s="255"/>
      <c r="JF88" s="255"/>
      <c r="JG88" s="255"/>
      <c r="JH88" s="255"/>
      <c r="JI88" s="255"/>
      <c r="JJ88" s="255"/>
      <c r="JK88" s="255"/>
      <c r="JL88" s="255"/>
      <c r="JM88" s="255"/>
      <c r="JN88" s="255"/>
      <c r="JO88" s="255"/>
      <c r="JP88" s="255"/>
      <c r="JQ88" s="255"/>
      <c r="JR88" s="255"/>
      <c r="JS88" s="255"/>
      <c r="JT88" s="255"/>
      <c r="JU88" s="255"/>
      <c r="JV88" s="255"/>
      <c r="JW88" s="255"/>
      <c r="JX88" s="255"/>
      <c r="JY88" s="255"/>
      <c r="JZ88" s="255"/>
      <c r="KA88" s="255"/>
      <c r="KB88" s="255"/>
      <c r="KC88" s="255"/>
      <c r="KD88" s="255"/>
      <c r="KE88" s="312"/>
      <c r="KF88" s="254"/>
      <c r="KG88" s="255"/>
      <c r="KH88" s="255"/>
      <c r="KI88" s="255"/>
      <c r="KJ88" s="312"/>
      <c r="KP88" s="254"/>
      <c r="KQ88" s="255"/>
      <c r="KR88" s="255"/>
      <c r="KS88" s="255"/>
      <c r="KT88" s="255"/>
      <c r="KU88" s="255"/>
      <c r="KV88" s="255"/>
      <c r="KW88" s="255"/>
      <c r="KX88" s="255"/>
      <c r="KY88" s="255"/>
      <c r="KZ88" s="255"/>
      <c r="LA88" s="255"/>
      <c r="LB88" s="255"/>
      <c r="LC88" s="255"/>
      <c r="LD88" s="255"/>
      <c r="LE88" s="255"/>
      <c r="LF88" s="255"/>
      <c r="LG88" s="255"/>
      <c r="LH88" s="255"/>
      <c r="LI88" s="255"/>
      <c r="LJ88" s="255"/>
      <c r="LK88" s="255"/>
      <c r="LL88" s="255"/>
      <c r="LM88" s="255"/>
      <c r="LN88" s="255"/>
      <c r="LO88" s="255"/>
      <c r="LP88" s="255"/>
      <c r="LQ88" s="255"/>
      <c r="LR88" s="255"/>
      <c r="LS88" s="255"/>
      <c r="LT88" s="255"/>
      <c r="LU88" s="255"/>
      <c r="LV88" s="255"/>
      <c r="LW88" s="255"/>
      <c r="LX88" s="255"/>
      <c r="LY88" s="255"/>
      <c r="LZ88" s="255"/>
      <c r="MA88" s="255"/>
      <c r="MB88" s="255"/>
      <c r="MC88" s="312"/>
      <c r="MD88" s="254"/>
      <c r="ME88" s="255"/>
      <c r="MF88" s="255"/>
      <c r="MG88" s="255"/>
      <c r="MH88" s="312"/>
      <c r="MM88" s="254"/>
      <c r="MN88" s="255"/>
      <c r="MO88" s="255"/>
      <c r="MP88" s="255"/>
      <c r="MQ88" s="255"/>
      <c r="MR88" s="255"/>
      <c r="MS88" s="255"/>
      <c r="MT88" s="255"/>
      <c r="MU88" s="255"/>
      <c r="MV88" s="255"/>
      <c r="MW88" s="255"/>
      <c r="MX88" s="255"/>
      <c r="MY88" s="255"/>
      <c r="MZ88" s="255"/>
      <c r="NA88" s="255"/>
      <c r="NB88" s="255"/>
      <c r="NC88" s="255"/>
      <c r="ND88" s="255"/>
      <c r="NE88" s="255"/>
      <c r="NF88" s="255"/>
      <c r="NG88" s="255"/>
      <c r="NH88" s="255"/>
      <c r="NI88" s="255"/>
      <c r="NJ88" s="255"/>
      <c r="NK88" s="255"/>
      <c r="NL88" s="255"/>
      <c r="NM88" s="255"/>
      <c r="NN88" s="255"/>
      <c r="NO88" s="255"/>
      <c r="NP88" s="255"/>
      <c r="NQ88" s="255"/>
      <c r="NR88" s="255"/>
      <c r="NS88" s="255"/>
      <c r="NT88" s="255"/>
      <c r="NU88" s="255"/>
      <c r="NV88" s="255"/>
      <c r="NW88" s="255"/>
      <c r="NX88" s="255"/>
      <c r="NY88" s="255"/>
      <c r="NZ88" s="312"/>
      <c r="OA88" s="254"/>
      <c r="OB88" s="255"/>
      <c r="OC88" s="255"/>
      <c r="OD88" s="255"/>
      <c r="OE88" s="312"/>
      <c r="OJ88" s="310"/>
      <c r="OK88" s="310"/>
      <c r="OL88" s="310"/>
      <c r="OM88" s="310"/>
      <c r="ON88" s="310"/>
      <c r="OO88" s="310"/>
      <c r="OP88" s="310"/>
      <c r="OQ88" s="310"/>
      <c r="OR88" s="310"/>
      <c r="OS88" s="310"/>
      <c r="OT88" s="310"/>
      <c r="OU88" s="310"/>
      <c r="OV88" s="310"/>
      <c r="OW88" s="310"/>
      <c r="OX88" s="310"/>
      <c r="OY88" s="310"/>
      <c r="OZ88" s="310"/>
      <c r="PA88" s="310"/>
      <c r="PB88" s="310"/>
      <c r="PC88" s="310"/>
      <c r="PD88" s="310"/>
      <c r="PE88" s="310"/>
      <c r="PF88" s="310"/>
      <c r="PG88" s="310"/>
      <c r="PH88" s="310"/>
      <c r="PI88" s="310"/>
      <c r="PJ88" s="310"/>
      <c r="PK88" s="310"/>
      <c r="PL88" s="310"/>
      <c r="PM88" s="310"/>
      <c r="PN88" s="310"/>
      <c r="PO88" s="310"/>
      <c r="PP88" s="310"/>
      <c r="PQ88" s="310"/>
      <c r="PR88" s="310"/>
      <c r="PS88" s="310"/>
      <c r="PT88" s="310"/>
      <c r="PU88" s="310"/>
      <c r="PV88" s="310"/>
      <c r="PW88" s="310"/>
      <c r="PX88" s="310"/>
      <c r="PY88" s="310"/>
      <c r="PZ88" s="310"/>
      <c r="QA88" s="310"/>
      <c r="QB88" s="310"/>
      <c r="QC88" s="310"/>
      <c r="QK88" s="151"/>
      <c r="QL88" s="151"/>
      <c r="QM88" s="151"/>
      <c r="QN88" s="151"/>
      <c r="QQ88" s="152"/>
      <c r="QR88" s="153"/>
    </row>
    <row r="89" spans="3:460" ht="5.0999999999999996" customHeight="1" x14ac:dyDescent="0.3">
      <c r="C89" s="149"/>
      <c r="D89" s="150"/>
      <c r="AX89" s="241"/>
      <c r="AY89" s="241"/>
      <c r="AZ89" s="241"/>
      <c r="BA89" s="241"/>
      <c r="BB89" s="241"/>
      <c r="ED89" s="155"/>
      <c r="IR89" s="254"/>
      <c r="IS89" s="255"/>
      <c r="IT89" s="255"/>
      <c r="IU89" s="255"/>
      <c r="IV89" s="255"/>
      <c r="IW89" s="255"/>
      <c r="IX89" s="255"/>
      <c r="IY89" s="255"/>
      <c r="IZ89" s="255"/>
      <c r="JA89" s="255"/>
      <c r="JB89" s="255"/>
      <c r="JC89" s="255"/>
      <c r="JD89" s="255"/>
      <c r="JE89" s="255"/>
      <c r="JF89" s="255"/>
      <c r="JG89" s="255"/>
      <c r="JH89" s="255"/>
      <c r="JI89" s="255"/>
      <c r="JJ89" s="255"/>
      <c r="JK89" s="255"/>
      <c r="JL89" s="255"/>
      <c r="JM89" s="255"/>
      <c r="JN89" s="255"/>
      <c r="JO89" s="255"/>
      <c r="JP89" s="255"/>
      <c r="JQ89" s="255"/>
      <c r="JR89" s="255"/>
      <c r="JS89" s="255"/>
      <c r="JT89" s="255"/>
      <c r="JU89" s="255"/>
      <c r="JV89" s="255"/>
      <c r="JW89" s="255"/>
      <c r="JX89" s="255"/>
      <c r="JY89" s="255"/>
      <c r="JZ89" s="255"/>
      <c r="KA89" s="255"/>
      <c r="KB89" s="255"/>
      <c r="KC89" s="255"/>
      <c r="KD89" s="255"/>
      <c r="KE89" s="312"/>
      <c r="KF89" s="254"/>
      <c r="KG89" s="255"/>
      <c r="KH89" s="255"/>
      <c r="KI89" s="255"/>
      <c r="KJ89" s="312"/>
      <c r="KP89" s="254"/>
      <c r="KQ89" s="255"/>
      <c r="KR89" s="255"/>
      <c r="KS89" s="255"/>
      <c r="KT89" s="255"/>
      <c r="KU89" s="255"/>
      <c r="KV89" s="255"/>
      <c r="KW89" s="255"/>
      <c r="KX89" s="255"/>
      <c r="KY89" s="255"/>
      <c r="KZ89" s="255"/>
      <c r="LA89" s="255"/>
      <c r="LB89" s="255"/>
      <c r="LC89" s="255"/>
      <c r="LD89" s="255"/>
      <c r="LE89" s="255"/>
      <c r="LF89" s="255"/>
      <c r="LG89" s="255"/>
      <c r="LH89" s="255"/>
      <c r="LI89" s="255"/>
      <c r="LJ89" s="255"/>
      <c r="LK89" s="255"/>
      <c r="LL89" s="255"/>
      <c r="LM89" s="255"/>
      <c r="LN89" s="255"/>
      <c r="LO89" s="255"/>
      <c r="LP89" s="255"/>
      <c r="LQ89" s="255"/>
      <c r="LR89" s="255"/>
      <c r="LS89" s="255"/>
      <c r="LT89" s="255"/>
      <c r="LU89" s="255"/>
      <c r="LV89" s="255"/>
      <c r="LW89" s="255"/>
      <c r="LX89" s="255"/>
      <c r="LY89" s="255"/>
      <c r="LZ89" s="255"/>
      <c r="MA89" s="255"/>
      <c r="MB89" s="255"/>
      <c r="MC89" s="312"/>
      <c r="MD89" s="254"/>
      <c r="ME89" s="255"/>
      <c r="MF89" s="255"/>
      <c r="MG89" s="255"/>
      <c r="MH89" s="312"/>
      <c r="MM89" s="254"/>
      <c r="MN89" s="255"/>
      <c r="MO89" s="255"/>
      <c r="MP89" s="255"/>
      <c r="MQ89" s="255"/>
      <c r="MR89" s="255"/>
      <c r="MS89" s="255"/>
      <c r="MT89" s="255"/>
      <c r="MU89" s="255"/>
      <c r="MV89" s="255"/>
      <c r="MW89" s="255"/>
      <c r="MX89" s="255"/>
      <c r="MY89" s="255"/>
      <c r="MZ89" s="255"/>
      <c r="NA89" s="255"/>
      <c r="NB89" s="255"/>
      <c r="NC89" s="255"/>
      <c r="ND89" s="255"/>
      <c r="NE89" s="255"/>
      <c r="NF89" s="255"/>
      <c r="NG89" s="255"/>
      <c r="NH89" s="255"/>
      <c r="NI89" s="255"/>
      <c r="NJ89" s="255"/>
      <c r="NK89" s="255"/>
      <c r="NL89" s="255"/>
      <c r="NM89" s="255"/>
      <c r="NN89" s="255"/>
      <c r="NO89" s="255"/>
      <c r="NP89" s="255"/>
      <c r="NQ89" s="255"/>
      <c r="NR89" s="255"/>
      <c r="NS89" s="255"/>
      <c r="NT89" s="255"/>
      <c r="NU89" s="255"/>
      <c r="NV89" s="255"/>
      <c r="NW89" s="255"/>
      <c r="NX89" s="255"/>
      <c r="NY89" s="255"/>
      <c r="NZ89" s="312"/>
      <c r="OA89" s="254"/>
      <c r="OB89" s="255"/>
      <c r="OC89" s="255"/>
      <c r="OD89" s="255"/>
      <c r="OE89" s="312"/>
      <c r="OJ89" s="310"/>
      <c r="OK89" s="310"/>
      <c r="OL89" s="310"/>
      <c r="OM89" s="310"/>
      <c r="ON89" s="310"/>
      <c r="OO89" s="310"/>
      <c r="OP89" s="310"/>
      <c r="OQ89" s="310"/>
      <c r="OR89" s="310"/>
      <c r="OS89" s="310"/>
      <c r="OT89" s="310"/>
      <c r="OU89" s="310"/>
      <c r="OV89" s="310"/>
      <c r="OW89" s="310"/>
      <c r="OX89" s="310"/>
      <c r="OY89" s="310"/>
      <c r="OZ89" s="310"/>
      <c r="PA89" s="310"/>
      <c r="PB89" s="310"/>
      <c r="PC89" s="310"/>
      <c r="PD89" s="310"/>
      <c r="PE89" s="310"/>
      <c r="PF89" s="310"/>
      <c r="PG89" s="310"/>
      <c r="PH89" s="310"/>
      <c r="PI89" s="310"/>
      <c r="PJ89" s="310"/>
      <c r="PK89" s="310"/>
      <c r="PL89" s="310"/>
      <c r="PM89" s="310"/>
      <c r="PN89" s="310"/>
      <c r="PO89" s="310"/>
      <c r="PP89" s="310"/>
      <c r="PQ89" s="310"/>
      <c r="PR89" s="310"/>
      <c r="PS89" s="310"/>
      <c r="PT89" s="310"/>
      <c r="PU89" s="310"/>
      <c r="PV89" s="310"/>
      <c r="PW89" s="310"/>
      <c r="PX89" s="310"/>
      <c r="PY89" s="310"/>
      <c r="PZ89" s="310"/>
      <c r="QA89" s="310"/>
      <c r="QB89" s="310"/>
      <c r="QC89" s="310"/>
      <c r="QQ89" s="152"/>
      <c r="QR89" s="153"/>
    </row>
    <row r="90" spans="3:460" ht="5.0999999999999996" customHeight="1" x14ac:dyDescent="0.3">
      <c r="C90" s="149"/>
      <c r="D90" s="150"/>
      <c r="AX90" s="241"/>
      <c r="AY90" s="241"/>
      <c r="AZ90" s="241"/>
      <c r="BA90" s="241"/>
      <c r="BB90" s="241"/>
      <c r="ED90" s="155"/>
      <c r="IR90" s="257"/>
      <c r="IS90" s="258"/>
      <c r="IT90" s="258"/>
      <c r="IU90" s="258"/>
      <c r="IV90" s="258"/>
      <c r="IW90" s="258"/>
      <c r="IX90" s="258"/>
      <c r="IY90" s="258"/>
      <c r="IZ90" s="258"/>
      <c r="JA90" s="258"/>
      <c r="JB90" s="258"/>
      <c r="JC90" s="258"/>
      <c r="JD90" s="258"/>
      <c r="JE90" s="258"/>
      <c r="JF90" s="258"/>
      <c r="JG90" s="258"/>
      <c r="JH90" s="258"/>
      <c r="JI90" s="258"/>
      <c r="JJ90" s="258"/>
      <c r="JK90" s="258"/>
      <c r="JL90" s="258"/>
      <c r="JM90" s="258"/>
      <c r="JN90" s="258"/>
      <c r="JO90" s="258"/>
      <c r="JP90" s="258"/>
      <c r="JQ90" s="258"/>
      <c r="JR90" s="258"/>
      <c r="JS90" s="258"/>
      <c r="JT90" s="258"/>
      <c r="JU90" s="258"/>
      <c r="JV90" s="258"/>
      <c r="JW90" s="258"/>
      <c r="JX90" s="258"/>
      <c r="JY90" s="258"/>
      <c r="JZ90" s="258"/>
      <c r="KA90" s="258"/>
      <c r="KB90" s="258"/>
      <c r="KC90" s="258"/>
      <c r="KD90" s="258"/>
      <c r="KE90" s="313"/>
      <c r="KF90" s="257"/>
      <c r="KG90" s="258"/>
      <c r="KH90" s="258"/>
      <c r="KI90" s="258"/>
      <c r="KJ90" s="313"/>
      <c r="KP90" s="257"/>
      <c r="KQ90" s="258"/>
      <c r="KR90" s="258"/>
      <c r="KS90" s="258"/>
      <c r="KT90" s="258"/>
      <c r="KU90" s="258"/>
      <c r="KV90" s="258"/>
      <c r="KW90" s="258"/>
      <c r="KX90" s="258"/>
      <c r="KY90" s="258"/>
      <c r="KZ90" s="258"/>
      <c r="LA90" s="258"/>
      <c r="LB90" s="258"/>
      <c r="LC90" s="258"/>
      <c r="LD90" s="258"/>
      <c r="LE90" s="258"/>
      <c r="LF90" s="258"/>
      <c r="LG90" s="258"/>
      <c r="LH90" s="258"/>
      <c r="LI90" s="258"/>
      <c r="LJ90" s="258"/>
      <c r="LK90" s="258"/>
      <c r="LL90" s="258"/>
      <c r="LM90" s="258"/>
      <c r="LN90" s="258"/>
      <c r="LO90" s="258"/>
      <c r="LP90" s="258"/>
      <c r="LQ90" s="258"/>
      <c r="LR90" s="258"/>
      <c r="LS90" s="258"/>
      <c r="LT90" s="258"/>
      <c r="LU90" s="258"/>
      <c r="LV90" s="258"/>
      <c r="LW90" s="258"/>
      <c r="LX90" s="258"/>
      <c r="LY90" s="258"/>
      <c r="LZ90" s="258"/>
      <c r="MA90" s="258"/>
      <c r="MB90" s="258"/>
      <c r="MC90" s="313"/>
      <c r="MD90" s="257"/>
      <c r="ME90" s="258"/>
      <c r="MF90" s="258"/>
      <c r="MG90" s="258"/>
      <c r="MH90" s="313"/>
      <c r="MM90" s="257"/>
      <c r="MN90" s="258"/>
      <c r="MO90" s="258"/>
      <c r="MP90" s="258"/>
      <c r="MQ90" s="258"/>
      <c r="MR90" s="258"/>
      <c r="MS90" s="258"/>
      <c r="MT90" s="258"/>
      <c r="MU90" s="258"/>
      <c r="MV90" s="258"/>
      <c r="MW90" s="258"/>
      <c r="MX90" s="258"/>
      <c r="MY90" s="258"/>
      <c r="MZ90" s="258"/>
      <c r="NA90" s="258"/>
      <c r="NB90" s="258"/>
      <c r="NC90" s="258"/>
      <c r="ND90" s="258"/>
      <c r="NE90" s="258"/>
      <c r="NF90" s="258"/>
      <c r="NG90" s="258"/>
      <c r="NH90" s="258"/>
      <c r="NI90" s="258"/>
      <c r="NJ90" s="258"/>
      <c r="NK90" s="258"/>
      <c r="NL90" s="258"/>
      <c r="NM90" s="258"/>
      <c r="NN90" s="258"/>
      <c r="NO90" s="258"/>
      <c r="NP90" s="258"/>
      <c r="NQ90" s="258"/>
      <c r="NR90" s="258"/>
      <c r="NS90" s="258"/>
      <c r="NT90" s="258"/>
      <c r="NU90" s="258"/>
      <c r="NV90" s="258"/>
      <c r="NW90" s="258"/>
      <c r="NX90" s="258"/>
      <c r="NY90" s="258"/>
      <c r="NZ90" s="313"/>
      <c r="OA90" s="257"/>
      <c r="OB90" s="258"/>
      <c r="OC90" s="258"/>
      <c r="OD90" s="258"/>
      <c r="OE90" s="313"/>
      <c r="OJ90" s="310"/>
      <c r="OK90" s="310"/>
      <c r="OL90" s="310"/>
      <c r="OM90" s="310"/>
      <c r="ON90" s="310"/>
      <c r="OO90" s="310"/>
      <c r="OP90" s="310"/>
      <c r="OQ90" s="310"/>
      <c r="OR90" s="310"/>
      <c r="OS90" s="310"/>
      <c r="OT90" s="310"/>
      <c r="OU90" s="310"/>
      <c r="OV90" s="310"/>
      <c r="OW90" s="310"/>
      <c r="OX90" s="310"/>
      <c r="OY90" s="310"/>
      <c r="OZ90" s="310"/>
      <c r="PA90" s="310"/>
      <c r="PB90" s="310"/>
      <c r="PC90" s="310"/>
      <c r="PD90" s="310"/>
      <c r="PE90" s="310"/>
      <c r="PF90" s="310"/>
      <c r="PG90" s="310"/>
      <c r="PH90" s="310"/>
      <c r="PI90" s="310"/>
      <c r="PJ90" s="310"/>
      <c r="PK90" s="310"/>
      <c r="PL90" s="310"/>
      <c r="PM90" s="310"/>
      <c r="PN90" s="310"/>
      <c r="PO90" s="310"/>
      <c r="PP90" s="310"/>
      <c r="PQ90" s="310"/>
      <c r="PR90" s="310"/>
      <c r="PS90" s="310"/>
      <c r="PT90" s="310"/>
      <c r="PU90" s="310"/>
      <c r="PV90" s="310"/>
      <c r="PW90" s="310"/>
      <c r="PX90" s="310"/>
      <c r="PY90" s="310"/>
      <c r="PZ90" s="310"/>
      <c r="QA90" s="310"/>
      <c r="QB90" s="310"/>
      <c r="QC90" s="310"/>
      <c r="QQ90" s="152"/>
      <c r="QR90" s="153"/>
    </row>
    <row r="91" spans="3:460" ht="5.0999999999999996" customHeight="1" x14ac:dyDescent="0.3">
      <c r="C91" s="149"/>
      <c r="D91" s="150"/>
      <c r="AX91" s="241"/>
      <c r="AY91" s="241"/>
      <c r="AZ91" s="241"/>
      <c r="BA91" s="241"/>
      <c r="BB91" s="241"/>
      <c r="ED91" s="155"/>
      <c r="JO91" s="173"/>
      <c r="JP91" s="174"/>
      <c r="LM91" s="173"/>
      <c r="LN91" s="174"/>
      <c r="NJ91" s="173"/>
      <c r="PH91" s="173"/>
      <c r="QQ91" s="152"/>
      <c r="QR91" s="153"/>
    </row>
    <row r="92" spans="3:460" ht="5.0999999999999996" customHeight="1" x14ac:dyDescent="0.3">
      <c r="C92" s="149"/>
      <c r="D92" s="150"/>
      <c r="AX92" s="241"/>
      <c r="AY92" s="241"/>
      <c r="AZ92" s="241"/>
      <c r="BA92" s="241"/>
      <c r="BB92" s="241"/>
      <c r="ED92" s="155"/>
      <c r="JO92" s="155"/>
      <c r="LM92" s="155"/>
      <c r="NJ92" s="155"/>
      <c r="PH92" s="155"/>
      <c r="QQ92" s="152"/>
      <c r="QR92" s="153"/>
    </row>
    <row r="93" spans="3:460" ht="5.0999999999999996" customHeight="1" x14ac:dyDescent="0.3">
      <c r="C93" s="149"/>
      <c r="D93" s="150"/>
      <c r="AX93" s="241"/>
      <c r="AY93" s="241"/>
      <c r="AZ93" s="241"/>
      <c r="BA93" s="241"/>
      <c r="BB93" s="241"/>
      <c r="ED93" s="155"/>
      <c r="JO93" s="155"/>
      <c r="LM93" s="155"/>
      <c r="NJ93" s="155"/>
      <c r="PH93" s="155"/>
      <c r="QQ93" s="152"/>
      <c r="QR93" s="153"/>
    </row>
    <row r="94" spans="3:460" ht="5.0999999999999996" customHeight="1" x14ac:dyDescent="0.3">
      <c r="C94" s="149"/>
      <c r="D94" s="150"/>
      <c r="AX94" s="241"/>
      <c r="AY94" s="241"/>
      <c r="AZ94" s="241"/>
      <c r="BA94" s="241"/>
      <c r="BB94" s="241"/>
      <c r="ED94" s="155"/>
      <c r="JO94" s="165"/>
      <c r="JP94" s="166"/>
      <c r="LM94" s="165"/>
      <c r="LN94" s="166"/>
      <c r="NJ94" s="165"/>
      <c r="PH94" s="165"/>
      <c r="QQ94" s="152"/>
      <c r="QR94" s="153"/>
    </row>
    <row r="95" spans="3:460" ht="5.0999999999999996" customHeight="1" x14ac:dyDescent="0.3">
      <c r="C95" s="149"/>
      <c r="D95" s="150"/>
      <c r="AX95" s="241"/>
      <c r="AY95" s="241"/>
      <c r="AZ95" s="241"/>
      <c r="BA95" s="241"/>
      <c r="BB95" s="241"/>
      <c r="ED95" s="155"/>
      <c r="IR95" s="270" t="s">
        <v>280</v>
      </c>
      <c r="IS95" s="271"/>
      <c r="IT95" s="271"/>
      <c r="IU95" s="271"/>
      <c r="IV95" s="271"/>
      <c r="IW95" s="271"/>
      <c r="IX95" s="271"/>
      <c r="IY95" s="271"/>
      <c r="IZ95" s="271"/>
      <c r="JA95" s="271"/>
      <c r="JB95" s="271"/>
      <c r="JC95" s="271"/>
      <c r="JD95" s="271"/>
      <c r="JE95" s="271"/>
      <c r="JF95" s="271"/>
      <c r="JG95" s="271"/>
      <c r="JH95" s="271"/>
      <c r="JI95" s="271"/>
      <c r="JJ95" s="271"/>
      <c r="JK95" s="271"/>
      <c r="JL95" s="271"/>
      <c r="JM95" s="271"/>
      <c r="JN95" s="271"/>
      <c r="JO95" s="271"/>
      <c r="JP95" s="271"/>
      <c r="JQ95" s="271"/>
      <c r="JR95" s="271"/>
      <c r="JS95" s="271"/>
      <c r="JT95" s="271"/>
      <c r="JU95" s="271"/>
      <c r="JV95" s="271"/>
      <c r="JW95" s="271"/>
      <c r="JX95" s="271"/>
      <c r="JY95" s="271"/>
      <c r="JZ95" s="271"/>
      <c r="KA95" s="271"/>
      <c r="KB95" s="271"/>
      <c r="KC95" s="271"/>
      <c r="KD95" s="271">
        <v>4</v>
      </c>
      <c r="KE95" s="272"/>
      <c r="KF95" s="270">
        <v>3</v>
      </c>
      <c r="KG95" s="271"/>
      <c r="KH95" s="271"/>
      <c r="KI95" s="271"/>
      <c r="KJ95" s="272"/>
      <c r="KP95" s="270" t="s">
        <v>281</v>
      </c>
      <c r="KQ95" s="271"/>
      <c r="KR95" s="271"/>
      <c r="KS95" s="271"/>
      <c r="KT95" s="271"/>
      <c r="KU95" s="271"/>
      <c r="KV95" s="271"/>
      <c r="KW95" s="271"/>
      <c r="KX95" s="271"/>
      <c r="KY95" s="271"/>
      <c r="KZ95" s="271"/>
      <c r="LA95" s="271"/>
      <c r="LB95" s="271"/>
      <c r="LC95" s="271"/>
      <c r="LD95" s="271"/>
      <c r="LE95" s="271"/>
      <c r="LF95" s="271"/>
      <c r="LG95" s="271"/>
      <c r="LH95" s="271"/>
      <c r="LI95" s="271"/>
      <c r="LJ95" s="271"/>
      <c r="LK95" s="271"/>
      <c r="LL95" s="271"/>
      <c r="LM95" s="271"/>
      <c r="LN95" s="271"/>
      <c r="LO95" s="271"/>
      <c r="LP95" s="271"/>
      <c r="LQ95" s="271"/>
      <c r="LR95" s="271"/>
      <c r="LS95" s="271"/>
      <c r="LT95" s="271"/>
      <c r="LU95" s="271"/>
      <c r="LV95" s="271"/>
      <c r="LW95" s="271"/>
      <c r="LX95" s="271"/>
      <c r="LY95" s="271"/>
      <c r="LZ95" s="271"/>
      <c r="MA95" s="271"/>
      <c r="MB95" s="271">
        <v>1</v>
      </c>
      <c r="MC95" s="272"/>
      <c r="MD95" s="270">
        <v>6</v>
      </c>
      <c r="ME95" s="271"/>
      <c r="MF95" s="271"/>
      <c r="MG95" s="271"/>
      <c r="MH95" s="272"/>
      <c r="MM95" s="270" t="s">
        <v>282</v>
      </c>
      <c r="MN95" s="271"/>
      <c r="MO95" s="271"/>
      <c r="MP95" s="271"/>
      <c r="MQ95" s="271"/>
      <c r="MR95" s="271"/>
      <c r="MS95" s="271"/>
      <c r="MT95" s="271"/>
      <c r="MU95" s="271"/>
      <c r="MV95" s="271"/>
      <c r="MW95" s="271"/>
      <c r="MX95" s="271"/>
      <c r="MY95" s="271"/>
      <c r="MZ95" s="271"/>
      <c r="NA95" s="271"/>
      <c r="NB95" s="271"/>
      <c r="NC95" s="271"/>
      <c r="ND95" s="271"/>
      <c r="NE95" s="271"/>
      <c r="NF95" s="271"/>
      <c r="NG95" s="271"/>
      <c r="NH95" s="271"/>
      <c r="NI95" s="271"/>
      <c r="NJ95" s="271"/>
      <c r="NK95" s="271"/>
      <c r="NL95" s="271"/>
      <c r="NM95" s="271"/>
      <c r="NN95" s="271"/>
      <c r="NO95" s="271"/>
      <c r="NP95" s="271"/>
      <c r="NQ95" s="271"/>
      <c r="NR95" s="271"/>
      <c r="NS95" s="271"/>
      <c r="NT95" s="271"/>
      <c r="NU95" s="271"/>
      <c r="NV95" s="271"/>
      <c r="NW95" s="271"/>
      <c r="NX95" s="271"/>
      <c r="NY95" s="271"/>
      <c r="NZ95" s="272"/>
      <c r="OA95" s="270">
        <v>2</v>
      </c>
      <c r="OB95" s="271"/>
      <c r="OC95" s="271"/>
      <c r="OD95" s="271"/>
      <c r="OE95" s="272"/>
      <c r="OK95" s="269" t="s">
        <v>283</v>
      </c>
      <c r="OL95" s="269"/>
      <c r="OM95" s="269"/>
      <c r="ON95" s="269"/>
      <c r="OO95" s="269"/>
      <c r="OP95" s="269"/>
      <c r="OQ95" s="269"/>
      <c r="OR95" s="269"/>
      <c r="OS95" s="269"/>
      <c r="OT95" s="269"/>
      <c r="OU95" s="269"/>
      <c r="OV95" s="269"/>
      <c r="OW95" s="269"/>
      <c r="OX95" s="269"/>
      <c r="OY95" s="269"/>
      <c r="OZ95" s="269"/>
      <c r="PA95" s="269"/>
      <c r="PB95" s="269"/>
      <c r="PC95" s="269"/>
      <c r="PD95" s="269"/>
      <c r="PE95" s="269"/>
      <c r="PF95" s="269"/>
      <c r="PG95" s="269"/>
      <c r="PH95" s="269"/>
      <c r="PI95" s="269"/>
      <c r="PJ95" s="269"/>
      <c r="PK95" s="269"/>
      <c r="PL95" s="269"/>
      <c r="PM95" s="269"/>
      <c r="PN95" s="269"/>
      <c r="PO95" s="269"/>
      <c r="PP95" s="269"/>
      <c r="PQ95" s="269"/>
      <c r="PR95" s="269"/>
      <c r="PS95" s="269"/>
      <c r="PT95" s="269"/>
      <c r="PU95" s="269"/>
      <c r="PV95" s="269"/>
      <c r="PW95" s="269"/>
      <c r="PX95" s="269"/>
      <c r="PY95" s="269">
        <v>2</v>
      </c>
      <c r="PZ95" s="269"/>
      <c r="QA95" s="269"/>
      <c r="QB95" s="269"/>
      <c r="QC95" s="269"/>
      <c r="QD95" s="269"/>
      <c r="QQ95" s="152"/>
      <c r="QR95" s="153"/>
    </row>
    <row r="96" spans="3:460" ht="5.0999999999999996" customHeight="1" x14ac:dyDescent="0.3">
      <c r="C96" s="149"/>
      <c r="D96" s="150"/>
      <c r="AX96" s="241"/>
      <c r="AY96" s="241"/>
      <c r="AZ96" s="241"/>
      <c r="BA96" s="241"/>
      <c r="BB96" s="241"/>
      <c r="ED96" s="155"/>
      <c r="IR96" s="273"/>
      <c r="IS96" s="274"/>
      <c r="IT96" s="274"/>
      <c r="IU96" s="274"/>
      <c r="IV96" s="274"/>
      <c r="IW96" s="274"/>
      <c r="IX96" s="274"/>
      <c r="IY96" s="274"/>
      <c r="IZ96" s="274"/>
      <c r="JA96" s="274"/>
      <c r="JB96" s="274"/>
      <c r="JC96" s="274"/>
      <c r="JD96" s="274"/>
      <c r="JE96" s="274"/>
      <c r="JF96" s="274"/>
      <c r="JG96" s="274"/>
      <c r="JH96" s="274"/>
      <c r="JI96" s="274"/>
      <c r="JJ96" s="274"/>
      <c r="JK96" s="274"/>
      <c r="JL96" s="274"/>
      <c r="JM96" s="274"/>
      <c r="JN96" s="274"/>
      <c r="JO96" s="274"/>
      <c r="JP96" s="274"/>
      <c r="JQ96" s="274"/>
      <c r="JR96" s="274"/>
      <c r="JS96" s="274"/>
      <c r="JT96" s="274"/>
      <c r="JU96" s="274"/>
      <c r="JV96" s="274"/>
      <c r="JW96" s="274"/>
      <c r="JX96" s="274"/>
      <c r="JY96" s="274"/>
      <c r="JZ96" s="274"/>
      <c r="KA96" s="274"/>
      <c r="KB96" s="274"/>
      <c r="KC96" s="274"/>
      <c r="KD96" s="274"/>
      <c r="KE96" s="275"/>
      <c r="KF96" s="273"/>
      <c r="KG96" s="274"/>
      <c r="KH96" s="274"/>
      <c r="KI96" s="274"/>
      <c r="KJ96" s="275"/>
      <c r="KP96" s="273"/>
      <c r="KQ96" s="274"/>
      <c r="KR96" s="274"/>
      <c r="KS96" s="274"/>
      <c r="KT96" s="274"/>
      <c r="KU96" s="274"/>
      <c r="KV96" s="274"/>
      <c r="KW96" s="274"/>
      <c r="KX96" s="274"/>
      <c r="KY96" s="274"/>
      <c r="KZ96" s="274"/>
      <c r="LA96" s="274"/>
      <c r="LB96" s="274"/>
      <c r="LC96" s="274"/>
      <c r="LD96" s="274"/>
      <c r="LE96" s="274"/>
      <c r="LF96" s="274"/>
      <c r="LG96" s="274"/>
      <c r="LH96" s="274"/>
      <c r="LI96" s="274"/>
      <c r="LJ96" s="274"/>
      <c r="LK96" s="274"/>
      <c r="LL96" s="274"/>
      <c r="LM96" s="274"/>
      <c r="LN96" s="274"/>
      <c r="LO96" s="274"/>
      <c r="LP96" s="274"/>
      <c r="LQ96" s="274"/>
      <c r="LR96" s="274"/>
      <c r="LS96" s="274"/>
      <c r="LT96" s="274"/>
      <c r="LU96" s="274"/>
      <c r="LV96" s="274"/>
      <c r="LW96" s="274"/>
      <c r="LX96" s="274"/>
      <c r="LY96" s="274"/>
      <c r="LZ96" s="274"/>
      <c r="MA96" s="274"/>
      <c r="MB96" s="274"/>
      <c r="MC96" s="275"/>
      <c r="MD96" s="273"/>
      <c r="ME96" s="274"/>
      <c r="MF96" s="274"/>
      <c r="MG96" s="274"/>
      <c r="MH96" s="275"/>
      <c r="MM96" s="273"/>
      <c r="MN96" s="274"/>
      <c r="MO96" s="274"/>
      <c r="MP96" s="274"/>
      <c r="MQ96" s="274"/>
      <c r="MR96" s="274"/>
      <c r="MS96" s="274"/>
      <c r="MT96" s="274"/>
      <c r="MU96" s="274"/>
      <c r="MV96" s="274"/>
      <c r="MW96" s="274"/>
      <c r="MX96" s="274"/>
      <c r="MY96" s="274"/>
      <c r="MZ96" s="274"/>
      <c r="NA96" s="274"/>
      <c r="NB96" s="274"/>
      <c r="NC96" s="274"/>
      <c r="ND96" s="274"/>
      <c r="NE96" s="274"/>
      <c r="NF96" s="274"/>
      <c r="NG96" s="274"/>
      <c r="NH96" s="274"/>
      <c r="NI96" s="274"/>
      <c r="NJ96" s="274"/>
      <c r="NK96" s="274"/>
      <c r="NL96" s="274"/>
      <c r="NM96" s="274"/>
      <c r="NN96" s="274"/>
      <c r="NO96" s="274"/>
      <c r="NP96" s="274"/>
      <c r="NQ96" s="274"/>
      <c r="NR96" s="274"/>
      <c r="NS96" s="274"/>
      <c r="NT96" s="274"/>
      <c r="NU96" s="274"/>
      <c r="NV96" s="274"/>
      <c r="NW96" s="274"/>
      <c r="NX96" s="274"/>
      <c r="NY96" s="274"/>
      <c r="NZ96" s="275"/>
      <c r="OA96" s="273"/>
      <c r="OB96" s="274"/>
      <c r="OC96" s="274"/>
      <c r="OD96" s="274"/>
      <c r="OE96" s="275"/>
      <c r="OK96" s="269"/>
      <c r="OL96" s="269"/>
      <c r="OM96" s="269"/>
      <c r="ON96" s="269"/>
      <c r="OO96" s="269"/>
      <c r="OP96" s="269"/>
      <c r="OQ96" s="269"/>
      <c r="OR96" s="269"/>
      <c r="OS96" s="269"/>
      <c r="OT96" s="269"/>
      <c r="OU96" s="269"/>
      <c r="OV96" s="269"/>
      <c r="OW96" s="269"/>
      <c r="OX96" s="269"/>
      <c r="OY96" s="269"/>
      <c r="OZ96" s="269"/>
      <c r="PA96" s="269"/>
      <c r="PB96" s="269"/>
      <c r="PC96" s="269"/>
      <c r="PD96" s="269"/>
      <c r="PE96" s="269"/>
      <c r="PF96" s="269"/>
      <c r="PG96" s="269"/>
      <c r="PH96" s="269"/>
      <c r="PI96" s="269"/>
      <c r="PJ96" s="269"/>
      <c r="PK96" s="269"/>
      <c r="PL96" s="269"/>
      <c r="PM96" s="269"/>
      <c r="PN96" s="269"/>
      <c r="PO96" s="269"/>
      <c r="PP96" s="269"/>
      <c r="PQ96" s="269"/>
      <c r="PR96" s="269"/>
      <c r="PS96" s="269"/>
      <c r="PT96" s="269"/>
      <c r="PU96" s="269"/>
      <c r="PV96" s="269"/>
      <c r="PW96" s="269"/>
      <c r="PX96" s="269"/>
      <c r="PY96" s="269"/>
      <c r="PZ96" s="269"/>
      <c r="QA96" s="269"/>
      <c r="QB96" s="269"/>
      <c r="QC96" s="269"/>
      <c r="QD96" s="269"/>
      <c r="QQ96" s="152"/>
      <c r="QR96" s="153"/>
    </row>
    <row r="97" spans="3:465" ht="5.0999999999999996" customHeight="1" x14ac:dyDescent="0.3">
      <c r="C97" s="149"/>
      <c r="D97" s="150"/>
      <c r="ED97" s="155"/>
      <c r="IR97" s="273"/>
      <c r="IS97" s="274"/>
      <c r="IT97" s="274"/>
      <c r="IU97" s="274"/>
      <c r="IV97" s="274"/>
      <c r="IW97" s="274"/>
      <c r="IX97" s="274"/>
      <c r="IY97" s="274"/>
      <c r="IZ97" s="274"/>
      <c r="JA97" s="274"/>
      <c r="JB97" s="274"/>
      <c r="JC97" s="274"/>
      <c r="JD97" s="274"/>
      <c r="JE97" s="274"/>
      <c r="JF97" s="274"/>
      <c r="JG97" s="274"/>
      <c r="JH97" s="274"/>
      <c r="JI97" s="274"/>
      <c r="JJ97" s="274"/>
      <c r="JK97" s="274"/>
      <c r="JL97" s="274"/>
      <c r="JM97" s="274"/>
      <c r="JN97" s="274"/>
      <c r="JO97" s="274"/>
      <c r="JP97" s="274"/>
      <c r="JQ97" s="274"/>
      <c r="JR97" s="274"/>
      <c r="JS97" s="274"/>
      <c r="JT97" s="274"/>
      <c r="JU97" s="274"/>
      <c r="JV97" s="274"/>
      <c r="JW97" s="274"/>
      <c r="JX97" s="274"/>
      <c r="JY97" s="274"/>
      <c r="JZ97" s="274"/>
      <c r="KA97" s="274"/>
      <c r="KB97" s="274"/>
      <c r="KC97" s="274"/>
      <c r="KD97" s="274"/>
      <c r="KE97" s="275"/>
      <c r="KF97" s="273"/>
      <c r="KG97" s="274"/>
      <c r="KH97" s="274"/>
      <c r="KI97" s="274"/>
      <c r="KJ97" s="275"/>
      <c r="KP97" s="273"/>
      <c r="KQ97" s="274"/>
      <c r="KR97" s="274"/>
      <c r="KS97" s="274"/>
      <c r="KT97" s="274"/>
      <c r="KU97" s="274"/>
      <c r="KV97" s="274"/>
      <c r="KW97" s="274"/>
      <c r="KX97" s="274"/>
      <c r="KY97" s="274"/>
      <c r="KZ97" s="274"/>
      <c r="LA97" s="274"/>
      <c r="LB97" s="274"/>
      <c r="LC97" s="274"/>
      <c r="LD97" s="274"/>
      <c r="LE97" s="274"/>
      <c r="LF97" s="274"/>
      <c r="LG97" s="274"/>
      <c r="LH97" s="274"/>
      <c r="LI97" s="274"/>
      <c r="LJ97" s="274"/>
      <c r="LK97" s="274"/>
      <c r="LL97" s="274"/>
      <c r="LM97" s="274"/>
      <c r="LN97" s="274"/>
      <c r="LO97" s="274"/>
      <c r="LP97" s="274"/>
      <c r="LQ97" s="274"/>
      <c r="LR97" s="274"/>
      <c r="LS97" s="274"/>
      <c r="LT97" s="274"/>
      <c r="LU97" s="274"/>
      <c r="LV97" s="274"/>
      <c r="LW97" s="274"/>
      <c r="LX97" s="274"/>
      <c r="LY97" s="274"/>
      <c r="LZ97" s="274"/>
      <c r="MA97" s="274"/>
      <c r="MB97" s="274"/>
      <c r="MC97" s="275"/>
      <c r="MD97" s="273"/>
      <c r="ME97" s="274"/>
      <c r="MF97" s="274"/>
      <c r="MG97" s="274"/>
      <c r="MH97" s="275"/>
      <c r="MM97" s="273"/>
      <c r="MN97" s="274"/>
      <c r="MO97" s="274"/>
      <c r="MP97" s="274"/>
      <c r="MQ97" s="274"/>
      <c r="MR97" s="274"/>
      <c r="MS97" s="274"/>
      <c r="MT97" s="274"/>
      <c r="MU97" s="274"/>
      <c r="MV97" s="274"/>
      <c r="MW97" s="274"/>
      <c r="MX97" s="274"/>
      <c r="MY97" s="274"/>
      <c r="MZ97" s="274"/>
      <c r="NA97" s="274"/>
      <c r="NB97" s="274"/>
      <c r="NC97" s="274"/>
      <c r="ND97" s="274"/>
      <c r="NE97" s="274"/>
      <c r="NF97" s="274"/>
      <c r="NG97" s="274"/>
      <c r="NH97" s="274"/>
      <c r="NI97" s="274"/>
      <c r="NJ97" s="274"/>
      <c r="NK97" s="274"/>
      <c r="NL97" s="274"/>
      <c r="NM97" s="274"/>
      <c r="NN97" s="274"/>
      <c r="NO97" s="274"/>
      <c r="NP97" s="274"/>
      <c r="NQ97" s="274"/>
      <c r="NR97" s="274"/>
      <c r="NS97" s="274"/>
      <c r="NT97" s="274"/>
      <c r="NU97" s="274"/>
      <c r="NV97" s="274"/>
      <c r="NW97" s="274"/>
      <c r="NX97" s="274"/>
      <c r="NY97" s="274"/>
      <c r="NZ97" s="275"/>
      <c r="OA97" s="273"/>
      <c r="OB97" s="274"/>
      <c r="OC97" s="274"/>
      <c r="OD97" s="274"/>
      <c r="OE97" s="275"/>
      <c r="OK97" s="269"/>
      <c r="OL97" s="269"/>
      <c r="OM97" s="269"/>
      <c r="ON97" s="269"/>
      <c r="OO97" s="269"/>
      <c r="OP97" s="269"/>
      <c r="OQ97" s="269"/>
      <c r="OR97" s="269"/>
      <c r="OS97" s="269"/>
      <c r="OT97" s="269"/>
      <c r="OU97" s="269"/>
      <c r="OV97" s="269"/>
      <c r="OW97" s="269"/>
      <c r="OX97" s="269"/>
      <c r="OY97" s="269"/>
      <c r="OZ97" s="269"/>
      <c r="PA97" s="269"/>
      <c r="PB97" s="269"/>
      <c r="PC97" s="269"/>
      <c r="PD97" s="269"/>
      <c r="PE97" s="269"/>
      <c r="PF97" s="269"/>
      <c r="PG97" s="269"/>
      <c r="PH97" s="269"/>
      <c r="PI97" s="269"/>
      <c r="PJ97" s="269"/>
      <c r="PK97" s="269"/>
      <c r="PL97" s="269"/>
      <c r="PM97" s="269"/>
      <c r="PN97" s="269"/>
      <c r="PO97" s="269"/>
      <c r="PP97" s="269"/>
      <c r="PQ97" s="269"/>
      <c r="PR97" s="269"/>
      <c r="PS97" s="269"/>
      <c r="PT97" s="269"/>
      <c r="PU97" s="269"/>
      <c r="PV97" s="269"/>
      <c r="PW97" s="269"/>
      <c r="PX97" s="269"/>
      <c r="PY97" s="269"/>
      <c r="PZ97" s="269"/>
      <c r="QA97" s="269"/>
      <c r="QB97" s="269"/>
      <c r="QC97" s="269"/>
      <c r="QD97" s="269"/>
      <c r="QQ97" s="152"/>
      <c r="QR97" s="153"/>
    </row>
    <row r="98" spans="3:465" ht="5.0999999999999996" customHeight="1" x14ac:dyDescent="0.3">
      <c r="C98" s="149"/>
      <c r="D98" s="150"/>
      <c r="ED98" s="155"/>
      <c r="IR98" s="273"/>
      <c r="IS98" s="274"/>
      <c r="IT98" s="274"/>
      <c r="IU98" s="274"/>
      <c r="IV98" s="274"/>
      <c r="IW98" s="274"/>
      <c r="IX98" s="274"/>
      <c r="IY98" s="274"/>
      <c r="IZ98" s="274"/>
      <c r="JA98" s="274"/>
      <c r="JB98" s="274"/>
      <c r="JC98" s="274"/>
      <c r="JD98" s="274"/>
      <c r="JE98" s="274"/>
      <c r="JF98" s="274"/>
      <c r="JG98" s="274"/>
      <c r="JH98" s="274"/>
      <c r="JI98" s="274"/>
      <c r="JJ98" s="274"/>
      <c r="JK98" s="274"/>
      <c r="JL98" s="274"/>
      <c r="JM98" s="274"/>
      <c r="JN98" s="274"/>
      <c r="JO98" s="274"/>
      <c r="JP98" s="274"/>
      <c r="JQ98" s="274"/>
      <c r="JR98" s="274"/>
      <c r="JS98" s="274"/>
      <c r="JT98" s="274"/>
      <c r="JU98" s="274"/>
      <c r="JV98" s="274"/>
      <c r="JW98" s="274"/>
      <c r="JX98" s="274"/>
      <c r="JY98" s="274"/>
      <c r="JZ98" s="274"/>
      <c r="KA98" s="274"/>
      <c r="KB98" s="274"/>
      <c r="KC98" s="274"/>
      <c r="KD98" s="274"/>
      <c r="KE98" s="275"/>
      <c r="KF98" s="273"/>
      <c r="KG98" s="274"/>
      <c r="KH98" s="274"/>
      <c r="KI98" s="274"/>
      <c r="KJ98" s="275"/>
      <c r="KP98" s="273"/>
      <c r="KQ98" s="274"/>
      <c r="KR98" s="274"/>
      <c r="KS98" s="274"/>
      <c r="KT98" s="274"/>
      <c r="KU98" s="274"/>
      <c r="KV98" s="274"/>
      <c r="KW98" s="274"/>
      <c r="KX98" s="274"/>
      <c r="KY98" s="274"/>
      <c r="KZ98" s="274"/>
      <c r="LA98" s="274"/>
      <c r="LB98" s="274"/>
      <c r="LC98" s="274"/>
      <c r="LD98" s="274"/>
      <c r="LE98" s="274"/>
      <c r="LF98" s="274"/>
      <c r="LG98" s="274"/>
      <c r="LH98" s="274"/>
      <c r="LI98" s="274"/>
      <c r="LJ98" s="274"/>
      <c r="LK98" s="274"/>
      <c r="LL98" s="274"/>
      <c r="LM98" s="274"/>
      <c r="LN98" s="274"/>
      <c r="LO98" s="274"/>
      <c r="LP98" s="274"/>
      <c r="LQ98" s="274"/>
      <c r="LR98" s="274"/>
      <c r="LS98" s="274"/>
      <c r="LT98" s="274"/>
      <c r="LU98" s="274"/>
      <c r="LV98" s="274"/>
      <c r="LW98" s="274"/>
      <c r="LX98" s="274"/>
      <c r="LY98" s="274"/>
      <c r="LZ98" s="274"/>
      <c r="MA98" s="274"/>
      <c r="MB98" s="274"/>
      <c r="MC98" s="275"/>
      <c r="MD98" s="273"/>
      <c r="ME98" s="274"/>
      <c r="MF98" s="274"/>
      <c r="MG98" s="274"/>
      <c r="MH98" s="275"/>
      <c r="MM98" s="273"/>
      <c r="MN98" s="274"/>
      <c r="MO98" s="274"/>
      <c r="MP98" s="274"/>
      <c r="MQ98" s="274"/>
      <c r="MR98" s="274"/>
      <c r="MS98" s="274"/>
      <c r="MT98" s="274"/>
      <c r="MU98" s="274"/>
      <c r="MV98" s="274"/>
      <c r="MW98" s="274"/>
      <c r="MX98" s="274"/>
      <c r="MY98" s="274"/>
      <c r="MZ98" s="274"/>
      <c r="NA98" s="274"/>
      <c r="NB98" s="274"/>
      <c r="NC98" s="274"/>
      <c r="ND98" s="274"/>
      <c r="NE98" s="274"/>
      <c r="NF98" s="274"/>
      <c r="NG98" s="274"/>
      <c r="NH98" s="274"/>
      <c r="NI98" s="274"/>
      <c r="NJ98" s="274"/>
      <c r="NK98" s="274"/>
      <c r="NL98" s="274"/>
      <c r="NM98" s="274"/>
      <c r="NN98" s="274"/>
      <c r="NO98" s="274"/>
      <c r="NP98" s="274"/>
      <c r="NQ98" s="274"/>
      <c r="NR98" s="274"/>
      <c r="NS98" s="274"/>
      <c r="NT98" s="274"/>
      <c r="NU98" s="274"/>
      <c r="NV98" s="274"/>
      <c r="NW98" s="274"/>
      <c r="NX98" s="274"/>
      <c r="NY98" s="274"/>
      <c r="NZ98" s="275"/>
      <c r="OA98" s="273"/>
      <c r="OB98" s="274"/>
      <c r="OC98" s="274"/>
      <c r="OD98" s="274"/>
      <c r="OE98" s="275"/>
      <c r="OK98" s="269"/>
      <c r="OL98" s="269"/>
      <c r="OM98" s="269"/>
      <c r="ON98" s="269"/>
      <c r="OO98" s="269"/>
      <c r="OP98" s="269"/>
      <c r="OQ98" s="269"/>
      <c r="OR98" s="269"/>
      <c r="OS98" s="269"/>
      <c r="OT98" s="269"/>
      <c r="OU98" s="269"/>
      <c r="OV98" s="269"/>
      <c r="OW98" s="269"/>
      <c r="OX98" s="269"/>
      <c r="OY98" s="269"/>
      <c r="OZ98" s="269"/>
      <c r="PA98" s="269"/>
      <c r="PB98" s="269"/>
      <c r="PC98" s="269"/>
      <c r="PD98" s="269"/>
      <c r="PE98" s="269"/>
      <c r="PF98" s="269"/>
      <c r="PG98" s="269"/>
      <c r="PH98" s="269"/>
      <c r="PI98" s="269"/>
      <c r="PJ98" s="269"/>
      <c r="PK98" s="269"/>
      <c r="PL98" s="269"/>
      <c r="PM98" s="269"/>
      <c r="PN98" s="269"/>
      <c r="PO98" s="269"/>
      <c r="PP98" s="269"/>
      <c r="PQ98" s="269"/>
      <c r="PR98" s="269"/>
      <c r="PS98" s="269"/>
      <c r="PT98" s="269"/>
      <c r="PU98" s="269"/>
      <c r="PV98" s="269"/>
      <c r="PW98" s="269"/>
      <c r="PX98" s="269"/>
      <c r="PY98" s="269"/>
      <c r="PZ98" s="269"/>
      <c r="QA98" s="269"/>
      <c r="QB98" s="269"/>
      <c r="QC98" s="269"/>
      <c r="QD98" s="269"/>
      <c r="QQ98" s="152"/>
      <c r="QR98" s="153"/>
    </row>
    <row r="99" spans="3:465" ht="5.0999999999999996" customHeight="1" x14ac:dyDescent="0.3">
      <c r="C99" s="149"/>
      <c r="D99" s="150"/>
      <c r="ED99" s="155"/>
      <c r="IR99" s="273"/>
      <c r="IS99" s="274"/>
      <c r="IT99" s="274"/>
      <c r="IU99" s="274"/>
      <c r="IV99" s="274"/>
      <c r="IW99" s="274"/>
      <c r="IX99" s="274"/>
      <c r="IY99" s="274"/>
      <c r="IZ99" s="274"/>
      <c r="JA99" s="274"/>
      <c r="JB99" s="274"/>
      <c r="JC99" s="274"/>
      <c r="JD99" s="274"/>
      <c r="JE99" s="274"/>
      <c r="JF99" s="274"/>
      <c r="JG99" s="274"/>
      <c r="JH99" s="274"/>
      <c r="JI99" s="274"/>
      <c r="JJ99" s="274"/>
      <c r="JK99" s="274"/>
      <c r="JL99" s="274"/>
      <c r="JM99" s="274"/>
      <c r="JN99" s="274"/>
      <c r="JO99" s="274"/>
      <c r="JP99" s="274"/>
      <c r="JQ99" s="274"/>
      <c r="JR99" s="274"/>
      <c r="JS99" s="274"/>
      <c r="JT99" s="274"/>
      <c r="JU99" s="274"/>
      <c r="JV99" s="274"/>
      <c r="JW99" s="274"/>
      <c r="JX99" s="274"/>
      <c r="JY99" s="274"/>
      <c r="JZ99" s="274"/>
      <c r="KA99" s="274"/>
      <c r="KB99" s="274"/>
      <c r="KC99" s="274"/>
      <c r="KD99" s="274"/>
      <c r="KE99" s="275"/>
      <c r="KF99" s="273"/>
      <c r="KG99" s="274"/>
      <c r="KH99" s="274"/>
      <c r="KI99" s="274"/>
      <c r="KJ99" s="275"/>
      <c r="KP99" s="273"/>
      <c r="KQ99" s="274"/>
      <c r="KR99" s="274"/>
      <c r="KS99" s="274"/>
      <c r="KT99" s="274"/>
      <c r="KU99" s="274"/>
      <c r="KV99" s="274"/>
      <c r="KW99" s="274"/>
      <c r="KX99" s="274"/>
      <c r="KY99" s="274"/>
      <c r="KZ99" s="274"/>
      <c r="LA99" s="274"/>
      <c r="LB99" s="274"/>
      <c r="LC99" s="274"/>
      <c r="LD99" s="274"/>
      <c r="LE99" s="274"/>
      <c r="LF99" s="274"/>
      <c r="LG99" s="274"/>
      <c r="LH99" s="274"/>
      <c r="LI99" s="274"/>
      <c r="LJ99" s="274"/>
      <c r="LK99" s="274"/>
      <c r="LL99" s="274"/>
      <c r="LM99" s="274"/>
      <c r="LN99" s="274"/>
      <c r="LO99" s="274"/>
      <c r="LP99" s="274"/>
      <c r="LQ99" s="274"/>
      <c r="LR99" s="274"/>
      <c r="LS99" s="274"/>
      <c r="LT99" s="274"/>
      <c r="LU99" s="274"/>
      <c r="LV99" s="274"/>
      <c r="LW99" s="274"/>
      <c r="LX99" s="274"/>
      <c r="LY99" s="274"/>
      <c r="LZ99" s="274"/>
      <c r="MA99" s="274"/>
      <c r="MB99" s="274"/>
      <c r="MC99" s="275"/>
      <c r="MD99" s="273"/>
      <c r="ME99" s="274"/>
      <c r="MF99" s="274"/>
      <c r="MG99" s="274"/>
      <c r="MH99" s="275"/>
      <c r="MM99" s="273"/>
      <c r="MN99" s="274"/>
      <c r="MO99" s="274"/>
      <c r="MP99" s="274"/>
      <c r="MQ99" s="274"/>
      <c r="MR99" s="274"/>
      <c r="MS99" s="274"/>
      <c r="MT99" s="274"/>
      <c r="MU99" s="274"/>
      <c r="MV99" s="274"/>
      <c r="MW99" s="274"/>
      <c r="MX99" s="274"/>
      <c r="MY99" s="274"/>
      <c r="MZ99" s="274"/>
      <c r="NA99" s="274"/>
      <c r="NB99" s="274"/>
      <c r="NC99" s="274"/>
      <c r="ND99" s="274"/>
      <c r="NE99" s="274"/>
      <c r="NF99" s="274"/>
      <c r="NG99" s="274"/>
      <c r="NH99" s="274"/>
      <c r="NI99" s="274"/>
      <c r="NJ99" s="274"/>
      <c r="NK99" s="274"/>
      <c r="NL99" s="274"/>
      <c r="NM99" s="274"/>
      <c r="NN99" s="274"/>
      <c r="NO99" s="274"/>
      <c r="NP99" s="274"/>
      <c r="NQ99" s="274"/>
      <c r="NR99" s="274"/>
      <c r="NS99" s="274"/>
      <c r="NT99" s="274"/>
      <c r="NU99" s="274"/>
      <c r="NV99" s="274"/>
      <c r="NW99" s="274"/>
      <c r="NX99" s="274"/>
      <c r="NY99" s="274"/>
      <c r="NZ99" s="275"/>
      <c r="OA99" s="273"/>
      <c r="OB99" s="274"/>
      <c r="OC99" s="274"/>
      <c r="OD99" s="274"/>
      <c r="OE99" s="275"/>
      <c r="OK99" s="269"/>
      <c r="OL99" s="269"/>
      <c r="OM99" s="269"/>
      <c r="ON99" s="269"/>
      <c r="OO99" s="269"/>
      <c r="OP99" s="269"/>
      <c r="OQ99" s="269"/>
      <c r="OR99" s="269"/>
      <c r="OS99" s="269"/>
      <c r="OT99" s="269"/>
      <c r="OU99" s="269"/>
      <c r="OV99" s="269"/>
      <c r="OW99" s="269"/>
      <c r="OX99" s="269"/>
      <c r="OY99" s="269"/>
      <c r="OZ99" s="269"/>
      <c r="PA99" s="269"/>
      <c r="PB99" s="269"/>
      <c r="PC99" s="269"/>
      <c r="PD99" s="269"/>
      <c r="PE99" s="269"/>
      <c r="PF99" s="269"/>
      <c r="PG99" s="269"/>
      <c r="PH99" s="269"/>
      <c r="PI99" s="269"/>
      <c r="PJ99" s="269"/>
      <c r="PK99" s="269"/>
      <c r="PL99" s="269"/>
      <c r="PM99" s="269"/>
      <c r="PN99" s="269"/>
      <c r="PO99" s="269"/>
      <c r="PP99" s="269"/>
      <c r="PQ99" s="269"/>
      <c r="PR99" s="269"/>
      <c r="PS99" s="269"/>
      <c r="PT99" s="269"/>
      <c r="PU99" s="269"/>
      <c r="PV99" s="269"/>
      <c r="PW99" s="269"/>
      <c r="PX99" s="269"/>
      <c r="PY99" s="269"/>
      <c r="PZ99" s="269"/>
      <c r="QA99" s="269"/>
      <c r="QB99" s="269"/>
      <c r="QC99" s="269"/>
      <c r="QD99" s="269"/>
      <c r="QQ99" s="152"/>
      <c r="QR99" s="153"/>
    </row>
    <row r="100" spans="3:465" ht="5.0999999999999996" customHeight="1" x14ac:dyDescent="0.3">
      <c r="C100" s="149"/>
      <c r="D100" s="150"/>
      <c r="ED100" s="155"/>
      <c r="IR100" s="273"/>
      <c r="IS100" s="274"/>
      <c r="IT100" s="274"/>
      <c r="IU100" s="274"/>
      <c r="IV100" s="274"/>
      <c r="IW100" s="274"/>
      <c r="IX100" s="274"/>
      <c r="IY100" s="274"/>
      <c r="IZ100" s="274"/>
      <c r="JA100" s="274"/>
      <c r="JB100" s="274"/>
      <c r="JC100" s="274"/>
      <c r="JD100" s="274"/>
      <c r="JE100" s="274"/>
      <c r="JF100" s="274"/>
      <c r="JG100" s="274"/>
      <c r="JH100" s="274"/>
      <c r="JI100" s="274"/>
      <c r="JJ100" s="274"/>
      <c r="JK100" s="274"/>
      <c r="JL100" s="274"/>
      <c r="JM100" s="274"/>
      <c r="JN100" s="274"/>
      <c r="JO100" s="274"/>
      <c r="JP100" s="274"/>
      <c r="JQ100" s="274"/>
      <c r="JR100" s="274"/>
      <c r="JS100" s="274"/>
      <c r="JT100" s="274"/>
      <c r="JU100" s="274"/>
      <c r="JV100" s="274"/>
      <c r="JW100" s="274"/>
      <c r="JX100" s="274"/>
      <c r="JY100" s="274"/>
      <c r="JZ100" s="274"/>
      <c r="KA100" s="274"/>
      <c r="KB100" s="274"/>
      <c r="KC100" s="274"/>
      <c r="KD100" s="274"/>
      <c r="KE100" s="275"/>
      <c r="KF100" s="273"/>
      <c r="KG100" s="274"/>
      <c r="KH100" s="274"/>
      <c r="KI100" s="274"/>
      <c r="KJ100" s="275"/>
      <c r="KP100" s="273"/>
      <c r="KQ100" s="274"/>
      <c r="KR100" s="274"/>
      <c r="KS100" s="274"/>
      <c r="KT100" s="274"/>
      <c r="KU100" s="274"/>
      <c r="KV100" s="274"/>
      <c r="KW100" s="274"/>
      <c r="KX100" s="274"/>
      <c r="KY100" s="274"/>
      <c r="KZ100" s="274"/>
      <c r="LA100" s="274"/>
      <c r="LB100" s="274"/>
      <c r="LC100" s="274"/>
      <c r="LD100" s="274"/>
      <c r="LE100" s="274"/>
      <c r="LF100" s="274"/>
      <c r="LG100" s="274"/>
      <c r="LH100" s="274"/>
      <c r="LI100" s="274"/>
      <c r="LJ100" s="274"/>
      <c r="LK100" s="274"/>
      <c r="LL100" s="274"/>
      <c r="LM100" s="274"/>
      <c r="LN100" s="274"/>
      <c r="LO100" s="274"/>
      <c r="LP100" s="274"/>
      <c r="LQ100" s="274"/>
      <c r="LR100" s="274"/>
      <c r="LS100" s="274"/>
      <c r="LT100" s="274"/>
      <c r="LU100" s="274"/>
      <c r="LV100" s="274"/>
      <c r="LW100" s="274"/>
      <c r="LX100" s="274"/>
      <c r="LY100" s="274"/>
      <c r="LZ100" s="274"/>
      <c r="MA100" s="274"/>
      <c r="MB100" s="274"/>
      <c r="MC100" s="275"/>
      <c r="MD100" s="273"/>
      <c r="ME100" s="274"/>
      <c r="MF100" s="274"/>
      <c r="MG100" s="274"/>
      <c r="MH100" s="275"/>
      <c r="MM100" s="273"/>
      <c r="MN100" s="274"/>
      <c r="MO100" s="274"/>
      <c r="MP100" s="274"/>
      <c r="MQ100" s="274"/>
      <c r="MR100" s="274"/>
      <c r="MS100" s="274"/>
      <c r="MT100" s="274"/>
      <c r="MU100" s="274"/>
      <c r="MV100" s="274"/>
      <c r="MW100" s="274"/>
      <c r="MX100" s="274"/>
      <c r="MY100" s="274"/>
      <c r="MZ100" s="274"/>
      <c r="NA100" s="274"/>
      <c r="NB100" s="274"/>
      <c r="NC100" s="274"/>
      <c r="ND100" s="274"/>
      <c r="NE100" s="274"/>
      <c r="NF100" s="274"/>
      <c r="NG100" s="274"/>
      <c r="NH100" s="274"/>
      <c r="NI100" s="274"/>
      <c r="NJ100" s="274"/>
      <c r="NK100" s="274"/>
      <c r="NL100" s="274"/>
      <c r="NM100" s="274"/>
      <c r="NN100" s="274"/>
      <c r="NO100" s="274"/>
      <c r="NP100" s="274"/>
      <c r="NQ100" s="274"/>
      <c r="NR100" s="274"/>
      <c r="NS100" s="274"/>
      <c r="NT100" s="274"/>
      <c r="NU100" s="274"/>
      <c r="NV100" s="274"/>
      <c r="NW100" s="274"/>
      <c r="NX100" s="274"/>
      <c r="NY100" s="274"/>
      <c r="NZ100" s="275"/>
      <c r="OA100" s="273"/>
      <c r="OB100" s="274"/>
      <c r="OC100" s="274"/>
      <c r="OD100" s="274"/>
      <c r="OE100" s="275"/>
      <c r="OK100" s="269"/>
      <c r="OL100" s="269"/>
      <c r="OM100" s="269"/>
      <c r="ON100" s="269"/>
      <c r="OO100" s="269"/>
      <c r="OP100" s="269"/>
      <c r="OQ100" s="269"/>
      <c r="OR100" s="269"/>
      <c r="OS100" s="269"/>
      <c r="OT100" s="269"/>
      <c r="OU100" s="269"/>
      <c r="OV100" s="269"/>
      <c r="OW100" s="269"/>
      <c r="OX100" s="269"/>
      <c r="OY100" s="269"/>
      <c r="OZ100" s="269"/>
      <c r="PA100" s="269"/>
      <c r="PB100" s="269"/>
      <c r="PC100" s="269"/>
      <c r="PD100" s="269"/>
      <c r="PE100" s="269"/>
      <c r="PF100" s="269"/>
      <c r="PG100" s="269"/>
      <c r="PH100" s="269"/>
      <c r="PI100" s="269"/>
      <c r="PJ100" s="269"/>
      <c r="PK100" s="269"/>
      <c r="PL100" s="269"/>
      <c r="PM100" s="269"/>
      <c r="PN100" s="269"/>
      <c r="PO100" s="269"/>
      <c r="PP100" s="269"/>
      <c r="PQ100" s="269"/>
      <c r="PR100" s="269"/>
      <c r="PS100" s="269"/>
      <c r="PT100" s="269"/>
      <c r="PU100" s="269"/>
      <c r="PV100" s="269"/>
      <c r="PW100" s="269"/>
      <c r="PX100" s="269"/>
      <c r="PY100" s="269"/>
      <c r="PZ100" s="269"/>
      <c r="QA100" s="269"/>
      <c r="QB100" s="269"/>
      <c r="QC100" s="269"/>
      <c r="QD100" s="269"/>
      <c r="QQ100" s="152"/>
      <c r="QR100" s="153"/>
    </row>
    <row r="101" spans="3:465" ht="5.0999999999999996" customHeight="1" x14ac:dyDescent="0.3">
      <c r="C101" s="149"/>
      <c r="D101" s="150"/>
      <c r="ED101" s="155"/>
      <c r="IR101" s="273"/>
      <c r="IS101" s="274"/>
      <c r="IT101" s="274"/>
      <c r="IU101" s="274"/>
      <c r="IV101" s="274"/>
      <c r="IW101" s="274"/>
      <c r="IX101" s="274"/>
      <c r="IY101" s="274"/>
      <c r="IZ101" s="274"/>
      <c r="JA101" s="274"/>
      <c r="JB101" s="274"/>
      <c r="JC101" s="274"/>
      <c r="JD101" s="274"/>
      <c r="JE101" s="274"/>
      <c r="JF101" s="274"/>
      <c r="JG101" s="274"/>
      <c r="JH101" s="274"/>
      <c r="JI101" s="274"/>
      <c r="JJ101" s="274"/>
      <c r="JK101" s="274"/>
      <c r="JL101" s="274"/>
      <c r="JM101" s="274"/>
      <c r="JN101" s="274"/>
      <c r="JO101" s="274"/>
      <c r="JP101" s="274"/>
      <c r="JQ101" s="274"/>
      <c r="JR101" s="274"/>
      <c r="JS101" s="274"/>
      <c r="JT101" s="274"/>
      <c r="JU101" s="274"/>
      <c r="JV101" s="274"/>
      <c r="JW101" s="274"/>
      <c r="JX101" s="274"/>
      <c r="JY101" s="274"/>
      <c r="JZ101" s="274"/>
      <c r="KA101" s="274"/>
      <c r="KB101" s="274"/>
      <c r="KC101" s="274"/>
      <c r="KD101" s="274"/>
      <c r="KE101" s="275"/>
      <c r="KF101" s="273"/>
      <c r="KG101" s="274"/>
      <c r="KH101" s="274"/>
      <c r="KI101" s="274"/>
      <c r="KJ101" s="275"/>
      <c r="KP101" s="273"/>
      <c r="KQ101" s="274"/>
      <c r="KR101" s="274"/>
      <c r="KS101" s="274"/>
      <c r="KT101" s="274"/>
      <c r="KU101" s="274"/>
      <c r="KV101" s="274"/>
      <c r="KW101" s="274"/>
      <c r="KX101" s="274"/>
      <c r="KY101" s="274"/>
      <c r="KZ101" s="274"/>
      <c r="LA101" s="274"/>
      <c r="LB101" s="274"/>
      <c r="LC101" s="274"/>
      <c r="LD101" s="274"/>
      <c r="LE101" s="274"/>
      <c r="LF101" s="274"/>
      <c r="LG101" s="274"/>
      <c r="LH101" s="274"/>
      <c r="LI101" s="274"/>
      <c r="LJ101" s="274"/>
      <c r="LK101" s="274"/>
      <c r="LL101" s="274"/>
      <c r="LM101" s="274"/>
      <c r="LN101" s="274"/>
      <c r="LO101" s="274"/>
      <c r="LP101" s="274"/>
      <c r="LQ101" s="274"/>
      <c r="LR101" s="274"/>
      <c r="LS101" s="274"/>
      <c r="LT101" s="274"/>
      <c r="LU101" s="274"/>
      <c r="LV101" s="274"/>
      <c r="LW101" s="274"/>
      <c r="LX101" s="274"/>
      <c r="LY101" s="274"/>
      <c r="LZ101" s="274"/>
      <c r="MA101" s="274"/>
      <c r="MB101" s="274"/>
      <c r="MC101" s="275"/>
      <c r="MD101" s="273"/>
      <c r="ME101" s="274"/>
      <c r="MF101" s="274"/>
      <c r="MG101" s="274"/>
      <c r="MH101" s="275"/>
      <c r="MM101" s="273"/>
      <c r="MN101" s="274"/>
      <c r="MO101" s="274"/>
      <c r="MP101" s="274"/>
      <c r="MQ101" s="274"/>
      <c r="MR101" s="274"/>
      <c r="MS101" s="274"/>
      <c r="MT101" s="274"/>
      <c r="MU101" s="274"/>
      <c r="MV101" s="274"/>
      <c r="MW101" s="274"/>
      <c r="MX101" s="274"/>
      <c r="MY101" s="274"/>
      <c r="MZ101" s="274"/>
      <c r="NA101" s="274"/>
      <c r="NB101" s="274"/>
      <c r="NC101" s="274"/>
      <c r="ND101" s="274"/>
      <c r="NE101" s="274"/>
      <c r="NF101" s="274"/>
      <c r="NG101" s="274"/>
      <c r="NH101" s="274"/>
      <c r="NI101" s="274"/>
      <c r="NJ101" s="274"/>
      <c r="NK101" s="274"/>
      <c r="NL101" s="274"/>
      <c r="NM101" s="274"/>
      <c r="NN101" s="274"/>
      <c r="NO101" s="274"/>
      <c r="NP101" s="274"/>
      <c r="NQ101" s="274"/>
      <c r="NR101" s="274"/>
      <c r="NS101" s="274"/>
      <c r="NT101" s="274"/>
      <c r="NU101" s="274"/>
      <c r="NV101" s="274"/>
      <c r="NW101" s="274"/>
      <c r="NX101" s="274"/>
      <c r="NY101" s="274"/>
      <c r="NZ101" s="275"/>
      <c r="OA101" s="273"/>
      <c r="OB101" s="274"/>
      <c r="OC101" s="274"/>
      <c r="OD101" s="274"/>
      <c r="OE101" s="275"/>
      <c r="OK101" s="269"/>
      <c r="OL101" s="269"/>
      <c r="OM101" s="269"/>
      <c r="ON101" s="269"/>
      <c r="OO101" s="269"/>
      <c r="OP101" s="269"/>
      <c r="OQ101" s="269"/>
      <c r="OR101" s="269"/>
      <c r="OS101" s="269"/>
      <c r="OT101" s="269"/>
      <c r="OU101" s="269"/>
      <c r="OV101" s="269"/>
      <c r="OW101" s="269"/>
      <c r="OX101" s="269"/>
      <c r="OY101" s="269"/>
      <c r="OZ101" s="269"/>
      <c r="PA101" s="269"/>
      <c r="PB101" s="269"/>
      <c r="PC101" s="269"/>
      <c r="PD101" s="269"/>
      <c r="PE101" s="269"/>
      <c r="PF101" s="269"/>
      <c r="PG101" s="269"/>
      <c r="PH101" s="269"/>
      <c r="PI101" s="269"/>
      <c r="PJ101" s="269"/>
      <c r="PK101" s="269"/>
      <c r="PL101" s="269"/>
      <c r="PM101" s="269"/>
      <c r="PN101" s="269"/>
      <c r="PO101" s="269"/>
      <c r="PP101" s="269"/>
      <c r="PQ101" s="269"/>
      <c r="PR101" s="269"/>
      <c r="PS101" s="269"/>
      <c r="PT101" s="269"/>
      <c r="PU101" s="269"/>
      <c r="PV101" s="269"/>
      <c r="PW101" s="269"/>
      <c r="PX101" s="269"/>
      <c r="PY101" s="269"/>
      <c r="PZ101" s="269"/>
      <c r="QA101" s="269"/>
      <c r="QB101" s="269"/>
      <c r="QC101" s="269"/>
      <c r="QD101" s="269"/>
      <c r="QQ101" s="152"/>
      <c r="QR101" s="153"/>
    </row>
    <row r="102" spans="3:465" ht="5.0999999999999996" customHeight="1" x14ac:dyDescent="0.3">
      <c r="C102" s="149"/>
      <c r="D102" s="150"/>
      <c r="ED102" s="155"/>
      <c r="IR102" s="273"/>
      <c r="IS102" s="274"/>
      <c r="IT102" s="274"/>
      <c r="IU102" s="274"/>
      <c r="IV102" s="274"/>
      <c r="IW102" s="274"/>
      <c r="IX102" s="274"/>
      <c r="IY102" s="274"/>
      <c r="IZ102" s="274"/>
      <c r="JA102" s="274"/>
      <c r="JB102" s="274"/>
      <c r="JC102" s="274"/>
      <c r="JD102" s="274"/>
      <c r="JE102" s="274"/>
      <c r="JF102" s="274"/>
      <c r="JG102" s="274"/>
      <c r="JH102" s="274"/>
      <c r="JI102" s="274"/>
      <c r="JJ102" s="274"/>
      <c r="JK102" s="274"/>
      <c r="JL102" s="274"/>
      <c r="JM102" s="274"/>
      <c r="JN102" s="274"/>
      <c r="JO102" s="274"/>
      <c r="JP102" s="274"/>
      <c r="JQ102" s="274"/>
      <c r="JR102" s="274"/>
      <c r="JS102" s="274"/>
      <c r="JT102" s="274"/>
      <c r="JU102" s="274"/>
      <c r="JV102" s="274"/>
      <c r="JW102" s="274"/>
      <c r="JX102" s="274"/>
      <c r="JY102" s="274"/>
      <c r="JZ102" s="274"/>
      <c r="KA102" s="274"/>
      <c r="KB102" s="274"/>
      <c r="KC102" s="274"/>
      <c r="KD102" s="274"/>
      <c r="KE102" s="275"/>
      <c r="KF102" s="273"/>
      <c r="KG102" s="274"/>
      <c r="KH102" s="274"/>
      <c r="KI102" s="274"/>
      <c r="KJ102" s="275"/>
      <c r="KP102" s="273"/>
      <c r="KQ102" s="274"/>
      <c r="KR102" s="274"/>
      <c r="KS102" s="274"/>
      <c r="KT102" s="274"/>
      <c r="KU102" s="274"/>
      <c r="KV102" s="274"/>
      <c r="KW102" s="274"/>
      <c r="KX102" s="274"/>
      <c r="KY102" s="274"/>
      <c r="KZ102" s="274"/>
      <c r="LA102" s="274"/>
      <c r="LB102" s="274"/>
      <c r="LC102" s="274"/>
      <c r="LD102" s="274"/>
      <c r="LE102" s="274"/>
      <c r="LF102" s="274"/>
      <c r="LG102" s="274"/>
      <c r="LH102" s="274"/>
      <c r="LI102" s="274"/>
      <c r="LJ102" s="274"/>
      <c r="LK102" s="274"/>
      <c r="LL102" s="274"/>
      <c r="LM102" s="274"/>
      <c r="LN102" s="274"/>
      <c r="LO102" s="274"/>
      <c r="LP102" s="274"/>
      <c r="LQ102" s="274"/>
      <c r="LR102" s="274"/>
      <c r="LS102" s="274"/>
      <c r="LT102" s="274"/>
      <c r="LU102" s="274"/>
      <c r="LV102" s="274"/>
      <c r="LW102" s="274"/>
      <c r="LX102" s="274"/>
      <c r="LY102" s="274"/>
      <c r="LZ102" s="274"/>
      <c r="MA102" s="274"/>
      <c r="MB102" s="274"/>
      <c r="MC102" s="275"/>
      <c r="MD102" s="273"/>
      <c r="ME102" s="274"/>
      <c r="MF102" s="274"/>
      <c r="MG102" s="274"/>
      <c r="MH102" s="275"/>
      <c r="MM102" s="273"/>
      <c r="MN102" s="274"/>
      <c r="MO102" s="274"/>
      <c r="MP102" s="274"/>
      <c r="MQ102" s="274"/>
      <c r="MR102" s="274"/>
      <c r="MS102" s="274"/>
      <c r="MT102" s="274"/>
      <c r="MU102" s="274"/>
      <c r="MV102" s="274"/>
      <c r="MW102" s="274"/>
      <c r="MX102" s="274"/>
      <c r="MY102" s="274"/>
      <c r="MZ102" s="274"/>
      <c r="NA102" s="274"/>
      <c r="NB102" s="274"/>
      <c r="NC102" s="274"/>
      <c r="ND102" s="274"/>
      <c r="NE102" s="274"/>
      <c r="NF102" s="274"/>
      <c r="NG102" s="274"/>
      <c r="NH102" s="274"/>
      <c r="NI102" s="274"/>
      <c r="NJ102" s="274"/>
      <c r="NK102" s="274"/>
      <c r="NL102" s="274"/>
      <c r="NM102" s="274"/>
      <c r="NN102" s="274"/>
      <c r="NO102" s="274"/>
      <c r="NP102" s="274"/>
      <c r="NQ102" s="274"/>
      <c r="NR102" s="274"/>
      <c r="NS102" s="274"/>
      <c r="NT102" s="274"/>
      <c r="NU102" s="274"/>
      <c r="NV102" s="274"/>
      <c r="NW102" s="274"/>
      <c r="NX102" s="274"/>
      <c r="NY102" s="274"/>
      <c r="NZ102" s="275"/>
      <c r="OA102" s="273"/>
      <c r="OB102" s="274"/>
      <c r="OC102" s="274"/>
      <c r="OD102" s="274"/>
      <c r="OE102" s="275"/>
      <c r="OK102" s="269"/>
      <c r="OL102" s="269"/>
      <c r="OM102" s="269"/>
      <c r="ON102" s="269"/>
      <c r="OO102" s="269"/>
      <c r="OP102" s="269"/>
      <c r="OQ102" s="269"/>
      <c r="OR102" s="269"/>
      <c r="OS102" s="269"/>
      <c r="OT102" s="269"/>
      <c r="OU102" s="269"/>
      <c r="OV102" s="269"/>
      <c r="OW102" s="269"/>
      <c r="OX102" s="269"/>
      <c r="OY102" s="269"/>
      <c r="OZ102" s="269"/>
      <c r="PA102" s="269"/>
      <c r="PB102" s="269"/>
      <c r="PC102" s="269"/>
      <c r="PD102" s="269"/>
      <c r="PE102" s="269"/>
      <c r="PF102" s="269"/>
      <c r="PG102" s="269"/>
      <c r="PH102" s="269"/>
      <c r="PI102" s="269"/>
      <c r="PJ102" s="269"/>
      <c r="PK102" s="269"/>
      <c r="PL102" s="269"/>
      <c r="PM102" s="269"/>
      <c r="PN102" s="269"/>
      <c r="PO102" s="269"/>
      <c r="PP102" s="269"/>
      <c r="PQ102" s="269"/>
      <c r="PR102" s="269"/>
      <c r="PS102" s="269"/>
      <c r="PT102" s="269"/>
      <c r="PU102" s="269"/>
      <c r="PV102" s="269"/>
      <c r="PW102" s="269"/>
      <c r="PX102" s="269"/>
      <c r="PY102" s="269"/>
      <c r="PZ102" s="269"/>
      <c r="QA102" s="269"/>
      <c r="QB102" s="269"/>
      <c r="QC102" s="269"/>
      <c r="QD102" s="269"/>
      <c r="QQ102" s="152"/>
      <c r="QR102" s="153"/>
    </row>
    <row r="103" spans="3:465" ht="5.0999999999999996" customHeight="1" x14ac:dyDescent="0.3">
      <c r="C103" s="149"/>
      <c r="D103" s="150"/>
      <c r="ED103" s="155"/>
      <c r="IR103" s="273"/>
      <c r="IS103" s="274"/>
      <c r="IT103" s="274"/>
      <c r="IU103" s="274"/>
      <c r="IV103" s="274"/>
      <c r="IW103" s="274"/>
      <c r="IX103" s="274"/>
      <c r="IY103" s="274"/>
      <c r="IZ103" s="274"/>
      <c r="JA103" s="274"/>
      <c r="JB103" s="274"/>
      <c r="JC103" s="274"/>
      <c r="JD103" s="274"/>
      <c r="JE103" s="274"/>
      <c r="JF103" s="274"/>
      <c r="JG103" s="274"/>
      <c r="JH103" s="274"/>
      <c r="JI103" s="274"/>
      <c r="JJ103" s="274"/>
      <c r="JK103" s="274"/>
      <c r="JL103" s="274"/>
      <c r="JM103" s="274"/>
      <c r="JN103" s="274"/>
      <c r="JO103" s="274"/>
      <c r="JP103" s="274"/>
      <c r="JQ103" s="274"/>
      <c r="JR103" s="274"/>
      <c r="JS103" s="274"/>
      <c r="JT103" s="274"/>
      <c r="JU103" s="274"/>
      <c r="JV103" s="274"/>
      <c r="JW103" s="274"/>
      <c r="JX103" s="274"/>
      <c r="JY103" s="274"/>
      <c r="JZ103" s="274"/>
      <c r="KA103" s="274"/>
      <c r="KB103" s="274"/>
      <c r="KC103" s="274"/>
      <c r="KD103" s="274"/>
      <c r="KE103" s="275"/>
      <c r="KF103" s="273"/>
      <c r="KG103" s="274"/>
      <c r="KH103" s="274"/>
      <c r="KI103" s="274"/>
      <c r="KJ103" s="275"/>
      <c r="KP103" s="273"/>
      <c r="KQ103" s="274"/>
      <c r="KR103" s="274"/>
      <c r="KS103" s="274"/>
      <c r="KT103" s="274"/>
      <c r="KU103" s="274"/>
      <c r="KV103" s="274"/>
      <c r="KW103" s="274"/>
      <c r="KX103" s="274"/>
      <c r="KY103" s="274"/>
      <c r="KZ103" s="274"/>
      <c r="LA103" s="274"/>
      <c r="LB103" s="274"/>
      <c r="LC103" s="274"/>
      <c r="LD103" s="274"/>
      <c r="LE103" s="274"/>
      <c r="LF103" s="274"/>
      <c r="LG103" s="274"/>
      <c r="LH103" s="274"/>
      <c r="LI103" s="274"/>
      <c r="LJ103" s="274"/>
      <c r="LK103" s="274"/>
      <c r="LL103" s="274"/>
      <c r="LM103" s="274"/>
      <c r="LN103" s="274"/>
      <c r="LO103" s="274"/>
      <c r="LP103" s="274"/>
      <c r="LQ103" s="274"/>
      <c r="LR103" s="274"/>
      <c r="LS103" s="274"/>
      <c r="LT103" s="274"/>
      <c r="LU103" s="274"/>
      <c r="LV103" s="274"/>
      <c r="LW103" s="274"/>
      <c r="LX103" s="274"/>
      <c r="LY103" s="274"/>
      <c r="LZ103" s="274"/>
      <c r="MA103" s="274"/>
      <c r="MB103" s="274"/>
      <c r="MC103" s="275"/>
      <c r="MD103" s="273"/>
      <c r="ME103" s="274"/>
      <c r="MF103" s="274"/>
      <c r="MG103" s="274"/>
      <c r="MH103" s="275"/>
      <c r="MM103" s="273"/>
      <c r="MN103" s="274"/>
      <c r="MO103" s="274"/>
      <c r="MP103" s="274"/>
      <c r="MQ103" s="274"/>
      <c r="MR103" s="274"/>
      <c r="MS103" s="274"/>
      <c r="MT103" s="274"/>
      <c r="MU103" s="274"/>
      <c r="MV103" s="274"/>
      <c r="MW103" s="274"/>
      <c r="MX103" s="274"/>
      <c r="MY103" s="274"/>
      <c r="MZ103" s="274"/>
      <c r="NA103" s="274"/>
      <c r="NB103" s="274"/>
      <c r="NC103" s="274"/>
      <c r="ND103" s="274"/>
      <c r="NE103" s="274"/>
      <c r="NF103" s="274"/>
      <c r="NG103" s="274"/>
      <c r="NH103" s="274"/>
      <c r="NI103" s="274"/>
      <c r="NJ103" s="274"/>
      <c r="NK103" s="274"/>
      <c r="NL103" s="274"/>
      <c r="NM103" s="274"/>
      <c r="NN103" s="274"/>
      <c r="NO103" s="274"/>
      <c r="NP103" s="274"/>
      <c r="NQ103" s="274"/>
      <c r="NR103" s="274"/>
      <c r="NS103" s="274"/>
      <c r="NT103" s="274"/>
      <c r="NU103" s="274"/>
      <c r="NV103" s="274"/>
      <c r="NW103" s="274"/>
      <c r="NX103" s="274"/>
      <c r="NY103" s="274"/>
      <c r="NZ103" s="275"/>
      <c r="OA103" s="273"/>
      <c r="OB103" s="274"/>
      <c r="OC103" s="274"/>
      <c r="OD103" s="274"/>
      <c r="OE103" s="275"/>
      <c r="OK103" s="269"/>
      <c r="OL103" s="269"/>
      <c r="OM103" s="269"/>
      <c r="ON103" s="269"/>
      <c r="OO103" s="269"/>
      <c r="OP103" s="269"/>
      <c r="OQ103" s="269"/>
      <c r="OR103" s="269"/>
      <c r="OS103" s="269"/>
      <c r="OT103" s="269"/>
      <c r="OU103" s="269"/>
      <c r="OV103" s="269"/>
      <c r="OW103" s="269"/>
      <c r="OX103" s="269"/>
      <c r="OY103" s="269"/>
      <c r="OZ103" s="269"/>
      <c r="PA103" s="269"/>
      <c r="PB103" s="269"/>
      <c r="PC103" s="269"/>
      <c r="PD103" s="269"/>
      <c r="PE103" s="269"/>
      <c r="PF103" s="269"/>
      <c r="PG103" s="269"/>
      <c r="PH103" s="269"/>
      <c r="PI103" s="269"/>
      <c r="PJ103" s="269"/>
      <c r="PK103" s="269"/>
      <c r="PL103" s="269"/>
      <c r="PM103" s="269"/>
      <c r="PN103" s="269"/>
      <c r="PO103" s="269"/>
      <c r="PP103" s="269"/>
      <c r="PQ103" s="269"/>
      <c r="PR103" s="269"/>
      <c r="PS103" s="269"/>
      <c r="PT103" s="269"/>
      <c r="PU103" s="269"/>
      <c r="PV103" s="269"/>
      <c r="PW103" s="269"/>
      <c r="PX103" s="269"/>
      <c r="PY103" s="269"/>
      <c r="PZ103" s="269"/>
      <c r="QA103" s="269"/>
      <c r="QB103" s="269"/>
      <c r="QC103" s="269"/>
      <c r="QD103" s="269"/>
      <c r="QQ103" s="152"/>
      <c r="QR103" s="153"/>
    </row>
    <row r="104" spans="3:465" ht="5.0999999999999996" customHeight="1" thickBot="1" x14ac:dyDescent="0.35">
      <c r="C104" s="149"/>
      <c r="D104" s="150"/>
      <c r="AD104" s="157"/>
      <c r="AE104" s="157"/>
      <c r="AF104" s="157"/>
      <c r="AG104" s="157"/>
      <c r="AH104" s="157"/>
      <c r="AI104" s="157"/>
      <c r="AJ104" s="157"/>
      <c r="AK104" s="157"/>
      <c r="AL104" s="157"/>
      <c r="AM104" s="157"/>
      <c r="AN104" s="157"/>
      <c r="AO104" s="157"/>
      <c r="AP104" s="157"/>
      <c r="AQ104" s="157"/>
      <c r="AR104" s="157"/>
      <c r="AS104" s="157"/>
      <c r="AT104" s="157"/>
      <c r="AU104" s="157"/>
      <c r="AV104" s="157"/>
      <c r="AW104" s="157"/>
      <c r="AX104" s="157"/>
      <c r="AY104" s="157"/>
      <c r="AZ104" s="157"/>
      <c r="BA104" s="157"/>
      <c r="BB104" s="157"/>
      <c r="BC104" s="157"/>
      <c r="BD104" s="157"/>
      <c r="BE104" s="157"/>
      <c r="BF104" s="157"/>
      <c r="BG104" s="157"/>
      <c r="BH104" s="157"/>
      <c r="BI104" s="157"/>
      <c r="BJ104" s="157"/>
      <c r="BK104" s="157"/>
      <c r="BL104" s="157"/>
      <c r="BM104" s="157"/>
      <c r="BN104" s="157"/>
      <c r="BO104" s="157"/>
      <c r="BP104" s="157"/>
      <c r="BQ104" s="157"/>
      <c r="BR104" s="157"/>
      <c r="BS104" s="157"/>
      <c r="BT104" s="157"/>
      <c r="BU104" s="157"/>
      <c r="BV104" s="157"/>
      <c r="BW104" s="157"/>
      <c r="BX104" s="157"/>
      <c r="BY104" s="157"/>
      <c r="BZ104" s="157"/>
      <c r="CA104" s="157"/>
      <c r="CB104" s="157"/>
      <c r="CC104" s="157"/>
      <c r="CD104" s="157"/>
      <c r="CE104" s="157"/>
      <c r="CF104" s="157"/>
      <c r="CG104" s="157"/>
      <c r="CH104" s="157"/>
      <c r="CI104" s="157"/>
      <c r="CJ104" s="157"/>
      <c r="CK104" s="157"/>
      <c r="CL104" s="157"/>
      <c r="CM104" s="157"/>
      <c r="CN104" s="157"/>
      <c r="CO104" s="157"/>
      <c r="CP104" s="157"/>
      <c r="CQ104" s="157"/>
      <c r="CR104" s="157"/>
      <c r="CS104" s="157"/>
      <c r="CT104" s="157"/>
      <c r="CU104" s="157"/>
      <c r="CV104" s="157"/>
      <c r="CW104" s="157"/>
      <c r="CX104" s="157"/>
      <c r="CY104" s="157"/>
      <c r="CZ104" s="157"/>
      <c r="DA104" s="157"/>
      <c r="DB104" s="157"/>
      <c r="DC104" s="157"/>
      <c r="DD104" s="157"/>
      <c r="DE104" s="157"/>
      <c r="DF104" s="157"/>
      <c r="DG104" s="157"/>
      <c r="DH104" s="157"/>
      <c r="DI104" s="157"/>
      <c r="DJ104" s="157"/>
      <c r="DK104" s="157"/>
      <c r="DL104" s="157"/>
      <c r="DM104" s="157"/>
      <c r="DN104" s="157"/>
      <c r="DO104" s="157"/>
      <c r="DP104" s="157"/>
      <c r="DQ104" s="157"/>
      <c r="DR104" s="157"/>
      <c r="DS104" s="157"/>
      <c r="DT104" s="157"/>
      <c r="DU104" s="157"/>
      <c r="DV104" s="157"/>
      <c r="DW104" s="157"/>
      <c r="DX104" s="157"/>
      <c r="DY104" s="157"/>
      <c r="DZ104" s="157"/>
      <c r="EA104" s="157"/>
      <c r="EB104" s="157"/>
      <c r="EC104" s="157"/>
      <c r="ED104" s="182"/>
      <c r="EE104" s="157"/>
      <c r="EF104" s="157"/>
      <c r="EG104" s="157"/>
      <c r="EH104" s="157"/>
      <c r="EI104" s="157"/>
      <c r="EJ104" s="157"/>
      <c r="EK104" s="157"/>
      <c r="EL104" s="157"/>
      <c r="EM104" s="157"/>
      <c r="EN104" s="157"/>
      <c r="EO104" s="157"/>
      <c r="EP104" s="157"/>
      <c r="EQ104" s="157"/>
      <c r="ER104" s="157"/>
      <c r="ES104" s="157"/>
      <c r="ET104" s="157"/>
      <c r="EU104" s="157"/>
      <c r="EV104" s="157"/>
      <c r="EW104" s="157"/>
      <c r="EX104" s="157"/>
      <c r="EY104" s="157"/>
      <c r="EZ104" s="157"/>
      <c r="FA104" s="157"/>
      <c r="FB104" s="157"/>
      <c r="FC104" s="157"/>
      <c r="FD104" s="157"/>
      <c r="FE104" s="157"/>
      <c r="FF104" s="157"/>
      <c r="FG104" s="157"/>
      <c r="FH104" s="157"/>
      <c r="FI104" s="157"/>
      <c r="FJ104" s="157"/>
      <c r="FK104" s="157"/>
      <c r="FL104" s="157"/>
      <c r="FM104" s="157"/>
      <c r="FN104" s="157"/>
      <c r="FO104" s="157"/>
      <c r="FP104" s="157"/>
      <c r="FQ104" s="157"/>
      <c r="FR104" s="157"/>
      <c r="FS104" s="157"/>
      <c r="FT104" s="157"/>
      <c r="FU104" s="157"/>
      <c r="FV104" s="157"/>
      <c r="FW104" s="157"/>
      <c r="FX104" s="157"/>
      <c r="FY104" s="157"/>
      <c r="FZ104" s="157"/>
      <c r="GA104" s="157"/>
      <c r="GB104" s="157"/>
      <c r="GC104" s="157"/>
      <c r="GD104" s="157"/>
      <c r="GE104" s="157"/>
      <c r="GF104" s="157"/>
      <c r="GG104" s="157"/>
      <c r="GH104" s="157"/>
      <c r="GI104" s="157"/>
      <c r="GJ104" s="157"/>
      <c r="GK104" s="157"/>
      <c r="GL104" s="157"/>
      <c r="GM104" s="157"/>
      <c r="GN104" s="157"/>
      <c r="GO104" s="157"/>
      <c r="GP104" s="157"/>
      <c r="GQ104" s="157"/>
      <c r="GR104" s="157"/>
      <c r="GS104" s="157"/>
      <c r="GT104" s="157"/>
      <c r="GU104" s="157"/>
      <c r="GV104" s="157"/>
      <c r="GW104" s="157"/>
      <c r="GX104" s="157"/>
      <c r="GY104" s="157"/>
      <c r="GZ104" s="157"/>
      <c r="HA104" s="157"/>
      <c r="HB104" s="157"/>
      <c r="HC104" s="157"/>
      <c r="HD104" s="157"/>
      <c r="HE104" s="157"/>
      <c r="HF104" s="157"/>
      <c r="HG104" s="157"/>
      <c r="HH104" s="157"/>
      <c r="HI104" s="157"/>
      <c r="HJ104" s="157"/>
      <c r="HK104" s="157"/>
      <c r="HL104" s="157"/>
      <c r="HM104" s="157"/>
      <c r="IR104" s="276"/>
      <c r="IS104" s="277"/>
      <c r="IT104" s="277"/>
      <c r="IU104" s="277"/>
      <c r="IV104" s="277"/>
      <c r="IW104" s="277"/>
      <c r="IX104" s="277"/>
      <c r="IY104" s="277"/>
      <c r="IZ104" s="277"/>
      <c r="JA104" s="277"/>
      <c r="JB104" s="277"/>
      <c r="JC104" s="277"/>
      <c r="JD104" s="277"/>
      <c r="JE104" s="277"/>
      <c r="JF104" s="277"/>
      <c r="JG104" s="277"/>
      <c r="JH104" s="277"/>
      <c r="JI104" s="277"/>
      <c r="JJ104" s="277"/>
      <c r="JK104" s="277"/>
      <c r="JL104" s="277"/>
      <c r="JM104" s="277"/>
      <c r="JN104" s="277"/>
      <c r="JO104" s="277"/>
      <c r="JP104" s="277"/>
      <c r="JQ104" s="277"/>
      <c r="JR104" s="277"/>
      <c r="JS104" s="277"/>
      <c r="JT104" s="277"/>
      <c r="JU104" s="277"/>
      <c r="JV104" s="277"/>
      <c r="JW104" s="277"/>
      <c r="JX104" s="277"/>
      <c r="JY104" s="277"/>
      <c r="JZ104" s="277"/>
      <c r="KA104" s="277"/>
      <c r="KB104" s="277"/>
      <c r="KC104" s="277"/>
      <c r="KD104" s="277"/>
      <c r="KE104" s="278"/>
      <c r="KF104" s="276"/>
      <c r="KG104" s="277"/>
      <c r="KH104" s="277"/>
      <c r="KI104" s="277"/>
      <c r="KJ104" s="278"/>
      <c r="KP104" s="276"/>
      <c r="KQ104" s="277"/>
      <c r="KR104" s="277"/>
      <c r="KS104" s="277"/>
      <c r="KT104" s="277"/>
      <c r="KU104" s="277"/>
      <c r="KV104" s="277"/>
      <c r="KW104" s="277"/>
      <c r="KX104" s="277"/>
      <c r="KY104" s="277"/>
      <c r="KZ104" s="277"/>
      <c r="LA104" s="277"/>
      <c r="LB104" s="277"/>
      <c r="LC104" s="277"/>
      <c r="LD104" s="277"/>
      <c r="LE104" s="277"/>
      <c r="LF104" s="277"/>
      <c r="LG104" s="277"/>
      <c r="LH104" s="277"/>
      <c r="LI104" s="277"/>
      <c r="LJ104" s="277"/>
      <c r="LK104" s="277"/>
      <c r="LL104" s="277"/>
      <c r="LM104" s="277"/>
      <c r="LN104" s="277"/>
      <c r="LO104" s="277"/>
      <c r="LP104" s="277"/>
      <c r="LQ104" s="277"/>
      <c r="LR104" s="277"/>
      <c r="LS104" s="277"/>
      <c r="LT104" s="277"/>
      <c r="LU104" s="277"/>
      <c r="LV104" s="277"/>
      <c r="LW104" s="277"/>
      <c r="LX104" s="277"/>
      <c r="LY104" s="277"/>
      <c r="LZ104" s="277"/>
      <c r="MA104" s="277"/>
      <c r="MB104" s="277"/>
      <c r="MC104" s="278"/>
      <c r="MD104" s="276"/>
      <c r="ME104" s="277"/>
      <c r="MF104" s="277"/>
      <c r="MG104" s="277"/>
      <c r="MH104" s="278"/>
      <c r="MM104" s="276"/>
      <c r="MN104" s="277"/>
      <c r="MO104" s="277"/>
      <c r="MP104" s="277"/>
      <c r="MQ104" s="277"/>
      <c r="MR104" s="277"/>
      <c r="MS104" s="277"/>
      <c r="MT104" s="277"/>
      <c r="MU104" s="277"/>
      <c r="MV104" s="277"/>
      <c r="MW104" s="277"/>
      <c r="MX104" s="277"/>
      <c r="MY104" s="277"/>
      <c r="MZ104" s="277"/>
      <c r="NA104" s="277"/>
      <c r="NB104" s="277"/>
      <c r="NC104" s="277"/>
      <c r="ND104" s="277"/>
      <c r="NE104" s="277"/>
      <c r="NF104" s="277"/>
      <c r="NG104" s="277"/>
      <c r="NH104" s="277"/>
      <c r="NI104" s="277"/>
      <c r="NJ104" s="277"/>
      <c r="NK104" s="277"/>
      <c r="NL104" s="277"/>
      <c r="NM104" s="277"/>
      <c r="NN104" s="277"/>
      <c r="NO104" s="277"/>
      <c r="NP104" s="277"/>
      <c r="NQ104" s="277"/>
      <c r="NR104" s="277"/>
      <c r="NS104" s="277"/>
      <c r="NT104" s="277"/>
      <c r="NU104" s="277"/>
      <c r="NV104" s="277"/>
      <c r="NW104" s="277"/>
      <c r="NX104" s="277"/>
      <c r="NY104" s="277"/>
      <c r="NZ104" s="278"/>
      <c r="OA104" s="276"/>
      <c r="OB104" s="277"/>
      <c r="OC104" s="277"/>
      <c r="OD104" s="277"/>
      <c r="OE104" s="278"/>
      <c r="OK104" s="269"/>
      <c r="OL104" s="269"/>
      <c r="OM104" s="269"/>
      <c r="ON104" s="269"/>
      <c r="OO104" s="269"/>
      <c r="OP104" s="269"/>
      <c r="OQ104" s="269"/>
      <c r="OR104" s="269"/>
      <c r="OS104" s="269"/>
      <c r="OT104" s="269"/>
      <c r="OU104" s="269"/>
      <c r="OV104" s="269"/>
      <c r="OW104" s="269"/>
      <c r="OX104" s="269"/>
      <c r="OY104" s="269"/>
      <c r="OZ104" s="269"/>
      <c r="PA104" s="269"/>
      <c r="PB104" s="269"/>
      <c r="PC104" s="269"/>
      <c r="PD104" s="269"/>
      <c r="PE104" s="269"/>
      <c r="PF104" s="269"/>
      <c r="PG104" s="269"/>
      <c r="PH104" s="269"/>
      <c r="PI104" s="269"/>
      <c r="PJ104" s="269"/>
      <c r="PK104" s="269"/>
      <c r="PL104" s="269"/>
      <c r="PM104" s="269"/>
      <c r="PN104" s="269"/>
      <c r="PO104" s="269"/>
      <c r="PP104" s="269"/>
      <c r="PQ104" s="269"/>
      <c r="PR104" s="269"/>
      <c r="PS104" s="269"/>
      <c r="PT104" s="269"/>
      <c r="PU104" s="269"/>
      <c r="PV104" s="269"/>
      <c r="PW104" s="269"/>
      <c r="PX104" s="269"/>
      <c r="PY104" s="269"/>
      <c r="PZ104" s="269"/>
      <c r="QA104" s="269"/>
      <c r="QB104" s="269"/>
      <c r="QC104" s="269"/>
      <c r="QD104" s="269"/>
      <c r="QQ104" s="152"/>
      <c r="QR104" s="153"/>
    </row>
    <row r="105" spans="3:465" ht="5.0999999999999996" customHeight="1" x14ac:dyDescent="0.3">
      <c r="C105" s="149"/>
      <c r="D105" s="150"/>
      <c r="AD105" s="159"/>
      <c r="AE105" s="160"/>
      <c r="AF105" s="160"/>
      <c r="AG105" s="160"/>
      <c r="AH105" s="160"/>
      <c r="AI105" s="160"/>
      <c r="AJ105" s="160"/>
      <c r="AK105" s="160"/>
      <c r="AL105" s="160"/>
      <c r="AM105" s="160"/>
      <c r="AN105" s="160"/>
      <c r="AO105" s="160"/>
      <c r="AP105" s="160"/>
      <c r="AQ105" s="160"/>
      <c r="AR105" s="160"/>
      <c r="AS105" s="160"/>
      <c r="AT105" s="160"/>
      <c r="AU105" s="160"/>
      <c r="AV105" s="160"/>
      <c r="AW105" s="160"/>
      <c r="AX105" s="160"/>
      <c r="AY105" s="160"/>
      <c r="AZ105" s="160"/>
      <c r="BA105" s="160"/>
      <c r="BB105" s="160"/>
      <c r="BC105" s="160"/>
      <c r="BD105" s="160"/>
      <c r="BE105" s="160"/>
      <c r="BF105" s="160"/>
      <c r="BG105" s="160"/>
      <c r="BH105" s="160"/>
      <c r="BI105" s="160"/>
      <c r="BJ105" s="160"/>
      <c r="BK105" s="160"/>
      <c r="BL105" s="160"/>
      <c r="BM105" s="160"/>
      <c r="BN105" s="160"/>
      <c r="BO105" s="160"/>
      <c r="BP105" s="160"/>
      <c r="BQ105" s="160"/>
      <c r="BR105" s="160"/>
      <c r="BS105" s="160"/>
      <c r="BT105" s="160"/>
      <c r="BU105" s="160"/>
      <c r="BV105" s="160"/>
      <c r="BW105" s="160"/>
      <c r="BX105" s="160"/>
      <c r="BY105" s="160"/>
      <c r="BZ105" s="159"/>
      <c r="CA105" s="160"/>
      <c r="CB105" s="160"/>
      <c r="CC105" s="160"/>
      <c r="CD105" s="160"/>
      <c r="CE105" s="160"/>
      <c r="CF105" s="160"/>
      <c r="CG105" s="160"/>
      <c r="CH105" s="160"/>
      <c r="CI105" s="160"/>
      <c r="CJ105" s="160"/>
      <c r="CK105" s="160"/>
      <c r="CL105" s="160"/>
      <c r="CM105" s="160"/>
      <c r="CN105" s="160"/>
      <c r="CO105" s="160"/>
      <c r="CP105" s="160"/>
      <c r="CQ105" s="160"/>
      <c r="CR105" s="160"/>
      <c r="CS105" s="160"/>
      <c r="CT105" s="160"/>
      <c r="CU105" s="160"/>
      <c r="CV105" s="160"/>
      <c r="CW105" s="160"/>
      <c r="CX105" s="160"/>
      <c r="CY105" s="160"/>
      <c r="DV105" s="155"/>
      <c r="EA105" s="160"/>
      <c r="EB105" s="160"/>
      <c r="EC105" s="160"/>
      <c r="ED105" s="160"/>
      <c r="EE105" s="160"/>
      <c r="EF105" s="160"/>
      <c r="EG105" s="160"/>
      <c r="EH105" s="160"/>
      <c r="EI105" s="160"/>
      <c r="EJ105" s="160"/>
      <c r="EK105" s="160"/>
      <c r="EL105" s="160"/>
      <c r="EM105" s="160"/>
      <c r="EN105" s="160"/>
      <c r="EO105" s="160"/>
      <c r="EP105" s="160"/>
      <c r="EQ105" s="160"/>
      <c r="ER105" s="160"/>
      <c r="ES105" s="160"/>
      <c r="ET105" s="160"/>
      <c r="EU105" s="160"/>
      <c r="EV105" s="160"/>
      <c r="EW105" s="160"/>
      <c r="EX105" s="160"/>
      <c r="EY105" s="160"/>
      <c r="EZ105" s="160"/>
      <c r="FA105" s="160"/>
      <c r="FB105" s="160"/>
      <c r="FC105" s="160"/>
      <c r="FD105" s="160"/>
      <c r="FE105" s="160"/>
      <c r="FF105" s="160"/>
      <c r="FG105" s="160"/>
      <c r="FH105" s="160"/>
      <c r="FI105" s="160"/>
      <c r="FJ105" s="160"/>
      <c r="FK105" s="160"/>
      <c r="FL105" s="160"/>
      <c r="FM105" s="160"/>
      <c r="FN105" s="160"/>
      <c r="FO105" s="160"/>
      <c r="FP105" s="160"/>
      <c r="FQ105" s="160"/>
      <c r="FR105" s="159"/>
      <c r="FS105" s="160"/>
      <c r="FT105" s="160"/>
      <c r="FU105" s="160"/>
      <c r="FV105" s="160"/>
      <c r="FW105" s="160"/>
      <c r="FX105" s="160"/>
      <c r="FY105" s="160"/>
      <c r="FZ105" s="160"/>
      <c r="GA105" s="160"/>
      <c r="GB105" s="160"/>
      <c r="GC105" s="160"/>
      <c r="GD105" s="160"/>
      <c r="GE105" s="160"/>
      <c r="GF105" s="160"/>
      <c r="GG105" s="160"/>
      <c r="GH105" s="160"/>
      <c r="GI105" s="160"/>
      <c r="GJ105" s="160"/>
      <c r="GK105" s="160"/>
      <c r="GL105" s="160"/>
      <c r="GM105" s="160"/>
      <c r="GN105" s="160"/>
      <c r="GO105" s="160"/>
      <c r="GP105" s="160"/>
      <c r="GQ105" s="160"/>
      <c r="GR105" s="160"/>
      <c r="GS105" s="160"/>
      <c r="GT105" s="160"/>
      <c r="GU105" s="160"/>
      <c r="GV105" s="160"/>
      <c r="GW105" s="160"/>
      <c r="GX105" s="160"/>
      <c r="GY105" s="160"/>
      <c r="GZ105" s="160"/>
      <c r="HA105" s="160"/>
      <c r="HB105" s="160"/>
      <c r="HC105" s="160"/>
      <c r="HD105" s="160"/>
      <c r="HE105" s="160"/>
      <c r="HF105" s="160"/>
      <c r="HG105" s="160"/>
      <c r="HH105" s="160"/>
      <c r="HI105" s="160"/>
      <c r="HJ105" s="160"/>
      <c r="HK105" s="160"/>
      <c r="HL105" s="160"/>
      <c r="HM105" s="162"/>
      <c r="JN105" s="183"/>
      <c r="JO105" s="174"/>
      <c r="KP105" s="270" t="s">
        <v>284</v>
      </c>
      <c r="KQ105" s="271"/>
      <c r="KR105" s="271"/>
      <c r="KS105" s="271"/>
      <c r="KT105" s="271"/>
      <c r="KU105" s="271"/>
      <c r="KV105" s="271"/>
      <c r="KW105" s="271"/>
      <c r="KX105" s="271"/>
      <c r="KY105" s="271"/>
      <c r="KZ105" s="271"/>
      <c r="LA105" s="271"/>
      <c r="LB105" s="271"/>
      <c r="LC105" s="271"/>
      <c r="LD105" s="271"/>
      <c r="LE105" s="271"/>
      <c r="LF105" s="271"/>
      <c r="LG105" s="271"/>
      <c r="LH105" s="271"/>
      <c r="LI105" s="271"/>
      <c r="LJ105" s="271"/>
      <c r="LK105" s="271"/>
      <c r="LL105" s="271"/>
      <c r="LM105" s="271"/>
      <c r="LN105" s="271"/>
      <c r="LO105" s="271"/>
      <c r="LP105" s="271"/>
      <c r="LQ105" s="271"/>
      <c r="LR105" s="271"/>
      <c r="LS105" s="271"/>
      <c r="LT105" s="271"/>
      <c r="LU105" s="271"/>
      <c r="LV105" s="271"/>
      <c r="LW105" s="271"/>
      <c r="LX105" s="271"/>
      <c r="LY105" s="271"/>
      <c r="LZ105" s="271"/>
      <c r="MA105" s="271"/>
      <c r="MB105" s="271">
        <v>1</v>
      </c>
      <c r="MC105" s="272"/>
      <c r="MD105" s="270">
        <v>15</v>
      </c>
      <c r="ME105" s="271"/>
      <c r="MF105" s="271"/>
      <c r="MG105" s="271"/>
      <c r="MH105" s="272"/>
      <c r="MM105" s="270" t="s">
        <v>285</v>
      </c>
      <c r="MN105" s="271"/>
      <c r="MO105" s="271"/>
      <c r="MP105" s="271"/>
      <c r="MQ105" s="271"/>
      <c r="MR105" s="271"/>
      <c r="MS105" s="271"/>
      <c r="MT105" s="271"/>
      <c r="MU105" s="271"/>
      <c r="MV105" s="271"/>
      <c r="MW105" s="271"/>
      <c r="MX105" s="271"/>
      <c r="MY105" s="271"/>
      <c r="MZ105" s="271"/>
      <c r="NA105" s="271"/>
      <c r="NB105" s="271"/>
      <c r="NC105" s="271"/>
      <c r="ND105" s="271"/>
      <c r="NE105" s="271"/>
      <c r="NF105" s="271"/>
      <c r="NG105" s="271"/>
      <c r="NH105" s="271"/>
      <c r="NI105" s="271"/>
      <c r="NJ105" s="271"/>
      <c r="NK105" s="271"/>
      <c r="NL105" s="271"/>
      <c r="NM105" s="271"/>
      <c r="NN105" s="271"/>
      <c r="NO105" s="271"/>
      <c r="NP105" s="271"/>
      <c r="NQ105" s="271"/>
      <c r="NR105" s="271"/>
      <c r="NS105" s="271"/>
      <c r="NT105" s="271"/>
      <c r="NU105" s="271"/>
      <c r="NV105" s="271"/>
      <c r="NW105" s="271"/>
      <c r="NX105" s="271"/>
      <c r="NY105" s="271"/>
      <c r="NZ105" s="272"/>
      <c r="OA105" s="270">
        <v>2</v>
      </c>
      <c r="OB105" s="271"/>
      <c r="OC105" s="271"/>
      <c r="OD105" s="271"/>
      <c r="OE105" s="271"/>
      <c r="QQ105" s="152"/>
      <c r="QR105" s="153"/>
    </row>
    <row r="106" spans="3:465" ht="5.0999999999999996" customHeight="1" x14ac:dyDescent="0.3">
      <c r="C106" s="149"/>
      <c r="D106" s="150"/>
      <c r="X106" s="166"/>
      <c r="Y106" s="166"/>
      <c r="Z106" s="166"/>
      <c r="AA106" s="166"/>
      <c r="AB106" s="166"/>
      <c r="AC106" s="166"/>
      <c r="AD106" s="165"/>
      <c r="AE106" s="166"/>
      <c r="AF106" s="166"/>
      <c r="BT106" s="166"/>
      <c r="BU106" s="166"/>
      <c r="BV106" s="166"/>
      <c r="BW106" s="166"/>
      <c r="BX106" s="166"/>
      <c r="BY106" s="166"/>
      <c r="BZ106" s="165"/>
      <c r="CA106" s="166"/>
      <c r="CB106" s="166"/>
      <c r="DK106" s="166"/>
      <c r="DL106" s="166"/>
      <c r="DM106" s="166"/>
      <c r="DN106" s="166"/>
      <c r="DO106" s="166"/>
      <c r="DP106" s="166"/>
      <c r="DQ106" s="166"/>
      <c r="DR106" s="166"/>
      <c r="DS106" s="166"/>
      <c r="DT106" s="166"/>
      <c r="DU106" s="166"/>
      <c r="DV106" s="165"/>
      <c r="DW106" s="166"/>
      <c r="DX106" s="166"/>
      <c r="DY106" s="166"/>
      <c r="DZ106" s="166"/>
      <c r="EA106" s="166"/>
      <c r="EB106" s="166"/>
      <c r="EC106" s="166"/>
      <c r="ED106" s="166"/>
      <c r="EE106" s="166"/>
      <c r="EF106" s="166"/>
      <c r="EG106" s="166"/>
      <c r="EH106" s="166"/>
      <c r="EI106" s="166"/>
      <c r="EJ106" s="166"/>
      <c r="FG106" s="166"/>
      <c r="FH106" s="166"/>
      <c r="FI106" s="166"/>
      <c r="FJ106" s="166"/>
      <c r="FK106" s="166"/>
      <c r="FL106" s="166"/>
      <c r="FM106" s="166"/>
      <c r="FN106" s="166"/>
      <c r="FO106" s="166"/>
      <c r="FP106" s="166"/>
      <c r="FQ106" s="166"/>
      <c r="FR106" s="165"/>
      <c r="FS106" s="166"/>
      <c r="FT106" s="166"/>
      <c r="FU106" s="166"/>
      <c r="FV106" s="166"/>
      <c r="FW106" s="166"/>
      <c r="FX106" s="166"/>
      <c r="FY106" s="166"/>
      <c r="FZ106" s="166"/>
      <c r="GA106" s="166"/>
      <c r="GB106" s="166"/>
      <c r="GC106" s="166"/>
      <c r="GD106" s="166"/>
      <c r="GE106" s="166"/>
      <c r="GF106" s="166"/>
      <c r="HC106" s="166"/>
      <c r="HD106" s="166"/>
      <c r="HE106" s="166"/>
      <c r="HF106" s="166"/>
      <c r="HG106" s="166"/>
      <c r="HH106" s="166"/>
      <c r="HI106" s="166"/>
      <c r="HJ106" s="166"/>
      <c r="HK106" s="166"/>
      <c r="HL106" s="166"/>
      <c r="HM106" s="181"/>
      <c r="HN106" s="166"/>
      <c r="HO106" s="166"/>
      <c r="HP106" s="166"/>
      <c r="HQ106" s="166"/>
      <c r="HR106" s="166"/>
      <c r="HS106" s="166"/>
      <c r="HT106" s="166"/>
      <c r="HU106" s="166"/>
      <c r="HV106" s="166"/>
      <c r="HW106" s="166"/>
      <c r="HX106" s="166"/>
      <c r="HY106" s="166"/>
      <c r="HZ106" s="166"/>
      <c r="IA106" s="166"/>
      <c r="IB106" s="166"/>
      <c r="JN106" s="158"/>
      <c r="KP106" s="273"/>
      <c r="KQ106" s="274"/>
      <c r="KR106" s="274"/>
      <c r="KS106" s="274"/>
      <c r="KT106" s="274"/>
      <c r="KU106" s="274"/>
      <c r="KV106" s="274"/>
      <c r="KW106" s="274"/>
      <c r="KX106" s="274"/>
      <c r="KY106" s="274"/>
      <c r="KZ106" s="274"/>
      <c r="LA106" s="274"/>
      <c r="LB106" s="274"/>
      <c r="LC106" s="274"/>
      <c r="LD106" s="274"/>
      <c r="LE106" s="274"/>
      <c r="LF106" s="274"/>
      <c r="LG106" s="274"/>
      <c r="LH106" s="274"/>
      <c r="LI106" s="274"/>
      <c r="LJ106" s="274"/>
      <c r="LK106" s="274"/>
      <c r="LL106" s="274"/>
      <c r="LM106" s="274"/>
      <c r="LN106" s="274"/>
      <c r="LO106" s="274"/>
      <c r="LP106" s="274"/>
      <c r="LQ106" s="274"/>
      <c r="LR106" s="274"/>
      <c r="LS106" s="274"/>
      <c r="LT106" s="274"/>
      <c r="LU106" s="274"/>
      <c r="LV106" s="274"/>
      <c r="LW106" s="274"/>
      <c r="LX106" s="274"/>
      <c r="LY106" s="274"/>
      <c r="LZ106" s="274"/>
      <c r="MA106" s="274"/>
      <c r="MB106" s="274"/>
      <c r="MC106" s="275"/>
      <c r="MD106" s="273"/>
      <c r="ME106" s="274"/>
      <c r="MF106" s="274"/>
      <c r="MG106" s="274"/>
      <c r="MH106" s="275"/>
      <c r="MM106" s="273"/>
      <c r="MN106" s="274"/>
      <c r="MO106" s="274"/>
      <c r="MP106" s="274"/>
      <c r="MQ106" s="274"/>
      <c r="MR106" s="274"/>
      <c r="MS106" s="274"/>
      <c r="MT106" s="274"/>
      <c r="MU106" s="274"/>
      <c r="MV106" s="274"/>
      <c r="MW106" s="274"/>
      <c r="MX106" s="274"/>
      <c r="MY106" s="274"/>
      <c r="MZ106" s="274"/>
      <c r="NA106" s="274"/>
      <c r="NB106" s="274"/>
      <c r="NC106" s="274"/>
      <c r="ND106" s="274"/>
      <c r="NE106" s="274"/>
      <c r="NF106" s="274"/>
      <c r="NG106" s="274"/>
      <c r="NH106" s="274"/>
      <c r="NI106" s="274"/>
      <c r="NJ106" s="274"/>
      <c r="NK106" s="274"/>
      <c r="NL106" s="274"/>
      <c r="NM106" s="274"/>
      <c r="NN106" s="274"/>
      <c r="NO106" s="274"/>
      <c r="NP106" s="274"/>
      <c r="NQ106" s="274"/>
      <c r="NR106" s="274"/>
      <c r="NS106" s="274"/>
      <c r="NT106" s="274"/>
      <c r="NU106" s="274"/>
      <c r="NV106" s="274"/>
      <c r="NW106" s="274"/>
      <c r="NX106" s="274"/>
      <c r="NY106" s="274"/>
      <c r="NZ106" s="275"/>
      <c r="OA106" s="273"/>
      <c r="OB106" s="274"/>
      <c r="OC106" s="274"/>
      <c r="OD106" s="274"/>
      <c r="OE106" s="274"/>
      <c r="QQ106" s="152"/>
      <c r="QR106" s="153"/>
    </row>
    <row r="107" spans="3:465" ht="5.0999999999999996" customHeight="1" x14ac:dyDescent="0.3">
      <c r="C107" s="149"/>
      <c r="D107" s="150"/>
      <c r="G107" s="314" t="s">
        <v>286</v>
      </c>
      <c r="H107" s="315"/>
      <c r="I107" s="315"/>
      <c r="J107" s="315"/>
      <c r="K107" s="315"/>
      <c r="L107" s="315"/>
      <c r="M107" s="315"/>
      <c r="N107" s="315"/>
      <c r="O107" s="315"/>
      <c r="P107" s="315"/>
      <c r="Q107" s="315"/>
      <c r="R107" s="315"/>
      <c r="S107" s="315"/>
      <c r="T107" s="315"/>
      <c r="U107" s="315"/>
      <c r="V107" s="315"/>
      <c r="W107" s="315"/>
      <c r="X107" s="315"/>
      <c r="Y107" s="315"/>
      <c r="Z107" s="315"/>
      <c r="AA107" s="315"/>
      <c r="AB107" s="315"/>
      <c r="AC107" s="315"/>
      <c r="AD107" s="315"/>
      <c r="AE107" s="315"/>
      <c r="AF107" s="315"/>
      <c r="AG107" s="315"/>
      <c r="AH107" s="315"/>
      <c r="AI107" s="315"/>
      <c r="AJ107" s="315"/>
      <c r="AK107" s="315"/>
      <c r="AL107" s="315"/>
      <c r="AM107" s="315"/>
      <c r="AN107" s="315"/>
      <c r="AO107" s="315"/>
      <c r="AP107" s="315"/>
      <c r="AQ107" s="315"/>
      <c r="AR107" s="315"/>
      <c r="AS107" s="315"/>
      <c r="AT107" s="315"/>
      <c r="AU107" s="316"/>
      <c r="AV107" s="314">
        <f>SUM(AV119,AV131,AV151,AV141,AV161)</f>
        <v>11</v>
      </c>
      <c r="AW107" s="315"/>
      <c r="AX107" s="315"/>
      <c r="AY107" s="315"/>
      <c r="AZ107" s="316"/>
      <c r="BC107" s="314" t="s">
        <v>287</v>
      </c>
      <c r="BD107" s="315"/>
      <c r="BE107" s="315"/>
      <c r="BF107" s="315"/>
      <c r="BG107" s="315"/>
      <c r="BH107" s="315"/>
      <c r="BI107" s="315"/>
      <c r="BJ107" s="315"/>
      <c r="BK107" s="315"/>
      <c r="BL107" s="315"/>
      <c r="BM107" s="315"/>
      <c r="BN107" s="315"/>
      <c r="BO107" s="315"/>
      <c r="BP107" s="315"/>
      <c r="BQ107" s="315"/>
      <c r="BR107" s="315"/>
      <c r="BS107" s="315"/>
      <c r="BT107" s="315"/>
      <c r="BU107" s="315"/>
      <c r="BV107" s="315"/>
      <c r="BW107" s="315"/>
      <c r="BX107" s="315"/>
      <c r="BY107" s="315"/>
      <c r="BZ107" s="315"/>
      <c r="CA107" s="315"/>
      <c r="CB107" s="315"/>
      <c r="CC107" s="315"/>
      <c r="CD107" s="315"/>
      <c r="CE107" s="315"/>
      <c r="CF107" s="315"/>
      <c r="CG107" s="315"/>
      <c r="CH107" s="315"/>
      <c r="CI107" s="315"/>
      <c r="CJ107" s="315"/>
      <c r="CK107" s="315"/>
      <c r="CL107" s="315"/>
      <c r="CM107" s="315"/>
      <c r="CN107" s="315"/>
      <c r="CO107" s="315"/>
      <c r="CP107" s="315"/>
      <c r="CQ107" s="316"/>
      <c r="CR107" s="314">
        <f>SUM(CR119,CR131)</f>
        <v>5</v>
      </c>
      <c r="CS107" s="315"/>
      <c r="CT107" s="315"/>
      <c r="CU107" s="315"/>
      <c r="CV107" s="316"/>
      <c r="CY107" s="314" t="s">
        <v>288</v>
      </c>
      <c r="CZ107" s="315"/>
      <c r="DA107" s="315"/>
      <c r="DB107" s="315"/>
      <c r="DC107" s="315"/>
      <c r="DD107" s="315"/>
      <c r="DE107" s="315"/>
      <c r="DF107" s="315"/>
      <c r="DG107" s="315"/>
      <c r="DH107" s="315"/>
      <c r="DI107" s="315"/>
      <c r="DJ107" s="315"/>
      <c r="DK107" s="315"/>
      <c r="DL107" s="315"/>
      <c r="DM107" s="315"/>
      <c r="DN107" s="315"/>
      <c r="DO107" s="315"/>
      <c r="DP107" s="315"/>
      <c r="DQ107" s="315"/>
      <c r="DR107" s="315"/>
      <c r="DS107" s="315"/>
      <c r="DT107" s="315"/>
      <c r="DU107" s="315"/>
      <c r="DV107" s="315"/>
      <c r="DW107" s="315"/>
      <c r="DX107" s="315"/>
      <c r="DY107" s="315"/>
      <c r="DZ107" s="315"/>
      <c r="EA107" s="315"/>
      <c r="EB107" s="315"/>
      <c r="EC107" s="315"/>
      <c r="ED107" s="315"/>
      <c r="EE107" s="315"/>
      <c r="EF107" s="315"/>
      <c r="EG107" s="315"/>
      <c r="EH107" s="315"/>
      <c r="EI107" s="315"/>
      <c r="EJ107" s="315"/>
      <c r="EK107" s="315"/>
      <c r="EL107" s="315"/>
      <c r="EM107" s="316"/>
      <c r="EN107" s="314">
        <f>SUM(EN119:ER150)</f>
        <v>7</v>
      </c>
      <c r="EO107" s="315"/>
      <c r="EP107" s="315"/>
      <c r="EQ107" s="315"/>
      <c r="ER107" s="316"/>
      <c r="EU107" s="314" t="s">
        <v>289</v>
      </c>
      <c r="EV107" s="315"/>
      <c r="EW107" s="315"/>
      <c r="EX107" s="315"/>
      <c r="EY107" s="315"/>
      <c r="EZ107" s="315"/>
      <c r="FA107" s="315"/>
      <c r="FB107" s="315"/>
      <c r="FC107" s="315"/>
      <c r="FD107" s="315"/>
      <c r="FE107" s="315"/>
      <c r="FF107" s="315"/>
      <c r="FG107" s="315"/>
      <c r="FH107" s="315"/>
      <c r="FI107" s="315"/>
      <c r="FJ107" s="315"/>
      <c r="FK107" s="315"/>
      <c r="FL107" s="315"/>
      <c r="FM107" s="315"/>
      <c r="FN107" s="315"/>
      <c r="FO107" s="315"/>
      <c r="FP107" s="315"/>
      <c r="FQ107" s="315"/>
      <c r="FR107" s="315"/>
      <c r="FS107" s="315"/>
      <c r="FT107" s="315"/>
      <c r="FU107" s="315"/>
      <c r="FV107" s="315"/>
      <c r="FW107" s="315"/>
      <c r="FX107" s="315"/>
      <c r="FY107" s="315"/>
      <c r="FZ107" s="315"/>
      <c r="GA107" s="315"/>
      <c r="GB107" s="315"/>
      <c r="GC107" s="315"/>
      <c r="GD107" s="315"/>
      <c r="GE107" s="315"/>
      <c r="GF107" s="315"/>
      <c r="GG107" s="315"/>
      <c r="GH107" s="315"/>
      <c r="GI107" s="316"/>
      <c r="GJ107" s="314">
        <f>SUM(GJ119,GJ131)</f>
        <v>4</v>
      </c>
      <c r="GK107" s="315"/>
      <c r="GL107" s="315"/>
      <c r="GM107" s="315"/>
      <c r="GN107" s="316"/>
      <c r="GQ107" s="314" t="s">
        <v>290</v>
      </c>
      <c r="GR107" s="315"/>
      <c r="GS107" s="315"/>
      <c r="GT107" s="315"/>
      <c r="GU107" s="315"/>
      <c r="GV107" s="315"/>
      <c r="GW107" s="315"/>
      <c r="GX107" s="315"/>
      <c r="GY107" s="315"/>
      <c r="GZ107" s="315"/>
      <c r="HA107" s="315"/>
      <c r="HB107" s="315"/>
      <c r="HC107" s="315"/>
      <c r="HD107" s="315"/>
      <c r="HE107" s="315"/>
      <c r="HF107" s="315"/>
      <c r="HG107" s="315"/>
      <c r="HH107" s="315"/>
      <c r="HI107" s="315"/>
      <c r="HJ107" s="315"/>
      <c r="HK107" s="315"/>
      <c r="HL107" s="315"/>
      <c r="HM107" s="315"/>
      <c r="HN107" s="315"/>
      <c r="HO107" s="315"/>
      <c r="HP107" s="315"/>
      <c r="HQ107" s="315"/>
      <c r="HR107" s="315"/>
      <c r="HS107" s="315"/>
      <c r="HT107" s="315"/>
      <c r="HU107" s="315"/>
      <c r="HV107" s="315"/>
      <c r="HW107" s="315"/>
      <c r="HX107" s="315"/>
      <c r="HY107" s="315"/>
      <c r="HZ107" s="315"/>
      <c r="IA107" s="315"/>
      <c r="IB107" s="315"/>
      <c r="IC107" s="315"/>
      <c r="ID107" s="315"/>
      <c r="IE107" s="316"/>
      <c r="IF107" s="314">
        <f>SUM(IF119,IF131)</f>
        <v>4</v>
      </c>
      <c r="IG107" s="315"/>
      <c r="IH107" s="315"/>
      <c r="II107" s="315"/>
      <c r="IJ107" s="316"/>
      <c r="IR107" s="270" t="s">
        <v>291</v>
      </c>
      <c r="IS107" s="271"/>
      <c r="IT107" s="271"/>
      <c r="IU107" s="271"/>
      <c r="IV107" s="271"/>
      <c r="IW107" s="271"/>
      <c r="IX107" s="271"/>
      <c r="IY107" s="271"/>
      <c r="IZ107" s="271"/>
      <c r="JA107" s="271"/>
      <c r="JB107" s="271"/>
      <c r="JC107" s="271"/>
      <c r="JD107" s="271"/>
      <c r="JE107" s="271"/>
      <c r="JF107" s="271"/>
      <c r="JG107" s="271"/>
      <c r="JH107" s="271"/>
      <c r="JI107" s="271"/>
      <c r="JJ107" s="271"/>
      <c r="JK107" s="271"/>
      <c r="JL107" s="271"/>
      <c r="JM107" s="271"/>
      <c r="JN107" s="271"/>
      <c r="JO107" s="271"/>
      <c r="JP107" s="271"/>
      <c r="JQ107" s="271"/>
      <c r="JR107" s="271"/>
      <c r="JS107" s="271"/>
      <c r="JT107" s="271"/>
      <c r="JU107" s="271"/>
      <c r="JV107" s="271"/>
      <c r="JW107" s="271"/>
      <c r="JX107" s="271"/>
      <c r="JY107" s="271"/>
      <c r="JZ107" s="271"/>
      <c r="KA107" s="271"/>
      <c r="KB107" s="271"/>
      <c r="KC107" s="271"/>
      <c r="KD107" s="271">
        <v>1</v>
      </c>
      <c r="KE107" s="272"/>
      <c r="KF107" s="270">
        <v>12</v>
      </c>
      <c r="KG107" s="271"/>
      <c r="KH107" s="271"/>
      <c r="KI107" s="271"/>
      <c r="KJ107" s="272"/>
      <c r="KP107" s="273"/>
      <c r="KQ107" s="274"/>
      <c r="KR107" s="274"/>
      <c r="KS107" s="274"/>
      <c r="KT107" s="274"/>
      <c r="KU107" s="274"/>
      <c r="KV107" s="274"/>
      <c r="KW107" s="274"/>
      <c r="KX107" s="274"/>
      <c r="KY107" s="274"/>
      <c r="KZ107" s="274"/>
      <c r="LA107" s="274"/>
      <c r="LB107" s="274"/>
      <c r="LC107" s="274"/>
      <c r="LD107" s="274"/>
      <c r="LE107" s="274"/>
      <c r="LF107" s="274"/>
      <c r="LG107" s="274"/>
      <c r="LH107" s="274"/>
      <c r="LI107" s="274"/>
      <c r="LJ107" s="274"/>
      <c r="LK107" s="274"/>
      <c r="LL107" s="274"/>
      <c r="LM107" s="274"/>
      <c r="LN107" s="274"/>
      <c r="LO107" s="274"/>
      <c r="LP107" s="274"/>
      <c r="LQ107" s="274"/>
      <c r="LR107" s="274"/>
      <c r="LS107" s="274"/>
      <c r="LT107" s="274"/>
      <c r="LU107" s="274"/>
      <c r="LV107" s="274"/>
      <c r="LW107" s="274"/>
      <c r="LX107" s="274"/>
      <c r="LY107" s="274"/>
      <c r="LZ107" s="274"/>
      <c r="MA107" s="274"/>
      <c r="MB107" s="274"/>
      <c r="MC107" s="275"/>
      <c r="MD107" s="273"/>
      <c r="ME107" s="274"/>
      <c r="MF107" s="274"/>
      <c r="MG107" s="274"/>
      <c r="MH107" s="275"/>
      <c r="MM107" s="273"/>
      <c r="MN107" s="274"/>
      <c r="MO107" s="274"/>
      <c r="MP107" s="274"/>
      <c r="MQ107" s="274"/>
      <c r="MR107" s="274"/>
      <c r="MS107" s="274"/>
      <c r="MT107" s="274"/>
      <c r="MU107" s="274"/>
      <c r="MV107" s="274"/>
      <c r="MW107" s="274"/>
      <c r="MX107" s="274"/>
      <c r="MY107" s="274"/>
      <c r="MZ107" s="274"/>
      <c r="NA107" s="274"/>
      <c r="NB107" s="274"/>
      <c r="NC107" s="274"/>
      <c r="ND107" s="274"/>
      <c r="NE107" s="274"/>
      <c r="NF107" s="274"/>
      <c r="NG107" s="274"/>
      <c r="NH107" s="274"/>
      <c r="NI107" s="274"/>
      <c r="NJ107" s="274"/>
      <c r="NK107" s="274"/>
      <c r="NL107" s="274"/>
      <c r="NM107" s="274"/>
      <c r="NN107" s="274"/>
      <c r="NO107" s="274"/>
      <c r="NP107" s="274"/>
      <c r="NQ107" s="274"/>
      <c r="NR107" s="274"/>
      <c r="NS107" s="274"/>
      <c r="NT107" s="274"/>
      <c r="NU107" s="274"/>
      <c r="NV107" s="274"/>
      <c r="NW107" s="274"/>
      <c r="NX107" s="274"/>
      <c r="NY107" s="274"/>
      <c r="NZ107" s="275"/>
      <c r="OA107" s="273"/>
      <c r="OB107" s="274"/>
      <c r="OC107" s="274"/>
      <c r="OD107" s="274"/>
      <c r="OE107" s="275"/>
      <c r="QQ107" s="152"/>
      <c r="QR107" s="153"/>
    </row>
    <row r="108" spans="3:465" ht="5.0999999999999996" customHeight="1" x14ac:dyDescent="0.3">
      <c r="C108" s="149"/>
      <c r="D108" s="150"/>
      <c r="G108" s="317"/>
      <c r="H108" s="318"/>
      <c r="I108" s="318"/>
      <c r="J108" s="318"/>
      <c r="K108" s="318"/>
      <c r="L108" s="318"/>
      <c r="M108" s="318"/>
      <c r="N108" s="318"/>
      <c r="O108" s="318"/>
      <c r="P108" s="318"/>
      <c r="Q108" s="318"/>
      <c r="R108" s="318"/>
      <c r="S108" s="318"/>
      <c r="T108" s="318"/>
      <c r="U108" s="318"/>
      <c r="V108" s="318"/>
      <c r="W108" s="318"/>
      <c r="X108" s="318"/>
      <c r="Y108" s="318"/>
      <c r="Z108" s="318"/>
      <c r="AA108" s="318"/>
      <c r="AB108" s="318"/>
      <c r="AC108" s="318"/>
      <c r="AD108" s="318"/>
      <c r="AE108" s="318"/>
      <c r="AF108" s="318"/>
      <c r="AG108" s="318"/>
      <c r="AH108" s="318"/>
      <c r="AI108" s="318"/>
      <c r="AJ108" s="318"/>
      <c r="AK108" s="318"/>
      <c r="AL108" s="318"/>
      <c r="AM108" s="318"/>
      <c r="AN108" s="318"/>
      <c r="AO108" s="318"/>
      <c r="AP108" s="318"/>
      <c r="AQ108" s="318"/>
      <c r="AR108" s="318"/>
      <c r="AS108" s="318"/>
      <c r="AT108" s="318"/>
      <c r="AU108" s="319"/>
      <c r="AV108" s="317"/>
      <c r="AW108" s="318"/>
      <c r="AX108" s="318"/>
      <c r="AY108" s="318"/>
      <c r="AZ108" s="319"/>
      <c r="BC108" s="317"/>
      <c r="BD108" s="318"/>
      <c r="BE108" s="318"/>
      <c r="BF108" s="318"/>
      <c r="BG108" s="318"/>
      <c r="BH108" s="318"/>
      <c r="BI108" s="318"/>
      <c r="BJ108" s="318"/>
      <c r="BK108" s="318"/>
      <c r="BL108" s="318"/>
      <c r="BM108" s="318"/>
      <c r="BN108" s="318"/>
      <c r="BO108" s="318"/>
      <c r="BP108" s="318"/>
      <c r="BQ108" s="318"/>
      <c r="BR108" s="318"/>
      <c r="BS108" s="318"/>
      <c r="BT108" s="318"/>
      <c r="BU108" s="318"/>
      <c r="BV108" s="318"/>
      <c r="BW108" s="318"/>
      <c r="BX108" s="318"/>
      <c r="BY108" s="318"/>
      <c r="BZ108" s="318"/>
      <c r="CA108" s="318"/>
      <c r="CB108" s="318"/>
      <c r="CC108" s="318"/>
      <c r="CD108" s="318"/>
      <c r="CE108" s="318"/>
      <c r="CF108" s="318"/>
      <c r="CG108" s="318"/>
      <c r="CH108" s="318"/>
      <c r="CI108" s="318"/>
      <c r="CJ108" s="318"/>
      <c r="CK108" s="318"/>
      <c r="CL108" s="318"/>
      <c r="CM108" s="318"/>
      <c r="CN108" s="318"/>
      <c r="CO108" s="318"/>
      <c r="CP108" s="318"/>
      <c r="CQ108" s="319"/>
      <c r="CR108" s="317"/>
      <c r="CS108" s="318"/>
      <c r="CT108" s="318"/>
      <c r="CU108" s="318"/>
      <c r="CV108" s="319"/>
      <c r="CY108" s="317"/>
      <c r="CZ108" s="318"/>
      <c r="DA108" s="318"/>
      <c r="DB108" s="318"/>
      <c r="DC108" s="318"/>
      <c r="DD108" s="318"/>
      <c r="DE108" s="318"/>
      <c r="DF108" s="318"/>
      <c r="DG108" s="318"/>
      <c r="DH108" s="318"/>
      <c r="DI108" s="318"/>
      <c r="DJ108" s="318"/>
      <c r="DK108" s="318"/>
      <c r="DL108" s="318"/>
      <c r="DM108" s="318"/>
      <c r="DN108" s="318"/>
      <c r="DO108" s="318"/>
      <c r="DP108" s="318"/>
      <c r="DQ108" s="318"/>
      <c r="DR108" s="318"/>
      <c r="DS108" s="318"/>
      <c r="DT108" s="318"/>
      <c r="DU108" s="318"/>
      <c r="DV108" s="318"/>
      <c r="DW108" s="318"/>
      <c r="DX108" s="318"/>
      <c r="DY108" s="318"/>
      <c r="DZ108" s="318"/>
      <c r="EA108" s="318"/>
      <c r="EB108" s="318"/>
      <c r="EC108" s="318"/>
      <c r="ED108" s="318"/>
      <c r="EE108" s="318"/>
      <c r="EF108" s="318"/>
      <c r="EG108" s="318"/>
      <c r="EH108" s="318"/>
      <c r="EI108" s="318"/>
      <c r="EJ108" s="318"/>
      <c r="EK108" s="318"/>
      <c r="EL108" s="318"/>
      <c r="EM108" s="319"/>
      <c r="EN108" s="317"/>
      <c r="EO108" s="318"/>
      <c r="EP108" s="318"/>
      <c r="EQ108" s="318"/>
      <c r="ER108" s="319"/>
      <c r="EU108" s="317"/>
      <c r="EV108" s="318"/>
      <c r="EW108" s="318"/>
      <c r="EX108" s="318"/>
      <c r="EY108" s="318"/>
      <c r="EZ108" s="318"/>
      <c r="FA108" s="318"/>
      <c r="FB108" s="318"/>
      <c r="FC108" s="318"/>
      <c r="FD108" s="318"/>
      <c r="FE108" s="318"/>
      <c r="FF108" s="318"/>
      <c r="FG108" s="318"/>
      <c r="FH108" s="318"/>
      <c r="FI108" s="318"/>
      <c r="FJ108" s="318"/>
      <c r="FK108" s="318"/>
      <c r="FL108" s="318"/>
      <c r="FM108" s="318"/>
      <c r="FN108" s="318"/>
      <c r="FO108" s="318"/>
      <c r="FP108" s="318"/>
      <c r="FQ108" s="318"/>
      <c r="FR108" s="318"/>
      <c r="FS108" s="318"/>
      <c r="FT108" s="318"/>
      <c r="FU108" s="318"/>
      <c r="FV108" s="318"/>
      <c r="FW108" s="318"/>
      <c r="FX108" s="318"/>
      <c r="FY108" s="318"/>
      <c r="FZ108" s="318"/>
      <c r="GA108" s="318"/>
      <c r="GB108" s="318"/>
      <c r="GC108" s="318"/>
      <c r="GD108" s="318"/>
      <c r="GE108" s="318"/>
      <c r="GF108" s="318"/>
      <c r="GG108" s="318"/>
      <c r="GH108" s="318"/>
      <c r="GI108" s="319"/>
      <c r="GJ108" s="317"/>
      <c r="GK108" s="318"/>
      <c r="GL108" s="318"/>
      <c r="GM108" s="318"/>
      <c r="GN108" s="319"/>
      <c r="GQ108" s="317"/>
      <c r="GR108" s="318"/>
      <c r="GS108" s="318"/>
      <c r="GT108" s="318"/>
      <c r="GU108" s="318"/>
      <c r="GV108" s="318"/>
      <c r="GW108" s="318"/>
      <c r="GX108" s="318"/>
      <c r="GY108" s="318"/>
      <c r="GZ108" s="318"/>
      <c r="HA108" s="318"/>
      <c r="HB108" s="318"/>
      <c r="HC108" s="318"/>
      <c r="HD108" s="318"/>
      <c r="HE108" s="318"/>
      <c r="HF108" s="318"/>
      <c r="HG108" s="318"/>
      <c r="HH108" s="318"/>
      <c r="HI108" s="318"/>
      <c r="HJ108" s="318"/>
      <c r="HK108" s="318"/>
      <c r="HL108" s="318"/>
      <c r="HM108" s="318"/>
      <c r="HN108" s="318"/>
      <c r="HO108" s="318"/>
      <c r="HP108" s="318"/>
      <c r="HQ108" s="318"/>
      <c r="HR108" s="318"/>
      <c r="HS108" s="318"/>
      <c r="HT108" s="318"/>
      <c r="HU108" s="318"/>
      <c r="HV108" s="318"/>
      <c r="HW108" s="318"/>
      <c r="HX108" s="318"/>
      <c r="HY108" s="318"/>
      <c r="HZ108" s="318"/>
      <c r="IA108" s="318"/>
      <c r="IB108" s="318"/>
      <c r="IC108" s="318"/>
      <c r="ID108" s="318"/>
      <c r="IE108" s="319"/>
      <c r="IF108" s="317"/>
      <c r="IG108" s="318"/>
      <c r="IH108" s="318"/>
      <c r="II108" s="318"/>
      <c r="IJ108" s="319"/>
      <c r="IR108" s="273"/>
      <c r="IS108" s="274"/>
      <c r="IT108" s="274"/>
      <c r="IU108" s="274"/>
      <c r="IV108" s="274"/>
      <c r="IW108" s="274"/>
      <c r="IX108" s="274"/>
      <c r="IY108" s="274"/>
      <c r="IZ108" s="274"/>
      <c r="JA108" s="274"/>
      <c r="JB108" s="274"/>
      <c r="JC108" s="274"/>
      <c r="JD108" s="274"/>
      <c r="JE108" s="274"/>
      <c r="JF108" s="274"/>
      <c r="JG108" s="274"/>
      <c r="JH108" s="274"/>
      <c r="JI108" s="274"/>
      <c r="JJ108" s="274"/>
      <c r="JK108" s="274"/>
      <c r="JL108" s="274"/>
      <c r="JM108" s="274"/>
      <c r="JN108" s="274"/>
      <c r="JO108" s="274"/>
      <c r="JP108" s="274"/>
      <c r="JQ108" s="274"/>
      <c r="JR108" s="274"/>
      <c r="JS108" s="274"/>
      <c r="JT108" s="274"/>
      <c r="JU108" s="274"/>
      <c r="JV108" s="274"/>
      <c r="JW108" s="274"/>
      <c r="JX108" s="274"/>
      <c r="JY108" s="274"/>
      <c r="JZ108" s="274"/>
      <c r="KA108" s="274"/>
      <c r="KB108" s="274"/>
      <c r="KC108" s="274"/>
      <c r="KD108" s="274"/>
      <c r="KE108" s="275"/>
      <c r="KF108" s="273"/>
      <c r="KG108" s="274"/>
      <c r="KH108" s="274"/>
      <c r="KI108" s="274"/>
      <c r="KJ108" s="275"/>
      <c r="KP108" s="273"/>
      <c r="KQ108" s="274"/>
      <c r="KR108" s="274"/>
      <c r="KS108" s="274"/>
      <c r="KT108" s="274"/>
      <c r="KU108" s="274"/>
      <c r="KV108" s="274"/>
      <c r="KW108" s="274"/>
      <c r="KX108" s="274"/>
      <c r="KY108" s="274"/>
      <c r="KZ108" s="274"/>
      <c r="LA108" s="274"/>
      <c r="LB108" s="274"/>
      <c r="LC108" s="274"/>
      <c r="LD108" s="274"/>
      <c r="LE108" s="274"/>
      <c r="LF108" s="274"/>
      <c r="LG108" s="274"/>
      <c r="LH108" s="274"/>
      <c r="LI108" s="274"/>
      <c r="LJ108" s="274"/>
      <c r="LK108" s="274"/>
      <c r="LL108" s="274"/>
      <c r="LM108" s="274"/>
      <c r="LN108" s="274"/>
      <c r="LO108" s="274"/>
      <c r="LP108" s="274"/>
      <c r="LQ108" s="274"/>
      <c r="LR108" s="274"/>
      <c r="LS108" s="274"/>
      <c r="LT108" s="274"/>
      <c r="LU108" s="274"/>
      <c r="LV108" s="274"/>
      <c r="LW108" s="274"/>
      <c r="LX108" s="274"/>
      <c r="LY108" s="274"/>
      <c r="LZ108" s="274"/>
      <c r="MA108" s="274"/>
      <c r="MB108" s="274"/>
      <c r="MC108" s="275"/>
      <c r="MD108" s="273"/>
      <c r="ME108" s="274"/>
      <c r="MF108" s="274"/>
      <c r="MG108" s="274"/>
      <c r="MH108" s="275"/>
      <c r="MM108" s="273"/>
      <c r="MN108" s="274"/>
      <c r="MO108" s="274"/>
      <c r="MP108" s="274"/>
      <c r="MQ108" s="274"/>
      <c r="MR108" s="274"/>
      <c r="MS108" s="274"/>
      <c r="MT108" s="274"/>
      <c r="MU108" s="274"/>
      <c r="MV108" s="274"/>
      <c r="MW108" s="274"/>
      <c r="MX108" s="274"/>
      <c r="MY108" s="274"/>
      <c r="MZ108" s="274"/>
      <c r="NA108" s="274"/>
      <c r="NB108" s="274"/>
      <c r="NC108" s="274"/>
      <c r="ND108" s="274"/>
      <c r="NE108" s="274"/>
      <c r="NF108" s="274"/>
      <c r="NG108" s="274"/>
      <c r="NH108" s="274"/>
      <c r="NI108" s="274"/>
      <c r="NJ108" s="274"/>
      <c r="NK108" s="274"/>
      <c r="NL108" s="274"/>
      <c r="NM108" s="274"/>
      <c r="NN108" s="274"/>
      <c r="NO108" s="274"/>
      <c r="NP108" s="274"/>
      <c r="NQ108" s="274"/>
      <c r="NR108" s="274"/>
      <c r="NS108" s="274"/>
      <c r="NT108" s="274"/>
      <c r="NU108" s="274"/>
      <c r="NV108" s="274"/>
      <c r="NW108" s="274"/>
      <c r="NX108" s="274"/>
      <c r="NY108" s="274"/>
      <c r="NZ108" s="275"/>
      <c r="OA108" s="273"/>
      <c r="OB108" s="274"/>
      <c r="OC108" s="274"/>
      <c r="OD108" s="274"/>
      <c r="OE108" s="275"/>
      <c r="QQ108" s="152"/>
      <c r="QR108" s="153"/>
    </row>
    <row r="109" spans="3:465" ht="5.0999999999999996" customHeight="1" x14ac:dyDescent="0.3">
      <c r="C109" s="149"/>
      <c r="D109" s="150"/>
      <c r="G109" s="317"/>
      <c r="H109" s="318"/>
      <c r="I109" s="318"/>
      <c r="J109" s="318"/>
      <c r="K109" s="318"/>
      <c r="L109" s="318"/>
      <c r="M109" s="318"/>
      <c r="N109" s="318"/>
      <c r="O109" s="318"/>
      <c r="P109" s="318"/>
      <c r="Q109" s="318"/>
      <c r="R109" s="318"/>
      <c r="S109" s="318"/>
      <c r="T109" s="318"/>
      <c r="U109" s="318"/>
      <c r="V109" s="318"/>
      <c r="W109" s="318"/>
      <c r="X109" s="318"/>
      <c r="Y109" s="318"/>
      <c r="Z109" s="318"/>
      <c r="AA109" s="318"/>
      <c r="AB109" s="318"/>
      <c r="AC109" s="318"/>
      <c r="AD109" s="318"/>
      <c r="AE109" s="318"/>
      <c r="AF109" s="318"/>
      <c r="AG109" s="318"/>
      <c r="AH109" s="318"/>
      <c r="AI109" s="318"/>
      <c r="AJ109" s="318"/>
      <c r="AK109" s="318"/>
      <c r="AL109" s="318"/>
      <c r="AM109" s="318"/>
      <c r="AN109" s="318"/>
      <c r="AO109" s="318"/>
      <c r="AP109" s="318"/>
      <c r="AQ109" s="318"/>
      <c r="AR109" s="318"/>
      <c r="AS109" s="318"/>
      <c r="AT109" s="318"/>
      <c r="AU109" s="319"/>
      <c r="AV109" s="317"/>
      <c r="AW109" s="318"/>
      <c r="AX109" s="318"/>
      <c r="AY109" s="318"/>
      <c r="AZ109" s="319"/>
      <c r="BC109" s="317"/>
      <c r="BD109" s="318"/>
      <c r="BE109" s="318"/>
      <c r="BF109" s="318"/>
      <c r="BG109" s="318"/>
      <c r="BH109" s="318"/>
      <c r="BI109" s="318"/>
      <c r="BJ109" s="318"/>
      <c r="BK109" s="318"/>
      <c r="BL109" s="318"/>
      <c r="BM109" s="318"/>
      <c r="BN109" s="318"/>
      <c r="BO109" s="318"/>
      <c r="BP109" s="318"/>
      <c r="BQ109" s="318"/>
      <c r="BR109" s="318"/>
      <c r="BS109" s="318"/>
      <c r="BT109" s="318"/>
      <c r="BU109" s="318"/>
      <c r="BV109" s="318"/>
      <c r="BW109" s="318"/>
      <c r="BX109" s="318"/>
      <c r="BY109" s="318"/>
      <c r="BZ109" s="318"/>
      <c r="CA109" s="318"/>
      <c r="CB109" s="318"/>
      <c r="CC109" s="318"/>
      <c r="CD109" s="318"/>
      <c r="CE109" s="318"/>
      <c r="CF109" s="318"/>
      <c r="CG109" s="318"/>
      <c r="CH109" s="318"/>
      <c r="CI109" s="318"/>
      <c r="CJ109" s="318"/>
      <c r="CK109" s="318"/>
      <c r="CL109" s="318"/>
      <c r="CM109" s="318"/>
      <c r="CN109" s="318"/>
      <c r="CO109" s="318"/>
      <c r="CP109" s="318"/>
      <c r="CQ109" s="319"/>
      <c r="CR109" s="317"/>
      <c r="CS109" s="318"/>
      <c r="CT109" s="318"/>
      <c r="CU109" s="318"/>
      <c r="CV109" s="319"/>
      <c r="CY109" s="317"/>
      <c r="CZ109" s="318"/>
      <c r="DA109" s="318"/>
      <c r="DB109" s="318"/>
      <c r="DC109" s="318"/>
      <c r="DD109" s="318"/>
      <c r="DE109" s="318"/>
      <c r="DF109" s="318"/>
      <c r="DG109" s="318"/>
      <c r="DH109" s="318"/>
      <c r="DI109" s="318"/>
      <c r="DJ109" s="318"/>
      <c r="DK109" s="318"/>
      <c r="DL109" s="318"/>
      <c r="DM109" s="318"/>
      <c r="DN109" s="318"/>
      <c r="DO109" s="318"/>
      <c r="DP109" s="318"/>
      <c r="DQ109" s="318"/>
      <c r="DR109" s="318"/>
      <c r="DS109" s="318"/>
      <c r="DT109" s="318"/>
      <c r="DU109" s="318"/>
      <c r="DV109" s="318"/>
      <c r="DW109" s="318"/>
      <c r="DX109" s="318"/>
      <c r="DY109" s="318"/>
      <c r="DZ109" s="318"/>
      <c r="EA109" s="318"/>
      <c r="EB109" s="318"/>
      <c r="EC109" s="318"/>
      <c r="ED109" s="318"/>
      <c r="EE109" s="318"/>
      <c r="EF109" s="318"/>
      <c r="EG109" s="318"/>
      <c r="EH109" s="318"/>
      <c r="EI109" s="318"/>
      <c r="EJ109" s="318"/>
      <c r="EK109" s="318"/>
      <c r="EL109" s="318"/>
      <c r="EM109" s="319"/>
      <c r="EN109" s="317"/>
      <c r="EO109" s="318"/>
      <c r="EP109" s="318"/>
      <c r="EQ109" s="318"/>
      <c r="ER109" s="319"/>
      <c r="EU109" s="317"/>
      <c r="EV109" s="318"/>
      <c r="EW109" s="318"/>
      <c r="EX109" s="318"/>
      <c r="EY109" s="318"/>
      <c r="EZ109" s="318"/>
      <c r="FA109" s="318"/>
      <c r="FB109" s="318"/>
      <c r="FC109" s="318"/>
      <c r="FD109" s="318"/>
      <c r="FE109" s="318"/>
      <c r="FF109" s="318"/>
      <c r="FG109" s="318"/>
      <c r="FH109" s="318"/>
      <c r="FI109" s="318"/>
      <c r="FJ109" s="318"/>
      <c r="FK109" s="318"/>
      <c r="FL109" s="318"/>
      <c r="FM109" s="318"/>
      <c r="FN109" s="318"/>
      <c r="FO109" s="318"/>
      <c r="FP109" s="318"/>
      <c r="FQ109" s="318"/>
      <c r="FR109" s="318"/>
      <c r="FS109" s="318"/>
      <c r="FT109" s="318"/>
      <c r="FU109" s="318"/>
      <c r="FV109" s="318"/>
      <c r="FW109" s="318"/>
      <c r="FX109" s="318"/>
      <c r="FY109" s="318"/>
      <c r="FZ109" s="318"/>
      <c r="GA109" s="318"/>
      <c r="GB109" s="318"/>
      <c r="GC109" s="318"/>
      <c r="GD109" s="318"/>
      <c r="GE109" s="318"/>
      <c r="GF109" s="318"/>
      <c r="GG109" s="318"/>
      <c r="GH109" s="318"/>
      <c r="GI109" s="319"/>
      <c r="GJ109" s="317"/>
      <c r="GK109" s="318"/>
      <c r="GL109" s="318"/>
      <c r="GM109" s="318"/>
      <c r="GN109" s="319"/>
      <c r="GQ109" s="317"/>
      <c r="GR109" s="318"/>
      <c r="GS109" s="318"/>
      <c r="GT109" s="318"/>
      <c r="GU109" s="318"/>
      <c r="GV109" s="318"/>
      <c r="GW109" s="318"/>
      <c r="GX109" s="318"/>
      <c r="GY109" s="318"/>
      <c r="GZ109" s="318"/>
      <c r="HA109" s="318"/>
      <c r="HB109" s="318"/>
      <c r="HC109" s="318"/>
      <c r="HD109" s="318"/>
      <c r="HE109" s="318"/>
      <c r="HF109" s="318"/>
      <c r="HG109" s="318"/>
      <c r="HH109" s="318"/>
      <c r="HI109" s="318"/>
      <c r="HJ109" s="318"/>
      <c r="HK109" s="318"/>
      <c r="HL109" s="318"/>
      <c r="HM109" s="318"/>
      <c r="HN109" s="318"/>
      <c r="HO109" s="318"/>
      <c r="HP109" s="318"/>
      <c r="HQ109" s="318"/>
      <c r="HR109" s="318"/>
      <c r="HS109" s="318"/>
      <c r="HT109" s="318"/>
      <c r="HU109" s="318"/>
      <c r="HV109" s="318"/>
      <c r="HW109" s="318"/>
      <c r="HX109" s="318"/>
      <c r="HY109" s="318"/>
      <c r="HZ109" s="318"/>
      <c r="IA109" s="318"/>
      <c r="IB109" s="318"/>
      <c r="IC109" s="318"/>
      <c r="ID109" s="318"/>
      <c r="IE109" s="319"/>
      <c r="IF109" s="317"/>
      <c r="IG109" s="318"/>
      <c r="IH109" s="318"/>
      <c r="II109" s="318"/>
      <c r="IJ109" s="319"/>
      <c r="IR109" s="273"/>
      <c r="IS109" s="274"/>
      <c r="IT109" s="274"/>
      <c r="IU109" s="274"/>
      <c r="IV109" s="274"/>
      <c r="IW109" s="274"/>
      <c r="IX109" s="274"/>
      <c r="IY109" s="274"/>
      <c r="IZ109" s="274"/>
      <c r="JA109" s="274"/>
      <c r="JB109" s="274"/>
      <c r="JC109" s="274"/>
      <c r="JD109" s="274"/>
      <c r="JE109" s="274"/>
      <c r="JF109" s="274"/>
      <c r="JG109" s="274"/>
      <c r="JH109" s="274"/>
      <c r="JI109" s="274"/>
      <c r="JJ109" s="274"/>
      <c r="JK109" s="274"/>
      <c r="JL109" s="274"/>
      <c r="JM109" s="274"/>
      <c r="JN109" s="274"/>
      <c r="JO109" s="274"/>
      <c r="JP109" s="274"/>
      <c r="JQ109" s="274"/>
      <c r="JR109" s="274"/>
      <c r="JS109" s="274"/>
      <c r="JT109" s="274"/>
      <c r="JU109" s="274"/>
      <c r="JV109" s="274"/>
      <c r="JW109" s="274"/>
      <c r="JX109" s="274"/>
      <c r="JY109" s="274"/>
      <c r="JZ109" s="274"/>
      <c r="KA109" s="274"/>
      <c r="KB109" s="274"/>
      <c r="KC109" s="274"/>
      <c r="KD109" s="274"/>
      <c r="KE109" s="275"/>
      <c r="KF109" s="273"/>
      <c r="KG109" s="274"/>
      <c r="KH109" s="274"/>
      <c r="KI109" s="274"/>
      <c r="KJ109" s="275"/>
      <c r="KP109" s="273"/>
      <c r="KQ109" s="274"/>
      <c r="KR109" s="274"/>
      <c r="KS109" s="274"/>
      <c r="KT109" s="274"/>
      <c r="KU109" s="274"/>
      <c r="KV109" s="274"/>
      <c r="KW109" s="274"/>
      <c r="KX109" s="274"/>
      <c r="KY109" s="274"/>
      <c r="KZ109" s="274"/>
      <c r="LA109" s="274"/>
      <c r="LB109" s="274"/>
      <c r="LC109" s="274"/>
      <c r="LD109" s="274"/>
      <c r="LE109" s="274"/>
      <c r="LF109" s="274"/>
      <c r="LG109" s="274"/>
      <c r="LH109" s="274"/>
      <c r="LI109" s="274"/>
      <c r="LJ109" s="274"/>
      <c r="LK109" s="274"/>
      <c r="LL109" s="274"/>
      <c r="LM109" s="274"/>
      <c r="LN109" s="274"/>
      <c r="LO109" s="274"/>
      <c r="LP109" s="274"/>
      <c r="LQ109" s="274"/>
      <c r="LR109" s="274"/>
      <c r="LS109" s="274"/>
      <c r="LT109" s="274"/>
      <c r="LU109" s="274"/>
      <c r="LV109" s="274"/>
      <c r="LW109" s="274"/>
      <c r="LX109" s="274"/>
      <c r="LY109" s="274"/>
      <c r="LZ109" s="274"/>
      <c r="MA109" s="274"/>
      <c r="MB109" s="274"/>
      <c r="MC109" s="275"/>
      <c r="MD109" s="273"/>
      <c r="ME109" s="274"/>
      <c r="MF109" s="274"/>
      <c r="MG109" s="274"/>
      <c r="MH109" s="275"/>
      <c r="MM109" s="273"/>
      <c r="MN109" s="274"/>
      <c r="MO109" s="274"/>
      <c r="MP109" s="274"/>
      <c r="MQ109" s="274"/>
      <c r="MR109" s="274"/>
      <c r="MS109" s="274"/>
      <c r="MT109" s="274"/>
      <c r="MU109" s="274"/>
      <c r="MV109" s="274"/>
      <c r="MW109" s="274"/>
      <c r="MX109" s="274"/>
      <c r="MY109" s="274"/>
      <c r="MZ109" s="274"/>
      <c r="NA109" s="274"/>
      <c r="NB109" s="274"/>
      <c r="NC109" s="274"/>
      <c r="ND109" s="274"/>
      <c r="NE109" s="274"/>
      <c r="NF109" s="274"/>
      <c r="NG109" s="274"/>
      <c r="NH109" s="274"/>
      <c r="NI109" s="274"/>
      <c r="NJ109" s="274"/>
      <c r="NK109" s="274"/>
      <c r="NL109" s="274"/>
      <c r="NM109" s="274"/>
      <c r="NN109" s="274"/>
      <c r="NO109" s="274"/>
      <c r="NP109" s="274"/>
      <c r="NQ109" s="274"/>
      <c r="NR109" s="274"/>
      <c r="NS109" s="274"/>
      <c r="NT109" s="274"/>
      <c r="NU109" s="274"/>
      <c r="NV109" s="274"/>
      <c r="NW109" s="274"/>
      <c r="NX109" s="274"/>
      <c r="NY109" s="274"/>
      <c r="NZ109" s="275"/>
      <c r="OA109" s="273"/>
      <c r="OB109" s="274"/>
      <c r="OC109" s="274"/>
      <c r="OD109" s="274"/>
      <c r="OE109" s="275"/>
      <c r="QQ109" s="152"/>
      <c r="QR109" s="153"/>
    </row>
    <row r="110" spans="3:465" ht="5.0999999999999996" customHeight="1" x14ac:dyDescent="0.3">
      <c r="C110" s="149"/>
      <c r="D110" s="150"/>
      <c r="G110" s="317"/>
      <c r="H110" s="318"/>
      <c r="I110" s="318"/>
      <c r="J110" s="318"/>
      <c r="K110" s="318"/>
      <c r="L110" s="318"/>
      <c r="M110" s="318"/>
      <c r="N110" s="318"/>
      <c r="O110" s="318"/>
      <c r="P110" s="318"/>
      <c r="Q110" s="318"/>
      <c r="R110" s="318"/>
      <c r="S110" s="318"/>
      <c r="T110" s="318"/>
      <c r="U110" s="318"/>
      <c r="V110" s="318"/>
      <c r="W110" s="318"/>
      <c r="X110" s="318"/>
      <c r="Y110" s="318"/>
      <c r="Z110" s="318"/>
      <c r="AA110" s="318"/>
      <c r="AB110" s="318"/>
      <c r="AC110" s="318"/>
      <c r="AD110" s="318"/>
      <c r="AE110" s="318"/>
      <c r="AF110" s="318"/>
      <c r="AG110" s="318"/>
      <c r="AH110" s="318"/>
      <c r="AI110" s="318"/>
      <c r="AJ110" s="318"/>
      <c r="AK110" s="318"/>
      <c r="AL110" s="318"/>
      <c r="AM110" s="318"/>
      <c r="AN110" s="318"/>
      <c r="AO110" s="318"/>
      <c r="AP110" s="318"/>
      <c r="AQ110" s="318"/>
      <c r="AR110" s="318"/>
      <c r="AS110" s="318"/>
      <c r="AT110" s="318"/>
      <c r="AU110" s="319"/>
      <c r="AV110" s="317"/>
      <c r="AW110" s="318"/>
      <c r="AX110" s="318"/>
      <c r="AY110" s="318"/>
      <c r="AZ110" s="319"/>
      <c r="BC110" s="317"/>
      <c r="BD110" s="318"/>
      <c r="BE110" s="318"/>
      <c r="BF110" s="318"/>
      <c r="BG110" s="318"/>
      <c r="BH110" s="318"/>
      <c r="BI110" s="318"/>
      <c r="BJ110" s="318"/>
      <c r="BK110" s="318"/>
      <c r="BL110" s="318"/>
      <c r="BM110" s="318"/>
      <c r="BN110" s="318"/>
      <c r="BO110" s="318"/>
      <c r="BP110" s="318"/>
      <c r="BQ110" s="318"/>
      <c r="BR110" s="318"/>
      <c r="BS110" s="318"/>
      <c r="BT110" s="318"/>
      <c r="BU110" s="318"/>
      <c r="BV110" s="318"/>
      <c r="BW110" s="318"/>
      <c r="BX110" s="318"/>
      <c r="BY110" s="318"/>
      <c r="BZ110" s="318"/>
      <c r="CA110" s="318"/>
      <c r="CB110" s="318"/>
      <c r="CC110" s="318"/>
      <c r="CD110" s="318"/>
      <c r="CE110" s="318"/>
      <c r="CF110" s="318"/>
      <c r="CG110" s="318"/>
      <c r="CH110" s="318"/>
      <c r="CI110" s="318"/>
      <c r="CJ110" s="318"/>
      <c r="CK110" s="318"/>
      <c r="CL110" s="318"/>
      <c r="CM110" s="318"/>
      <c r="CN110" s="318"/>
      <c r="CO110" s="318"/>
      <c r="CP110" s="318"/>
      <c r="CQ110" s="319"/>
      <c r="CR110" s="317"/>
      <c r="CS110" s="318"/>
      <c r="CT110" s="318"/>
      <c r="CU110" s="318"/>
      <c r="CV110" s="319"/>
      <c r="CY110" s="317"/>
      <c r="CZ110" s="318"/>
      <c r="DA110" s="318"/>
      <c r="DB110" s="318"/>
      <c r="DC110" s="318"/>
      <c r="DD110" s="318"/>
      <c r="DE110" s="318"/>
      <c r="DF110" s="318"/>
      <c r="DG110" s="318"/>
      <c r="DH110" s="318"/>
      <c r="DI110" s="318"/>
      <c r="DJ110" s="318"/>
      <c r="DK110" s="318"/>
      <c r="DL110" s="318"/>
      <c r="DM110" s="318"/>
      <c r="DN110" s="318"/>
      <c r="DO110" s="318"/>
      <c r="DP110" s="318"/>
      <c r="DQ110" s="318"/>
      <c r="DR110" s="318"/>
      <c r="DS110" s="318"/>
      <c r="DT110" s="318"/>
      <c r="DU110" s="318"/>
      <c r="DV110" s="318"/>
      <c r="DW110" s="318"/>
      <c r="DX110" s="318"/>
      <c r="DY110" s="318"/>
      <c r="DZ110" s="318"/>
      <c r="EA110" s="318"/>
      <c r="EB110" s="318"/>
      <c r="EC110" s="318"/>
      <c r="ED110" s="318"/>
      <c r="EE110" s="318"/>
      <c r="EF110" s="318"/>
      <c r="EG110" s="318"/>
      <c r="EH110" s="318"/>
      <c r="EI110" s="318"/>
      <c r="EJ110" s="318"/>
      <c r="EK110" s="318"/>
      <c r="EL110" s="318"/>
      <c r="EM110" s="319"/>
      <c r="EN110" s="317"/>
      <c r="EO110" s="318"/>
      <c r="EP110" s="318"/>
      <c r="EQ110" s="318"/>
      <c r="ER110" s="319"/>
      <c r="EU110" s="317"/>
      <c r="EV110" s="318"/>
      <c r="EW110" s="318"/>
      <c r="EX110" s="318"/>
      <c r="EY110" s="318"/>
      <c r="EZ110" s="318"/>
      <c r="FA110" s="318"/>
      <c r="FB110" s="318"/>
      <c r="FC110" s="318"/>
      <c r="FD110" s="318"/>
      <c r="FE110" s="318"/>
      <c r="FF110" s="318"/>
      <c r="FG110" s="318"/>
      <c r="FH110" s="318"/>
      <c r="FI110" s="318"/>
      <c r="FJ110" s="318"/>
      <c r="FK110" s="318"/>
      <c r="FL110" s="318"/>
      <c r="FM110" s="318"/>
      <c r="FN110" s="318"/>
      <c r="FO110" s="318"/>
      <c r="FP110" s="318"/>
      <c r="FQ110" s="318"/>
      <c r="FR110" s="318"/>
      <c r="FS110" s="318"/>
      <c r="FT110" s="318"/>
      <c r="FU110" s="318"/>
      <c r="FV110" s="318"/>
      <c r="FW110" s="318"/>
      <c r="FX110" s="318"/>
      <c r="FY110" s="318"/>
      <c r="FZ110" s="318"/>
      <c r="GA110" s="318"/>
      <c r="GB110" s="318"/>
      <c r="GC110" s="318"/>
      <c r="GD110" s="318"/>
      <c r="GE110" s="318"/>
      <c r="GF110" s="318"/>
      <c r="GG110" s="318"/>
      <c r="GH110" s="318"/>
      <c r="GI110" s="319"/>
      <c r="GJ110" s="317"/>
      <c r="GK110" s="318"/>
      <c r="GL110" s="318"/>
      <c r="GM110" s="318"/>
      <c r="GN110" s="319"/>
      <c r="GQ110" s="317"/>
      <c r="GR110" s="318"/>
      <c r="GS110" s="318"/>
      <c r="GT110" s="318"/>
      <c r="GU110" s="318"/>
      <c r="GV110" s="318"/>
      <c r="GW110" s="318"/>
      <c r="GX110" s="318"/>
      <c r="GY110" s="318"/>
      <c r="GZ110" s="318"/>
      <c r="HA110" s="318"/>
      <c r="HB110" s="318"/>
      <c r="HC110" s="318"/>
      <c r="HD110" s="318"/>
      <c r="HE110" s="318"/>
      <c r="HF110" s="318"/>
      <c r="HG110" s="318"/>
      <c r="HH110" s="318"/>
      <c r="HI110" s="318"/>
      <c r="HJ110" s="318"/>
      <c r="HK110" s="318"/>
      <c r="HL110" s="318"/>
      <c r="HM110" s="318"/>
      <c r="HN110" s="318"/>
      <c r="HO110" s="318"/>
      <c r="HP110" s="318"/>
      <c r="HQ110" s="318"/>
      <c r="HR110" s="318"/>
      <c r="HS110" s="318"/>
      <c r="HT110" s="318"/>
      <c r="HU110" s="318"/>
      <c r="HV110" s="318"/>
      <c r="HW110" s="318"/>
      <c r="HX110" s="318"/>
      <c r="HY110" s="318"/>
      <c r="HZ110" s="318"/>
      <c r="IA110" s="318"/>
      <c r="IB110" s="318"/>
      <c r="IC110" s="318"/>
      <c r="ID110" s="318"/>
      <c r="IE110" s="319"/>
      <c r="IF110" s="317"/>
      <c r="IG110" s="318"/>
      <c r="IH110" s="318"/>
      <c r="II110" s="318"/>
      <c r="IJ110" s="319"/>
      <c r="IR110" s="273"/>
      <c r="IS110" s="274"/>
      <c r="IT110" s="274"/>
      <c r="IU110" s="274"/>
      <c r="IV110" s="274"/>
      <c r="IW110" s="274"/>
      <c r="IX110" s="274"/>
      <c r="IY110" s="274"/>
      <c r="IZ110" s="274"/>
      <c r="JA110" s="274"/>
      <c r="JB110" s="274"/>
      <c r="JC110" s="274"/>
      <c r="JD110" s="274"/>
      <c r="JE110" s="274"/>
      <c r="JF110" s="274"/>
      <c r="JG110" s="274"/>
      <c r="JH110" s="274"/>
      <c r="JI110" s="274"/>
      <c r="JJ110" s="274"/>
      <c r="JK110" s="274"/>
      <c r="JL110" s="274"/>
      <c r="JM110" s="274"/>
      <c r="JN110" s="274"/>
      <c r="JO110" s="274"/>
      <c r="JP110" s="274"/>
      <c r="JQ110" s="274"/>
      <c r="JR110" s="274"/>
      <c r="JS110" s="274"/>
      <c r="JT110" s="274"/>
      <c r="JU110" s="274"/>
      <c r="JV110" s="274"/>
      <c r="JW110" s="274"/>
      <c r="JX110" s="274"/>
      <c r="JY110" s="274"/>
      <c r="JZ110" s="274"/>
      <c r="KA110" s="274"/>
      <c r="KB110" s="274"/>
      <c r="KC110" s="274"/>
      <c r="KD110" s="274"/>
      <c r="KE110" s="275"/>
      <c r="KF110" s="273"/>
      <c r="KG110" s="274"/>
      <c r="KH110" s="274"/>
      <c r="KI110" s="274"/>
      <c r="KJ110" s="275"/>
      <c r="KP110" s="273"/>
      <c r="KQ110" s="274"/>
      <c r="KR110" s="274"/>
      <c r="KS110" s="274"/>
      <c r="KT110" s="274"/>
      <c r="KU110" s="274"/>
      <c r="KV110" s="274"/>
      <c r="KW110" s="274"/>
      <c r="KX110" s="274"/>
      <c r="KY110" s="274"/>
      <c r="KZ110" s="274"/>
      <c r="LA110" s="274"/>
      <c r="LB110" s="274"/>
      <c r="LC110" s="274"/>
      <c r="LD110" s="274"/>
      <c r="LE110" s="274"/>
      <c r="LF110" s="274"/>
      <c r="LG110" s="274"/>
      <c r="LH110" s="274"/>
      <c r="LI110" s="274"/>
      <c r="LJ110" s="274"/>
      <c r="LK110" s="274"/>
      <c r="LL110" s="274"/>
      <c r="LM110" s="274"/>
      <c r="LN110" s="274"/>
      <c r="LO110" s="274"/>
      <c r="LP110" s="274"/>
      <c r="LQ110" s="274"/>
      <c r="LR110" s="274"/>
      <c r="LS110" s="274"/>
      <c r="LT110" s="274"/>
      <c r="LU110" s="274"/>
      <c r="LV110" s="274"/>
      <c r="LW110" s="274"/>
      <c r="LX110" s="274"/>
      <c r="LY110" s="274"/>
      <c r="LZ110" s="274"/>
      <c r="MA110" s="274"/>
      <c r="MB110" s="274"/>
      <c r="MC110" s="275"/>
      <c r="MD110" s="273"/>
      <c r="ME110" s="274"/>
      <c r="MF110" s="274"/>
      <c r="MG110" s="274"/>
      <c r="MH110" s="275"/>
      <c r="MM110" s="273"/>
      <c r="MN110" s="274"/>
      <c r="MO110" s="274"/>
      <c r="MP110" s="274"/>
      <c r="MQ110" s="274"/>
      <c r="MR110" s="274"/>
      <c r="MS110" s="274"/>
      <c r="MT110" s="274"/>
      <c r="MU110" s="274"/>
      <c r="MV110" s="274"/>
      <c r="MW110" s="274"/>
      <c r="MX110" s="274"/>
      <c r="MY110" s="274"/>
      <c r="MZ110" s="274"/>
      <c r="NA110" s="274"/>
      <c r="NB110" s="274"/>
      <c r="NC110" s="274"/>
      <c r="ND110" s="274"/>
      <c r="NE110" s="274"/>
      <c r="NF110" s="274"/>
      <c r="NG110" s="274"/>
      <c r="NH110" s="274"/>
      <c r="NI110" s="274"/>
      <c r="NJ110" s="274"/>
      <c r="NK110" s="274"/>
      <c r="NL110" s="274"/>
      <c r="NM110" s="274"/>
      <c r="NN110" s="274"/>
      <c r="NO110" s="274"/>
      <c r="NP110" s="274"/>
      <c r="NQ110" s="274"/>
      <c r="NR110" s="274"/>
      <c r="NS110" s="274"/>
      <c r="NT110" s="274"/>
      <c r="NU110" s="274"/>
      <c r="NV110" s="274"/>
      <c r="NW110" s="274"/>
      <c r="NX110" s="274"/>
      <c r="NY110" s="274"/>
      <c r="NZ110" s="275"/>
      <c r="OA110" s="273"/>
      <c r="OB110" s="274"/>
      <c r="OC110" s="274"/>
      <c r="OD110" s="274"/>
      <c r="OE110" s="275"/>
      <c r="QQ110" s="152"/>
      <c r="QR110" s="153"/>
    </row>
    <row r="111" spans="3:465" ht="5.0999999999999996" customHeight="1" x14ac:dyDescent="0.3">
      <c r="C111" s="149"/>
      <c r="D111" s="150"/>
      <c r="G111" s="317"/>
      <c r="H111" s="318"/>
      <c r="I111" s="318"/>
      <c r="J111" s="318"/>
      <c r="K111" s="318"/>
      <c r="L111" s="318"/>
      <c r="M111" s="318"/>
      <c r="N111" s="318"/>
      <c r="O111" s="318"/>
      <c r="P111" s="318"/>
      <c r="Q111" s="318"/>
      <c r="R111" s="318"/>
      <c r="S111" s="318"/>
      <c r="T111" s="318"/>
      <c r="U111" s="318"/>
      <c r="V111" s="318"/>
      <c r="W111" s="318"/>
      <c r="X111" s="318"/>
      <c r="Y111" s="318"/>
      <c r="Z111" s="318"/>
      <c r="AA111" s="318"/>
      <c r="AB111" s="318"/>
      <c r="AC111" s="318"/>
      <c r="AD111" s="318"/>
      <c r="AE111" s="318"/>
      <c r="AF111" s="318"/>
      <c r="AG111" s="318"/>
      <c r="AH111" s="318"/>
      <c r="AI111" s="318"/>
      <c r="AJ111" s="318"/>
      <c r="AK111" s="318"/>
      <c r="AL111" s="318"/>
      <c r="AM111" s="318"/>
      <c r="AN111" s="318"/>
      <c r="AO111" s="318"/>
      <c r="AP111" s="318"/>
      <c r="AQ111" s="318"/>
      <c r="AR111" s="318"/>
      <c r="AS111" s="318"/>
      <c r="AT111" s="318"/>
      <c r="AU111" s="319"/>
      <c r="AV111" s="317"/>
      <c r="AW111" s="318"/>
      <c r="AX111" s="318"/>
      <c r="AY111" s="318"/>
      <c r="AZ111" s="319"/>
      <c r="BC111" s="317"/>
      <c r="BD111" s="318"/>
      <c r="BE111" s="318"/>
      <c r="BF111" s="318"/>
      <c r="BG111" s="318"/>
      <c r="BH111" s="318"/>
      <c r="BI111" s="318"/>
      <c r="BJ111" s="318"/>
      <c r="BK111" s="318"/>
      <c r="BL111" s="318"/>
      <c r="BM111" s="318"/>
      <c r="BN111" s="318"/>
      <c r="BO111" s="318"/>
      <c r="BP111" s="318"/>
      <c r="BQ111" s="318"/>
      <c r="BR111" s="318"/>
      <c r="BS111" s="318"/>
      <c r="BT111" s="318"/>
      <c r="BU111" s="318"/>
      <c r="BV111" s="318"/>
      <c r="BW111" s="318"/>
      <c r="BX111" s="318"/>
      <c r="BY111" s="318"/>
      <c r="BZ111" s="318"/>
      <c r="CA111" s="318"/>
      <c r="CB111" s="318"/>
      <c r="CC111" s="318"/>
      <c r="CD111" s="318"/>
      <c r="CE111" s="318"/>
      <c r="CF111" s="318"/>
      <c r="CG111" s="318"/>
      <c r="CH111" s="318"/>
      <c r="CI111" s="318"/>
      <c r="CJ111" s="318"/>
      <c r="CK111" s="318"/>
      <c r="CL111" s="318"/>
      <c r="CM111" s="318"/>
      <c r="CN111" s="318"/>
      <c r="CO111" s="318"/>
      <c r="CP111" s="318"/>
      <c r="CQ111" s="319"/>
      <c r="CR111" s="317"/>
      <c r="CS111" s="318"/>
      <c r="CT111" s="318"/>
      <c r="CU111" s="318"/>
      <c r="CV111" s="319"/>
      <c r="CY111" s="317"/>
      <c r="CZ111" s="318"/>
      <c r="DA111" s="318"/>
      <c r="DB111" s="318"/>
      <c r="DC111" s="318"/>
      <c r="DD111" s="318"/>
      <c r="DE111" s="318"/>
      <c r="DF111" s="318"/>
      <c r="DG111" s="318"/>
      <c r="DH111" s="318"/>
      <c r="DI111" s="318"/>
      <c r="DJ111" s="318"/>
      <c r="DK111" s="318"/>
      <c r="DL111" s="318"/>
      <c r="DM111" s="318"/>
      <c r="DN111" s="318"/>
      <c r="DO111" s="318"/>
      <c r="DP111" s="318"/>
      <c r="DQ111" s="318"/>
      <c r="DR111" s="318"/>
      <c r="DS111" s="318"/>
      <c r="DT111" s="318"/>
      <c r="DU111" s="318"/>
      <c r="DV111" s="318"/>
      <c r="DW111" s="318"/>
      <c r="DX111" s="318"/>
      <c r="DY111" s="318"/>
      <c r="DZ111" s="318"/>
      <c r="EA111" s="318"/>
      <c r="EB111" s="318"/>
      <c r="EC111" s="318"/>
      <c r="ED111" s="318"/>
      <c r="EE111" s="318"/>
      <c r="EF111" s="318"/>
      <c r="EG111" s="318"/>
      <c r="EH111" s="318"/>
      <c r="EI111" s="318"/>
      <c r="EJ111" s="318"/>
      <c r="EK111" s="318"/>
      <c r="EL111" s="318"/>
      <c r="EM111" s="319"/>
      <c r="EN111" s="317"/>
      <c r="EO111" s="318"/>
      <c r="EP111" s="318"/>
      <c r="EQ111" s="318"/>
      <c r="ER111" s="319"/>
      <c r="EU111" s="317"/>
      <c r="EV111" s="318"/>
      <c r="EW111" s="318"/>
      <c r="EX111" s="318"/>
      <c r="EY111" s="318"/>
      <c r="EZ111" s="318"/>
      <c r="FA111" s="318"/>
      <c r="FB111" s="318"/>
      <c r="FC111" s="318"/>
      <c r="FD111" s="318"/>
      <c r="FE111" s="318"/>
      <c r="FF111" s="318"/>
      <c r="FG111" s="318"/>
      <c r="FH111" s="318"/>
      <c r="FI111" s="318"/>
      <c r="FJ111" s="318"/>
      <c r="FK111" s="318"/>
      <c r="FL111" s="318"/>
      <c r="FM111" s="318"/>
      <c r="FN111" s="318"/>
      <c r="FO111" s="318"/>
      <c r="FP111" s="318"/>
      <c r="FQ111" s="318"/>
      <c r="FR111" s="318"/>
      <c r="FS111" s="318"/>
      <c r="FT111" s="318"/>
      <c r="FU111" s="318"/>
      <c r="FV111" s="318"/>
      <c r="FW111" s="318"/>
      <c r="FX111" s="318"/>
      <c r="FY111" s="318"/>
      <c r="FZ111" s="318"/>
      <c r="GA111" s="318"/>
      <c r="GB111" s="318"/>
      <c r="GC111" s="318"/>
      <c r="GD111" s="318"/>
      <c r="GE111" s="318"/>
      <c r="GF111" s="318"/>
      <c r="GG111" s="318"/>
      <c r="GH111" s="318"/>
      <c r="GI111" s="319"/>
      <c r="GJ111" s="317"/>
      <c r="GK111" s="318"/>
      <c r="GL111" s="318"/>
      <c r="GM111" s="318"/>
      <c r="GN111" s="319"/>
      <c r="GQ111" s="317"/>
      <c r="GR111" s="318"/>
      <c r="GS111" s="318"/>
      <c r="GT111" s="318"/>
      <c r="GU111" s="318"/>
      <c r="GV111" s="318"/>
      <c r="GW111" s="318"/>
      <c r="GX111" s="318"/>
      <c r="GY111" s="318"/>
      <c r="GZ111" s="318"/>
      <c r="HA111" s="318"/>
      <c r="HB111" s="318"/>
      <c r="HC111" s="318"/>
      <c r="HD111" s="318"/>
      <c r="HE111" s="318"/>
      <c r="HF111" s="318"/>
      <c r="HG111" s="318"/>
      <c r="HH111" s="318"/>
      <c r="HI111" s="318"/>
      <c r="HJ111" s="318"/>
      <c r="HK111" s="318"/>
      <c r="HL111" s="318"/>
      <c r="HM111" s="318"/>
      <c r="HN111" s="318"/>
      <c r="HO111" s="318"/>
      <c r="HP111" s="318"/>
      <c r="HQ111" s="318"/>
      <c r="HR111" s="318"/>
      <c r="HS111" s="318"/>
      <c r="HT111" s="318"/>
      <c r="HU111" s="318"/>
      <c r="HV111" s="318"/>
      <c r="HW111" s="318"/>
      <c r="HX111" s="318"/>
      <c r="HY111" s="318"/>
      <c r="HZ111" s="318"/>
      <c r="IA111" s="318"/>
      <c r="IB111" s="318"/>
      <c r="IC111" s="318"/>
      <c r="ID111" s="318"/>
      <c r="IE111" s="319"/>
      <c r="IF111" s="317"/>
      <c r="IG111" s="318"/>
      <c r="IH111" s="318"/>
      <c r="II111" s="318"/>
      <c r="IJ111" s="319"/>
      <c r="IR111" s="273"/>
      <c r="IS111" s="274"/>
      <c r="IT111" s="274"/>
      <c r="IU111" s="274"/>
      <c r="IV111" s="274"/>
      <c r="IW111" s="274"/>
      <c r="IX111" s="274"/>
      <c r="IY111" s="274"/>
      <c r="IZ111" s="274"/>
      <c r="JA111" s="274"/>
      <c r="JB111" s="274"/>
      <c r="JC111" s="274"/>
      <c r="JD111" s="274"/>
      <c r="JE111" s="274"/>
      <c r="JF111" s="274"/>
      <c r="JG111" s="274"/>
      <c r="JH111" s="274"/>
      <c r="JI111" s="274"/>
      <c r="JJ111" s="274"/>
      <c r="JK111" s="274"/>
      <c r="JL111" s="274"/>
      <c r="JM111" s="274"/>
      <c r="JN111" s="274"/>
      <c r="JO111" s="274"/>
      <c r="JP111" s="274"/>
      <c r="JQ111" s="274"/>
      <c r="JR111" s="274"/>
      <c r="JS111" s="274"/>
      <c r="JT111" s="274"/>
      <c r="JU111" s="274"/>
      <c r="JV111" s="274"/>
      <c r="JW111" s="274"/>
      <c r="JX111" s="274"/>
      <c r="JY111" s="274"/>
      <c r="JZ111" s="274"/>
      <c r="KA111" s="274"/>
      <c r="KB111" s="274"/>
      <c r="KC111" s="274"/>
      <c r="KD111" s="274"/>
      <c r="KE111" s="275"/>
      <c r="KF111" s="273"/>
      <c r="KG111" s="274"/>
      <c r="KH111" s="274"/>
      <c r="KI111" s="274"/>
      <c r="KJ111" s="275"/>
      <c r="KP111" s="273"/>
      <c r="KQ111" s="274"/>
      <c r="KR111" s="274"/>
      <c r="KS111" s="274"/>
      <c r="KT111" s="274"/>
      <c r="KU111" s="274"/>
      <c r="KV111" s="274"/>
      <c r="KW111" s="274"/>
      <c r="KX111" s="274"/>
      <c r="KY111" s="274"/>
      <c r="KZ111" s="274"/>
      <c r="LA111" s="274"/>
      <c r="LB111" s="274"/>
      <c r="LC111" s="274"/>
      <c r="LD111" s="274"/>
      <c r="LE111" s="274"/>
      <c r="LF111" s="274"/>
      <c r="LG111" s="274"/>
      <c r="LH111" s="274"/>
      <c r="LI111" s="274"/>
      <c r="LJ111" s="274"/>
      <c r="LK111" s="274"/>
      <c r="LL111" s="274"/>
      <c r="LM111" s="274"/>
      <c r="LN111" s="274"/>
      <c r="LO111" s="274"/>
      <c r="LP111" s="274"/>
      <c r="LQ111" s="274"/>
      <c r="LR111" s="274"/>
      <c r="LS111" s="274"/>
      <c r="LT111" s="274"/>
      <c r="LU111" s="274"/>
      <c r="LV111" s="274"/>
      <c r="LW111" s="274"/>
      <c r="LX111" s="274"/>
      <c r="LY111" s="274"/>
      <c r="LZ111" s="274"/>
      <c r="MA111" s="274"/>
      <c r="MB111" s="274"/>
      <c r="MC111" s="275"/>
      <c r="MD111" s="273"/>
      <c r="ME111" s="274"/>
      <c r="MF111" s="274"/>
      <c r="MG111" s="274"/>
      <c r="MH111" s="275"/>
      <c r="MM111" s="273"/>
      <c r="MN111" s="274"/>
      <c r="MO111" s="274"/>
      <c r="MP111" s="274"/>
      <c r="MQ111" s="274"/>
      <c r="MR111" s="274"/>
      <c r="MS111" s="274"/>
      <c r="MT111" s="274"/>
      <c r="MU111" s="274"/>
      <c r="MV111" s="274"/>
      <c r="MW111" s="274"/>
      <c r="MX111" s="274"/>
      <c r="MY111" s="274"/>
      <c r="MZ111" s="274"/>
      <c r="NA111" s="274"/>
      <c r="NB111" s="274"/>
      <c r="NC111" s="274"/>
      <c r="ND111" s="274"/>
      <c r="NE111" s="274"/>
      <c r="NF111" s="274"/>
      <c r="NG111" s="274"/>
      <c r="NH111" s="274"/>
      <c r="NI111" s="274"/>
      <c r="NJ111" s="274"/>
      <c r="NK111" s="274"/>
      <c r="NL111" s="274"/>
      <c r="NM111" s="274"/>
      <c r="NN111" s="274"/>
      <c r="NO111" s="274"/>
      <c r="NP111" s="274"/>
      <c r="NQ111" s="274"/>
      <c r="NR111" s="274"/>
      <c r="NS111" s="274"/>
      <c r="NT111" s="274"/>
      <c r="NU111" s="274"/>
      <c r="NV111" s="274"/>
      <c r="NW111" s="274"/>
      <c r="NX111" s="274"/>
      <c r="NY111" s="274"/>
      <c r="NZ111" s="275"/>
      <c r="OA111" s="273"/>
      <c r="OB111" s="274"/>
      <c r="OC111" s="274"/>
      <c r="OD111" s="274"/>
      <c r="OE111" s="275"/>
      <c r="QQ111" s="152"/>
      <c r="QR111" s="153"/>
    </row>
    <row r="112" spans="3:465" ht="5.0999999999999996" customHeight="1" x14ac:dyDescent="0.3">
      <c r="C112" s="149"/>
      <c r="D112" s="150"/>
      <c r="G112" s="317"/>
      <c r="H112" s="318"/>
      <c r="I112" s="318"/>
      <c r="J112" s="318"/>
      <c r="K112" s="318"/>
      <c r="L112" s="318"/>
      <c r="M112" s="318"/>
      <c r="N112" s="318"/>
      <c r="O112" s="318"/>
      <c r="P112" s="318"/>
      <c r="Q112" s="318"/>
      <c r="R112" s="318"/>
      <c r="S112" s="318"/>
      <c r="T112" s="318"/>
      <c r="U112" s="318"/>
      <c r="V112" s="318"/>
      <c r="W112" s="318"/>
      <c r="X112" s="318"/>
      <c r="Y112" s="318"/>
      <c r="Z112" s="318"/>
      <c r="AA112" s="318"/>
      <c r="AB112" s="318"/>
      <c r="AC112" s="318"/>
      <c r="AD112" s="318"/>
      <c r="AE112" s="318"/>
      <c r="AF112" s="318"/>
      <c r="AG112" s="318"/>
      <c r="AH112" s="318"/>
      <c r="AI112" s="318"/>
      <c r="AJ112" s="318"/>
      <c r="AK112" s="318"/>
      <c r="AL112" s="318"/>
      <c r="AM112" s="318"/>
      <c r="AN112" s="318"/>
      <c r="AO112" s="318"/>
      <c r="AP112" s="318"/>
      <c r="AQ112" s="318"/>
      <c r="AR112" s="318"/>
      <c r="AS112" s="318"/>
      <c r="AT112" s="318"/>
      <c r="AU112" s="319"/>
      <c r="AV112" s="317"/>
      <c r="AW112" s="318"/>
      <c r="AX112" s="318"/>
      <c r="AY112" s="318"/>
      <c r="AZ112" s="319"/>
      <c r="BC112" s="317"/>
      <c r="BD112" s="318"/>
      <c r="BE112" s="318"/>
      <c r="BF112" s="318"/>
      <c r="BG112" s="318"/>
      <c r="BH112" s="318"/>
      <c r="BI112" s="318"/>
      <c r="BJ112" s="318"/>
      <c r="BK112" s="318"/>
      <c r="BL112" s="318"/>
      <c r="BM112" s="318"/>
      <c r="BN112" s="318"/>
      <c r="BO112" s="318"/>
      <c r="BP112" s="318"/>
      <c r="BQ112" s="318"/>
      <c r="BR112" s="318"/>
      <c r="BS112" s="318"/>
      <c r="BT112" s="318"/>
      <c r="BU112" s="318"/>
      <c r="BV112" s="318"/>
      <c r="BW112" s="318"/>
      <c r="BX112" s="318"/>
      <c r="BY112" s="318"/>
      <c r="BZ112" s="318"/>
      <c r="CA112" s="318"/>
      <c r="CB112" s="318"/>
      <c r="CC112" s="318"/>
      <c r="CD112" s="318"/>
      <c r="CE112" s="318"/>
      <c r="CF112" s="318"/>
      <c r="CG112" s="318"/>
      <c r="CH112" s="318"/>
      <c r="CI112" s="318"/>
      <c r="CJ112" s="318"/>
      <c r="CK112" s="318"/>
      <c r="CL112" s="318"/>
      <c r="CM112" s="318"/>
      <c r="CN112" s="318"/>
      <c r="CO112" s="318"/>
      <c r="CP112" s="318"/>
      <c r="CQ112" s="319"/>
      <c r="CR112" s="317"/>
      <c r="CS112" s="318"/>
      <c r="CT112" s="318"/>
      <c r="CU112" s="318"/>
      <c r="CV112" s="319"/>
      <c r="CY112" s="317"/>
      <c r="CZ112" s="318"/>
      <c r="DA112" s="318"/>
      <c r="DB112" s="318"/>
      <c r="DC112" s="318"/>
      <c r="DD112" s="318"/>
      <c r="DE112" s="318"/>
      <c r="DF112" s="318"/>
      <c r="DG112" s="318"/>
      <c r="DH112" s="318"/>
      <c r="DI112" s="318"/>
      <c r="DJ112" s="318"/>
      <c r="DK112" s="318"/>
      <c r="DL112" s="318"/>
      <c r="DM112" s="318"/>
      <c r="DN112" s="318"/>
      <c r="DO112" s="318"/>
      <c r="DP112" s="318"/>
      <c r="DQ112" s="318"/>
      <c r="DR112" s="318"/>
      <c r="DS112" s="318"/>
      <c r="DT112" s="318"/>
      <c r="DU112" s="318"/>
      <c r="DV112" s="318"/>
      <c r="DW112" s="318"/>
      <c r="DX112" s="318"/>
      <c r="DY112" s="318"/>
      <c r="DZ112" s="318"/>
      <c r="EA112" s="318"/>
      <c r="EB112" s="318"/>
      <c r="EC112" s="318"/>
      <c r="ED112" s="318"/>
      <c r="EE112" s="318"/>
      <c r="EF112" s="318"/>
      <c r="EG112" s="318"/>
      <c r="EH112" s="318"/>
      <c r="EI112" s="318"/>
      <c r="EJ112" s="318"/>
      <c r="EK112" s="318"/>
      <c r="EL112" s="318"/>
      <c r="EM112" s="319"/>
      <c r="EN112" s="317"/>
      <c r="EO112" s="318"/>
      <c r="EP112" s="318"/>
      <c r="EQ112" s="318"/>
      <c r="ER112" s="319"/>
      <c r="EU112" s="317"/>
      <c r="EV112" s="318"/>
      <c r="EW112" s="318"/>
      <c r="EX112" s="318"/>
      <c r="EY112" s="318"/>
      <c r="EZ112" s="318"/>
      <c r="FA112" s="318"/>
      <c r="FB112" s="318"/>
      <c r="FC112" s="318"/>
      <c r="FD112" s="318"/>
      <c r="FE112" s="318"/>
      <c r="FF112" s="318"/>
      <c r="FG112" s="318"/>
      <c r="FH112" s="318"/>
      <c r="FI112" s="318"/>
      <c r="FJ112" s="318"/>
      <c r="FK112" s="318"/>
      <c r="FL112" s="318"/>
      <c r="FM112" s="318"/>
      <c r="FN112" s="318"/>
      <c r="FO112" s="318"/>
      <c r="FP112" s="318"/>
      <c r="FQ112" s="318"/>
      <c r="FR112" s="318"/>
      <c r="FS112" s="318"/>
      <c r="FT112" s="318"/>
      <c r="FU112" s="318"/>
      <c r="FV112" s="318"/>
      <c r="FW112" s="318"/>
      <c r="FX112" s="318"/>
      <c r="FY112" s="318"/>
      <c r="FZ112" s="318"/>
      <c r="GA112" s="318"/>
      <c r="GB112" s="318"/>
      <c r="GC112" s="318"/>
      <c r="GD112" s="318"/>
      <c r="GE112" s="318"/>
      <c r="GF112" s="318"/>
      <c r="GG112" s="318"/>
      <c r="GH112" s="318"/>
      <c r="GI112" s="319"/>
      <c r="GJ112" s="317"/>
      <c r="GK112" s="318"/>
      <c r="GL112" s="318"/>
      <c r="GM112" s="318"/>
      <c r="GN112" s="319"/>
      <c r="GQ112" s="317"/>
      <c r="GR112" s="318"/>
      <c r="GS112" s="318"/>
      <c r="GT112" s="318"/>
      <c r="GU112" s="318"/>
      <c r="GV112" s="318"/>
      <c r="GW112" s="318"/>
      <c r="GX112" s="318"/>
      <c r="GY112" s="318"/>
      <c r="GZ112" s="318"/>
      <c r="HA112" s="318"/>
      <c r="HB112" s="318"/>
      <c r="HC112" s="318"/>
      <c r="HD112" s="318"/>
      <c r="HE112" s="318"/>
      <c r="HF112" s="318"/>
      <c r="HG112" s="318"/>
      <c r="HH112" s="318"/>
      <c r="HI112" s="318"/>
      <c r="HJ112" s="318"/>
      <c r="HK112" s="318"/>
      <c r="HL112" s="318"/>
      <c r="HM112" s="318"/>
      <c r="HN112" s="318"/>
      <c r="HO112" s="318"/>
      <c r="HP112" s="318"/>
      <c r="HQ112" s="318"/>
      <c r="HR112" s="318"/>
      <c r="HS112" s="318"/>
      <c r="HT112" s="318"/>
      <c r="HU112" s="318"/>
      <c r="HV112" s="318"/>
      <c r="HW112" s="318"/>
      <c r="HX112" s="318"/>
      <c r="HY112" s="318"/>
      <c r="HZ112" s="318"/>
      <c r="IA112" s="318"/>
      <c r="IB112" s="318"/>
      <c r="IC112" s="318"/>
      <c r="ID112" s="318"/>
      <c r="IE112" s="319"/>
      <c r="IF112" s="317"/>
      <c r="IG112" s="318"/>
      <c r="IH112" s="318"/>
      <c r="II112" s="318"/>
      <c r="IJ112" s="319"/>
      <c r="IR112" s="273"/>
      <c r="IS112" s="274"/>
      <c r="IT112" s="274"/>
      <c r="IU112" s="274"/>
      <c r="IV112" s="274"/>
      <c r="IW112" s="274"/>
      <c r="IX112" s="274"/>
      <c r="IY112" s="274"/>
      <c r="IZ112" s="274"/>
      <c r="JA112" s="274"/>
      <c r="JB112" s="274"/>
      <c r="JC112" s="274"/>
      <c r="JD112" s="274"/>
      <c r="JE112" s="274"/>
      <c r="JF112" s="274"/>
      <c r="JG112" s="274"/>
      <c r="JH112" s="274"/>
      <c r="JI112" s="274"/>
      <c r="JJ112" s="274"/>
      <c r="JK112" s="274"/>
      <c r="JL112" s="274"/>
      <c r="JM112" s="274"/>
      <c r="JN112" s="274"/>
      <c r="JO112" s="274"/>
      <c r="JP112" s="274"/>
      <c r="JQ112" s="274"/>
      <c r="JR112" s="274"/>
      <c r="JS112" s="274"/>
      <c r="JT112" s="274"/>
      <c r="JU112" s="274"/>
      <c r="JV112" s="274"/>
      <c r="JW112" s="274"/>
      <c r="JX112" s="274"/>
      <c r="JY112" s="274"/>
      <c r="JZ112" s="274"/>
      <c r="KA112" s="274"/>
      <c r="KB112" s="274"/>
      <c r="KC112" s="274"/>
      <c r="KD112" s="274"/>
      <c r="KE112" s="275"/>
      <c r="KF112" s="273"/>
      <c r="KG112" s="274"/>
      <c r="KH112" s="274"/>
      <c r="KI112" s="274"/>
      <c r="KJ112" s="275"/>
      <c r="KP112" s="273"/>
      <c r="KQ112" s="274"/>
      <c r="KR112" s="274"/>
      <c r="KS112" s="274"/>
      <c r="KT112" s="274"/>
      <c r="KU112" s="274"/>
      <c r="KV112" s="274"/>
      <c r="KW112" s="274"/>
      <c r="KX112" s="274"/>
      <c r="KY112" s="274"/>
      <c r="KZ112" s="274"/>
      <c r="LA112" s="274"/>
      <c r="LB112" s="274"/>
      <c r="LC112" s="274"/>
      <c r="LD112" s="274"/>
      <c r="LE112" s="274"/>
      <c r="LF112" s="274"/>
      <c r="LG112" s="274"/>
      <c r="LH112" s="274"/>
      <c r="LI112" s="274"/>
      <c r="LJ112" s="274"/>
      <c r="LK112" s="274"/>
      <c r="LL112" s="274"/>
      <c r="LM112" s="274"/>
      <c r="LN112" s="274"/>
      <c r="LO112" s="274"/>
      <c r="LP112" s="274"/>
      <c r="LQ112" s="274"/>
      <c r="LR112" s="274"/>
      <c r="LS112" s="274"/>
      <c r="LT112" s="274"/>
      <c r="LU112" s="274"/>
      <c r="LV112" s="274"/>
      <c r="LW112" s="274"/>
      <c r="LX112" s="274"/>
      <c r="LY112" s="274"/>
      <c r="LZ112" s="274"/>
      <c r="MA112" s="274"/>
      <c r="MB112" s="274"/>
      <c r="MC112" s="275"/>
      <c r="MD112" s="273"/>
      <c r="ME112" s="274"/>
      <c r="MF112" s="274"/>
      <c r="MG112" s="274"/>
      <c r="MH112" s="275"/>
      <c r="MM112" s="273"/>
      <c r="MN112" s="274"/>
      <c r="MO112" s="274"/>
      <c r="MP112" s="274"/>
      <c r="MQ112" s="274"/>
      <c r="MR112" s="274"/>
      <c r="MS112" s="274"/>
      <c r="MT112" s="274"/>
      <c r="MU112" s="274"/>
      <c r="MV112" s="274"/>
      <c r="MW112" s="274"/>
      <c r="MX112" s="274"/>
      <c r="MY112" s="274"/>
      <c r="MZ112" s="274"/>
      <c r="NA112" s="274"/>
      <c r="NB112" s="274"/>
      <c r="NC112" s="274"/>
      <c r="ND112" s="274"/>
      <c r="NE112" s="274"/>
      <c r="NF112" s="274"/>
      <c r="NG112" s="274"/>
      <c r="NH112" s="274"/>
      <c r="NI112" s="274"/>
      <c r="NJ112" s="274"/>
      <c r="NK112" s="274"/>
      <c r="NL112" s="274"/>
      <c r="NM112" s="274"/>
      <c r="NN112" s="274"/>
      <c r="NO112" s="274"/>
      <c r="NP112" s="274"/>
      <c r="NQ112" s="274"/>
      <c r="NR112" s="274"/>
      <c r="NS112" s="274"/>
      <c r="NT112" s="274"/>
      <c r="NU112" s="274"/>
      <c r="NV112" s="274"/>
      <c r="NW112" s="274"/>
      <c r="NX112" s="274"/>
      <c r="NY112" s="274"/>
      <c r="NZ112" s="275"/>
      <c r="OA112" s="273"/>
      <c r="OB112" s="274"/>
      <c r="OC112" s="274"/>
      <c r="OD112" s="274"/>
      <c r="OE112" s="275"/>
      <c r="QQ112" s="152"/>
      <c r="QR112" s="153"/>
      <c r="QS112" s="176"/>
      <c r="QT112" s="176"/>
      <c r="QU112" s="176"/>
      <c r="QV112" s="176"/>
      <c r="QW112" s="177"/>
    </row>
    <row r="113" spans="3:465" ht="5.0999999999999996" customHeight="1" x14ac:dyDescent="0.3">
      <c r="C113" s="149"/>
      <c r="D113" s="150"/>
      <c r="G113" s="317"/>
      <c r="H113" s="318"/>
      <c r="I113" s="318"/>
      <c r="J113" s="318"/>
      <c r="K113" s="318"/>
      <c r="L113" s="318"/>
      <c r="M113" s="318"/>
      <c r="N113" s="318"/>
      <c r="O113" s="318"/>
      <c r="P113" s="318"/>
      <c r="Q113" s="318"/>
      <c r="R113" s="318"/>
      <c r="S113" s="318"/>
      <c r="T113" s="318"/>
      <c r="U113" s="318"/>
      <c r="V113" s="318"/>
      <c r="W113" s="318"/>
      <c r="X113" s="318"/>
      <c r="Y113" s="318"/>
      <c r="Z113" s="318"/>
      <c r="AA113" s="318"/>
      <c r="AB113" s="318"/>
      <c r="AC113" s="318"/>
      <c r="AD113" s="318"/>
      <c r="AE113" s="318"/>
      <c r="AF113" s="318"/>
      <c r="AG113" s="318"/>
      <c r="AH113" s="318"/>
      <c r="AI113" s="318"/>
      <c r="AJ113" s="318"/>
      <c r="AK113" s="318"/>
      <c r="AL113" s="318"/>
      <c r="AM113" s="318"/>
      <c r="AN113" s="318"/>
      <c r="AO113" s="318"/>
      <c r="AP113" s="318"/>
      <c r="AQ113" s="318"/>
      <c r="AR113" s="318"/>
      <c r="AS113" s="318"/>
      <c r="AT113" s="318"/>
      <c r="AU113" s="319"/>
      <c r="AV113" s="317"/>
      <c r="AW113" s="318"/>
      <c r="AX113" s="318"/>
      <c r="AY113" s="318"/>
      <c r="AZ113" s="319"/>
      <c r="BC113" s="317"/>
      <c r="BD113" s="318"/>
      <c r="BE113" s="318"/>
      <c r="BF113" s="318"/>
      <c r="BG113" s="318"/>
      <c r="BH113" s="318"/>
      <c r="BI113" s="318"/>
      <c r="BJ113" s="318"/>
      <c r="BK113" s="318"/>
      <c r="BL113" s="318"/>
      <c r="BM113" s="318"/>
      <c r="BN113" s="318"/>
      <c r="BO113" s="318"/>
      <c r="BP113" s="318"/>
      <c r="BQ113" s="318"/>
      <c r="BR113" s="318"/>
      <c r="BS113" s="318"/>
      <c r="BT113" s="318"/>
      <c r="BU113" s="318"/>
      <c r="BV113" s="318"/>
      <c r="BW113" s="318"/>
      <c r="BX113" s="318"/>
      <c r="BY113" s="318"/>
      <c r="BZ113" s="318"/>
      <c r="CA113" s="318"/>
      <c r="CB113" s="318"/>
      <c r="CC113" s="318"/>
      <c r="CD113" s="318"/>
      <c r="CE113" s="318"/>
      <c r="CF113" s="318"/>
      <c r="CG113" s="318"/>
      <c r="CH113" s="318"/>
      <c r="CI113" s="318"/>
      <c r="CJ113" s="318"/>
      <c r="CK113" s="318"/>
      <c r="CL113" s="318"/>
      <c r="CM113" s="318"/>
      <c r="CN113" s="318"/>
      <c r="CO113" s="318"/>
      <c r="CP113" s="318"/>
      <c r="CQ113" s="319"/>
      <c r="CR113" s="317"/>
      <c r="CS113" s="318"/>
      <c r="CT113" s="318"/>
      <c r="CU113" s="318"/>
      <c r="CV113" s="319"/>
      <c r="CY113" s="317"/>
      <c r="CZ113" s="318"/>
      <c r="DA113" s="318"/>
      <c r="DB113" s="318"/>
      <c r="DC113" s="318"/>
      <c r="DD113" s="318"/>
      <c r="DE113" s="318"/>
      <c r="DF113" s="318"/>
      <c r="DG113" s="318"/>
      <c r="DH113" s="318"/>
      <c r="DI113" s="318"/>
      <c r="DJ113" s="318"/>
      <c r="DK113" s="318"/>
      <c r="DL113" s="318"/>
      <c r="DM113" s="318"/>
      <c r="DN113" s="318"/>
      <c r="DO113" s="318"/>
      <c r="DP113" s="318"/>
      <c r="DQ113" s="318"/>
      <c r="DR113" s="318"/>
      <c r="DS113" s="318"/>
      <c r="DT113" s="318"/>
      <c r="DU113" s="318"/>
      <c r="DV113" s="318"/>
      <c r="DW113" s="318"/>
      <c r="DX113" s="318"/>
      <c r="DY113" s="318"/>
      <c r="DZ113" s="318"/>
      <c r="EA113" s="318"/>
      <c r="EB113" s="318"/>
      <c r="EC113" s="318"/>
      <c r="ED113" s="318"/>
      <c r="EE113" s="318"/>
      <c r="EF113" s="318"/>
      <c r="EG113" s="318"/>
      <c r="EH113" s="318"/>
      <c r="EI113" s="318"/>
      <c r="EJ113" s="318"/>
      <c r="EK113" s="318"/>
      <c r="EL113" s="318"/>
      <c r="EM113" s="319"/>
      <c r="EN113" s="317"/>
      <c r="EO113" s="318"/>
      <c r="EP113" s="318"/>
      <c r="EQ113" s="318"/>
      <c r="ER113" s="319"/>
      <c r="EU113" s="317"/>
      <c r="EV113" s="318"/>
      <c r="EW113" s="318"/>
      <c r="EX113" s="318"/>
      <c r="EY113" s="318"/>
      <c r="EZ113" s="318"/>
      <c r="FA113" s="318"/>
      <c r="FB113" s="318"/>
      <c r="FC113" s="318"/>
      <c r="FD113" s="318"/>
      <c r="FE113" s="318"/>
      <c r="FF113" s="318"/>
      <c r="FG113" s="318"/>
      <c r="FH113" s="318"/>
      <c r="FI113" s="318"/>
      <c r="FJ113" s="318"/>
      <c r="FK113" s="318"/>
      <c r="FL113" s="318"/>
      <c r="FM113" s="318"/>
      <c r="FN113" s="318"/>
      <c r="FO113" s="318"/>
      <c r="FP113" s="318"/>
      <c r="FQ113" s="318"/>
      <c r="FR113" s="318"/>
      <c r="FS113" s="318"/>
      <c r="FT113" s="318"/>
      <c r="FU113" s="318"/>
      <c r="FV113" s="318"/>
      <c r="FW113" s="318"/>
      <c r="FX113" s="318"/>
      <c r="FY113" s="318"/>
      <c r="FZ113" s="318"/>
      <c r="GA113" s="318"/>
      <c r="GB113" s="318"/>
      <c r="GC113" s="318"/>
      <c r="GD113" s="318"/>
      <c r="GE113" s="318"/>
      <c r="GF113" s="318"/>
      <c r="GG113" s="318"/>
      <c r="GH113" s="318"/>
      <c r="GI113" s="319"/>
      <c r="GJ113" s="317"/>
      <c r="GK113" s="318"/>
      <c r="GL113" s="318"/>
      <c r="GM113" s="318"/>
      <c r="GN113" s="319"/>
      <c r="GQ113" s="317"/>
      <c r="GR113" s="318"/>
      <c r="GS113" s="318"/>
      <c r="GT113" s="318"/>
      <c r="GU113" s="318"/>
      <c r="GV113" s="318"/>
      <c r="GW113" s="318"/>
      <c r="GX113" s="318"/>
      <c r="GY113" s="318"/>
      <c r="GZ113" s="318"/>
      <c r="HA113" s="318"/>
      <c r="HB113" s="318"/>
      <c r="HC113" s="318"/>
      <c r="HD113" s="318"/>
      <c r="HE113" s="318"/>
      <c r="HF113" s="318"/>
      <c r="HG113" s="318"/>
      <c r="HH113" s="318"/>
      <c r="HI113" s="318"/>
      <c r="HJ113" s="318"/>
      <c r="HK113" s="318"/>
      <c r="HL113" s="318"/>
      <c r="HM113" s="318"/>
      <c r="HN113" s="318"/>
      <c r="HO113" s="318"/>
      <c r="HP113" s="318"/>
      <c r="HQ113" s="318"/>
      <c r="HR113" s="318"/>
      <c r="HS113" s="318"/>
      <c r="HT113" s="318"/>
      <c r="HU113" s="318"/>
      <c r="HV113" s="318"/>
      <c r="HW113" s="318"/>
      <c r="HX113" s="318"/>
      <c r="HY113" s="318"/>
      <c r="HZ113" s="318"/>
      <c r="IA113" s="318"/>
      <c r="IB113" s="318"/>
      <c r="IC113" s="318"/>
      <c r="ID113" s="318"/>
      <c r="IE113" s="319"/>
      <c r="IF113" s="317"/>
      <c r="IG113" s="318"/>
      <c r="IH113" s="318"/>
      <c r="II113" s="318"/>
      <c r="IJ113" s="319"/>
      <c r="IR113" s="273"/>
      <c r="IS113" s="274"/>
      <c r="IT113" s="274"/>
      <c r="IU113" s="274"/>
      <c r="IV113" s="274"/>
      <c r="IW113" s="274"/>
      <c r="IX113" s="274"/>
      <c r="IY113" s="274"/>
      <c r="IZ113" s="274"/>
      <c r="JA113" s="274"/>
      <c r="JB113" s="274"/>
      <c r="JC113" s="274"/>
      <c r="JD113" s="274"/>
      <c r="JE113" s="274"/>
      <c r="JF113" s="274"/>
      <c r="JG113" s="274"/>
      <c r="JH113" s="274"/>
      <c r="JI113" s="274"/>
      <c r="JJ113" s="274"/>
      <c r="JK113" s="274"/>
      <c r="JL113" s="274"/>
      <c r="JM113" s="274"/>
      <c r="JN113" s="274"/>
      <c r="JO113" s="274"/>
      <c r="JP113" s="274"/>
      <c r="JQ113" s="274"/>
      <c r="JR113" s="274"/>
      <c r="JS113" s="274"/>
      <c r="JT113" s="274"/>
      <c r="JU113" s="274"/>
      <c r="JV113" s="274"/>
      <c r="JW113" s="274"/>
      <c r="JX113" s="274"/>
      <c r="JY113" s="274"/>
      <c r="JZ113" s="274"/>
      <c r="KA113" s="274"/>
      <c r="KB113" s="274"/>
      <c r="KC113" s="274"/>
      <c r="KD113" s="274"/>
      <c r="KE113" s="275"/>
      <c r="KF113" s="273"/>
      <c r="KG113" s="274"/>
      <c r="KH113" s="274"/>
      <c r="KI113" s="274"/>
      <c r="KJ113" s="275"/>
      <c r="KP113" s="273"/>
      <c r="KQ113" s="274"/>
      <c r="KR113" s="274"/>
      <c r="KS113" s="274"/>
      <c r="KT113" s="274"/>
      <c r="KU113" s="274"/>
      <c r="KV113" s="274"/>
      <c r="KW113" s="274"/>
      <c r="KX113" s="274"/>
      <c r="KY113" s="274"/>
      <c r="KZ113" s="274"/>
      <c r="LA113" s="274"/>
      <c r="LB113" s="274"/>
      <c r="LC113" s="274"/>
      <c r="LD113" s="274"/>
      <c r="LE113" s="274"/>
      <c r="LF113" s="274"/>
      <c r="LG113" s="274"/>
      <c r="LH113" s="274"/>
      <c r="LI113" s="274"/>
      <c r="LJ113" s="274"/>
      <c r="LK113" s="274"/>
      <c r="LL113" s="274"/>
      <c r="LM113" s="274"/>
      <c r="LN113" s="274"/>
      <c r="LO113" s="274"/>
      <c r="LP113" s="274"/>
      <c r="LQ113" s="274"/>
      <c r="LR113" s="274"/>
      <c r="LS113" s="274"/>
      <c r="LT113" s="274"/>
      <c r="LU113" s="274"/>
      <c r="LV113" s="274"/>
      <c r="LW113" s="274"/>
      <c r="LX113" s="274"/>
      <c r="LY113" s="274"/>
      <c r="LZ113" s="274"/>
      <c r="MA113" s="274"/>
      <c r="MB113" s="274"/>
      <c r="MC113" s="275"/>
      <c r="MD113" s="273"/>
      <c r="ME113" s="274"/>
      <c r="MF113" s="274"/>
      <c r="MG113" s="274"/>
      <c r="MH113" s="275"/>
      <c r="MM113" s="273"/>
      <c r="MN113" s="274"/>
      <c r="MO113" s="274"/>
      <c r="MP113" s="274"/>
      <c r="MQ113" s="274"/>
      <c r="MR113" s="274"/>
      <c r="MS113" s="274"/>
      <c r="MT113" s="274"/>
      <c r="MU113" s="274"/>
      <c r="MV113" s="274"/>
      <c r="MW113" s="274"/>
      <c r="MX113" s="274"/>
      <c r="MY113" s="274"/>
      <c r="MZ113" s="274"/>
      <c r="NA113" s="274"/>
      <c r="NB113" s="274"/>
      <c r="NC113" s="274"/>
      <c r="ND113" s="274"/>
      <c r="NE113" s="274"/>
      <c r="NF113" s="274"/>
      <c r="NG113" s="274"/>
      <c r="NH113" s="274"/>
      <c r="NI113" s="274"/>
      <c r="NJ113" s="274"/>
      <c r="NK113" s="274"/>
      <c r="NL113" s="274"/>
      <c r="NM113" s="274"/>
      <c r="NN113" s="274"/>
      <c r="NO113" s="274"/>
      <c r="NP113" s="274"/>
      <c r="NQ113" s="274"/>
      <c r="NR113" s="274"/>
      <c r="NS113" s="274"/>
      <c r="NT113" s="274"/>
      <c r="NU113" s="274"/>
      <c r="NV113" s="274"/>
      <c r="NW113" s="274"/>
      <c r="NX113" s="274"/>
      <c r="NY113" s="274"/>
      <c r="NZ113" s="275"/>
      <c r="OA113" s="273"/>
      <c r="OB113" s="274"/>
      <c r="OC113" s="274"/>
      <c r="OD113" s="274"/>
      <c r="OE113" s="275"/>
      <c r="QQ113" s="152"/>
      <c r="QR113" s="153"/>
      <c r="QS113" s="176"/>
      <c r="QT113" s="176"/>
      <c r="QU113" s="176"/>
      <c r="QV113" s="176"/>
      <c r="QW113" s="177"/>
    </row>
    <row r="114" spans="3:465" ht="5.0999999999999996" customHeight="1" x14ac:dyDescent="0.3">
      <c r="C114" s="149"/>
      <c r="D114" s="150"/>
      <c r="G114" s="317"/>
      <c r="H114" s="318"/>
      <c r="I114" s="318"/>
      <c r="J114" s="318"/>
      <c r="K114" s="318"/>
      <c r="L114" s="318"/>
      <c r="M114" s="318"/>
      <c r="N114" s="318"/>
      <c r="O114" s="318"/>
      <c r="P114" s="318"/>
      <c r="Q114" s="318"/>
      <c r="R114" s="318"/>
      <c r="S114" s="318"/>
      <c r="T114" s="318"/>
      <c r="U114" s="318"/>
      <c r="V114" s="318"/>
      <c r="W114" s="318"/>
      <c r="X114" s="318"/>
      <c r="Y114" s="318"/>
      <c r="Z114" s="318"/>
      <c r="AA114" s="318"/>
      <c r="AB114" s="318"/>
      <c r="AC114" s="318"/>
      <c r="AD114" s="318"/>
      <c r="AE114" s="318"/>
      <c r="AF114" s="318"/>
      <c r="AG114" s="318"/>
      <c r="AH114" s="318"/>
      <c r="AI114" s="318"/>
      <c r="AJ114" s="318"/>
      <c r="AK114" s="318"/>
      <c r="AL114" s="318"/>
      <c r="AM114" s="318"/>
      <c r="AN114" s="318"/>
      <c r="AO114" s="318"/>
      <c r="AP114" s="318"/>
      <c r="AQ114" s="318"/>
      <c r="AR114" s="318"/>
      <c r="AS114" s="318"/>
      <c r="AT114" s="318"/>
      <c r="AU114" s="319"/>
      <c r="AV114" s="317"/>
      <c r="AW114" s="318"/>
      <c r="AX114" s="318"/>
      <c r="AY114" s="318"/>
      <c r="AZ114" s="319"/>
      <c r="BC114" s="317"/>
      <c r="BD114" s="318"/>
      <c r="BE114" s="318"/>
      <c r="BF114" s="318"/>
      <c r="BG114" s="318"/>
      <c r="BH114" s="318"/>
      <c r="BI114" s="318"/>
      <c r="BJ114" s="318"/>
      <c r="BK114" s="318"/>
      <c r="BL114" s="318"/>
      <c r="BM114" s="318"/>
      <c r="BN114" s="318"/>
      <c r="BO114" s="318"/>
      <c r="BP114" s="318"/>
      <c r="BQ114" s="318"/>
      <c r="BR114" s="318"/>
      <c r="BS114" s="318"/>
      <c r="BT114" s="318"/>
      <c r="BU114" s="318"/>
      <c r="BV114" s="318"/>
      <c r="BW114" s="318"/>
      <c r="BX114" s="318"/>
      <c r="BY114" s="318"/>
      <c r="BZ114" s="318"/>
      <c r="CA114" s="318"/>
      <c r="CB114" s="318"/>
      <c r="CC114" s="318"/>
      <c r="CD114" s="318"/>
      <c r="CE114" s="318"/>
      <c r="CF114" s="318"/>
      <c r="CG114" s="318"/>
      <c r="CH114" s="318"/>
      <c r="CI114" s="318"/>
      <c r="CJ114" s="318"/>
      <c r="CK114" s="318"/>
      <c r="CL114" s="318"/>
      <c r="CM114" s="318"/>
      <c r="CN114" s="318"/>
      <c r="CO114" s="318"/>
      <c r="CP114" s="318"/>
      <c r="CQ114" s="319"/>
      <c r="CR114" s="317"/>
      <c r="CS114" s="318"/>
      <c r="CT114" s="318"/>
      <c r="CU114" s="318"/>
      <c r="CV114" s="319"/>
      <c r="CY114" s="317"/>
      <c r="CZ114" s="318"/>
      <c r="DA114" s="318"/>
      <c r="DB114" s="318"/>
      <c r="DC114" s="318"/>
      <c r="DD114" s="318"/>
      <c r="DE114" s="318"/>
      <c r="DF114" s="318"/>
      <c r="DG114" s="318"/>
      <c r="DH114" s="318"/>
      <c r="DI114" s="318"/>
      <c r="DJ114" s="318"/>
      <c r="DK114" s="318"/>
      <c r="DL114" s="318"/>
      <c r="DM114" s="318"/>
      <c r="DN114" s="318"/>
      <c r="DO114" s="318"/>
      <c r="DP114" s="318"/>
      <c r="DQ114" s="318"/>
      <c r="DR114" s="318"/>
      <c r="DS114" s="318"/>
      <c r="DT114" s="318"/>
      <c r="DU114" s="318"/>
      <c r="DV114" s="318"/>
      <c r="DW114" s="318"/>
      <c r="DX114" s="318"/>
      <c r="DY114" s="318"/>
      <c r="DZ114" s="318"/>
      <c r="EA114" s="318"/>
      <c r="EB114" s="318"/>
      <c r="EC114" s="318"/>
      <c r="ED114" s="318"/>
      <c r="EE114" s="318"/>
      <c r="EF114" s="318"/>
      <c r="EG114" s="318"/>
      <c r="EH114" s="318"/>
      <c r="EI114" s="318"/>
      <c r="EJ114" s="318"/>
      <c r="EK114" s="318"/>
      <c r="EL114" s="318"/>
      <c r="EM114" s="319"/>
      <c r="EN114" s="317"/>
      <c r="EO114" s="318"/>
      <c r="EP114" s="318"/>
      <c r="EQ114" s="318"/>
      <c r="ER114" s="319"/>
      <c r="EU114" s="317"/>
      <c r="EV114" s="318"/>
      <c r="EW114" s="318"/>
      <c r="EX114" s="318"/>
      <c r="EY114" s="318"/>
      <c r="EZ114" s="318"/>
      <c r="FA114" s="318"/>
      <c r="FB114" s="318"/>
      <c r="FC114" s="318"/>
      <c r="FD114" s="318"/>
      <c r="FE114" s="318"/>
      <c r="FF114" s="318"/>
      <c r="FG114" s="318"/>
      <c r="FH114" s="318"/>
      <c r="FI114" s="318"/>
      <c r="FJ114" s="318"/>
      <c r="FK114" s="318"/>
      <c r="FL114" s="318"/>
      <c r="FM114" s="318"/>
      <c r="FN114" s="318"/>
      <c r="FO114" s="318"/>
      <c r="FP114" s="318"/>
      <c r="FQ114" s="318"/>
      <c r="FR114" s="318"/>
      <c r="FS114" s="318"/>
      <c r="FT114" s="318"/>
      <c r="FU114" s="318"/>
      <c r="FV114" s="318"/>
      <c r="FW114" s="318"/>
      <c r="FX114" s="318"/>
      <c r="FY114" s="318"/>
      <c r="FZ114" s="318"/>
      <c r="GA114" s="318"/>
      <c r="GB114" s="318"/>
      <c r="GC114" s="318"/>
      <c r="GD114" s="318"/>
      <c r="GE114" s="318"/>
      <c r="GF114" s="318"/>
      <c r="GG114" s="318"/>
      <c r="GH114" s="318"/>
      <c r="GI114" s="319"/>
      <c r="GJ114" s="317"/>
      <c r="GK114" s="318"/>
      <c r="GL114" s="318"/>
      <c r="GM114" s="318"/>
      <c r="GN114" s="319"/>
      <c r="GQ114" s="317"/>
      <c r="GR114" s="318"/>
      <c r="GS114" s="318"/>
      <c r="GT114" s="318"/>
      <c r="GU114" s="318"/>
      <c r="GV114" s="318"/>
      <c r="GW114" s="318"/>
      <c r="GX114" s="318"/>
      <c r="GY114" s="318"/>
      <c r="GZ114" s="318"/>
      <c r="HA114" s="318"/>
      <c r="HB114" s="318"/>
      <c r="HC114" s="318"/>
      <c r="HD114" s="318"/>
      <c r="HE114" s="318"/>
      <c r="HF114" s="318"/>
      <c r="HG114" s="318"/>
      <c r="HH114" s="318"/>
      <c r="HI114" s="318"/>
      <c r="HJ114" s="318"/>
      <c r="HK114" s="318"/>
      <c r="HL114" s="318"/>
      <c r="HM114" s="318"/>
      <c r="HN114" s="318"/>
      <c r="HO114" s="318"/>
      <c r="HP114" s="318"/>
      <c r="HQ114" s="318"/>
      <c r="HR114" s="318"/>
      <c r="HS114" s="318"/>
      <c r="HT114" s="318"/>
      <c r="HU114" s="318"/>
      <c r="HV114" s="318"/>
      <c r="HW114" s="318"/>
      <c r="HX114" s="318"/>
      <c r="HY114" s="318"/>
      <c r="HZ114" s="318"/>
      <c r="IA114" s="318"/>
      <c r="IB114" s="318"/>
      <c r="IC114" s="318"/>
      <c r="ID114" s="318"/>
      <c r="IE114" s="319"/>
      <c r="IF114" s="317"/>
      <c r="IG114" s="318"/>
      <c r="IH114" s="318"/>
      <c r="II114" s="318"/>
      <c r="IJ114" s="319"/>
      <c r="IR114" s="273"/>
      <c r="IS114" s="274"/>
      <c r="IT114" s="274"/>
      <c r="IU114" s="274"/>
      <c r="IV114" s="274"/>
      <c r="IW114" s="274"/>
      <c r="IX114" s="274"/>
      <c r="IY114" s="274"/>
      <c r="IZ114" s="274"/>
      <c r="JA114" s="274"/>
      <c r="JB114" s="274"/>
      <c r="JC114" s="274"/>
      <c r="JD114" s="274"/>
      <c r="JE114" s="274"/>
      <c r="JF114" s="274"/>
      <c r="JG114" s="274"/>
      <c r="JH114" s="274"/>
      <c r="JI114" s="274"/>
      <c r="JJ114" s="274"/>
      <c r="JK114" s="274"/>
      <c r="JL114" s="274"/>
      <c r="JM114" s="274"/>
      <c r="JN114" s="274"/>
      <c r="JO114" s="274"/>
      <c r="JP114" s="274"/>
      <c r="JQ114" s="274"/>
      <c r="JR114" s="274"/>
      <c r="JS114" s="274"/>
      <c r="JT114" s="274"/>
      <c r="JU114" s="274"/>
      <c r="JV114" s="274"/>
      <c r="JW114" s="274"/>
      <c r="JX114" s="274"/>
      <c r="JY114" s="274"/>
      <c r="JZ114" s="274"/>
      <c r="KA114" s="274"/>
      <c r="KB114" s="274"/>
      <c r="KC114" s="274"/>
      <c r="KD114" s="274"/>
      <c r="KE114" s="275"/>
      <c r="KF114" s="273"/>
      <c r="KG114" s="274"/>
      <c r="KH114" s="274"/>
      <c r="KI114" s="274"/>
      <c r="KJ114" s="275"/>
      <c r="KP114" s="276"/>
      <c r="KQ114" s="277"/>
      <c r="KR114" s="277"/>
      <c r="KS114" s="277"/>
      <c r="KT114" s="277"/>
      <c r="KU114" s="277"/>
      <c r="KV114" s="277"/>
      <c r="KW114" s="277"/>
      <c r="KX114" s="277"/>
      <c r="KY114" s="277"/>
      <c r="KZ114" s="277"/>
      <c r="LA114" s="277"/>
      <c r="LB114" s="277"/>
      <c r="LC114" s="277"/>
      <c r="LD114" s="277"/>
      <c r="LE114" s="277"/>
      <c r="LF114" s="277"/>
      <c r="LG114" s="277"/>
      <c r="LH114" s="277"/>
      <c r="LI114" s="277"/>
      <c r="LJ114" s="277"/>
      <c r="LK114" s="277"/>
      <c r="LL114" s="277"/>
      <c r="LM114" s="277"/>
      <c r="LN114" s="277"/>
      <c r="LO114" s="277"/>
      <c r="LP114" s="277"/>
      <c r="LQ114" s="277"/>
      <c r="LR114" s="277"/>
      <c r="LS114" s="277"/>
      <c r="LT114" s="277"/>
      <c r="LU114" s="277"/>
      <c r="LV114" s="277"/>
      <c r="LW114" s="277"/>
      <c r="LX114" s="277"/>
      <c r="LY114" s="277"/>
      <c r="LZ114" s="277"/>
      <c r="MA114" s="277"/>
      <c r="MB114" s="277"/>
      <c r="MC114" s="278"/>
      <c r="MD114" s="276"/>
      <c r="ME114" s="277"/>
      <c r="MF114" s="277"/>
      <c r="MG114" s="277"/>
      <c r="MH114" s="278"/>
      <c r="MM114" s="276"/>
      <c r="MN114" s="277"/>
      <c r="MO114" s="277"/>
      <c r="MP114" s="277"/>
      <c r="MQ114" s="277"/>
      <c r="MR114" s="277"/>
      <c r="MS114" s="277"/>
      <c r="MT114" s="277"/>
      <c r="MU114" s="277"/>
      <c r="MV114" s="277"/>
      <c r="MW114" s="277"/>
      <c r="MX114" s="277"/>
      <c r="MY114" s="277"/>
      <c r="MZ114" s="277"/>
      <c r="NA114" s="277"/>
      <c r="NB114" s="277"/>
      <c r="NC114" s="277"/>
      <c r="ND114" s="277"/>
      <c r="NE114" s="277"/>
      <c r="NF114" s="277"/>
      <c r="NG114" s="277"/>
      <c r="NH114" s="277"/>
      <c r="NI114" s="277"/>
      <c r="NJ114" s="277"/>
      <c r="NK114" s="277"/>
      <c r="NL114" s="277"/>
      <c r="NM114" s="277"/>
      <c r="NN114" s="277"/>
      <c r="NO114" s="277"/>
      <c r="NP114" s="277"/>
      <c r="NQ114" s="277"/>
      <c r="NR114" s="277"/>
      <c r="NS114" s="277"/>
      <c r="NT114" s="277"/>
      <c r="NU114" s="277"/>
      <c r="NV114" s="277"/>
      <c r="NW114" s="277"/>
      <c r="NX114" s="277"/>
      <c r="NY114" s="277"/>
      <c r="NZ114" s="278"/>
      <c r="OA114" s="276"/>
      <c r="OB114" s="277"/>
      <c r="OC114" s="277"/>
      <c r="OD114" s="277"/>
      <c r="OE114" s="278"/>
      <c r="QQ114" s="152"/>
      <c r="QR114" s="153"/>
      <c r="QS114" s="176"/>
      <c r="QT114" s="176"/>
      <c r="QU114" s="176"/>
      <c r="QV114" s="176"/>
      <c r="QW114" s="177"/>
    </row>
    <row r="115" spans="3:465" ht="5.0999999999999996" customHeight="1" x14ac:dyDescent="0.3">
      <c r="C115" s="149"/>
      <c r="D115" s="150"/>
      <c r="G115" s="317"/>
      <c r="H115" s="318"/>
      <c r="I115" s="318"/>
      <c r="J115" s="318"/>
      <c r="K115" s="318"/>
      <c r="L115" s="318"/>
      <c r="M115" s="318"/>
      <c r="N115" s="318"/>
      <c r="O115" s="318"/>
      <c r="P115" s="318"/>
      <c r="Q115" s="318"/>
      <c r="R115" s="318"/>
      <c r="S115" s="318"/>
      <c r="T115" s="318"/>
      <c r="U115" s="318"/>
      <c r="V115" s="318"/>
      <c r="W115" s="318"/>
      <c r="X115" s="318"/>
      <c r="Y115" s="318"/>
      <c r="Z115" s="318"/>
      <c r="AA115" s="318"/>
      <c r="AB115" s="318"/>
      <c r="AC115" s="318"/>
      <c r="AD115" s="318"/>
      <c r="AE115" s="318"/>
      <c r="AF115" s="318"/>
      <c r="AG115" s="318"/>
      <c r="AH115" s="318"/>
      <c r="AI115" s="318"/>
      <c r="AJ115" s="318"/>
      <c r="AK115" s="318"/>
      <c r="AL115" s="318"/>
      <c r="AM115" s="318"/>
      <c r="AN115" s="318"/>
      <c r="AO115" s="318"/>
      <c r="AP115" s="318"/>
      <c r="AQ115" s="318"/>
      <c r="AR115" s="318"/>
      <c r="AS115" s="318"/>
      <c r="AT115" s="318"/>
      <c r="AU115" s="319"/>
      <c r="AV115" s="317"/>
      <c r="AW115" s="318"/>
      <c r="AX115" s="318"/>
      <c r="AY115" s="318"/>
      <c r="AZ115" s="319"/>
      <c r="BC115" s="317"/>
      <c r="BD115" s="318"/>
      <c r="BE115" s="318"/>
      <c r="BF115" s="318"/>
      <c r="BG115" s="318"/>
      <c r="BH115" s="318"/>
      <c r="BI115" s="318"/>
      <c r="BJ115" s="318"/>
      <c r="BK115" s="318"/>
      <c r="BL115" s="318"/>
      <c r="BM115" s="318"/>
      <c r="BN115" s="318"/>
      <c r="BO115" s="318"/>
      <c r="BP115" s="318"/>
      <c r="BQ115" s="318"/>
      <c r="BR115" s="318"/>
      <c r="BS115" s="318"/>
      <c r="BT115" s="318"/>
      <c r="BU115" s="318"/>
      <c r="BV115" s="318"/>
      <c r="BW115" s="318"/>
      <c r="BX115" s="318"/>
      <c r="BY115" s="318"/>
      <c r="BZ115" s="318"/>
      <c r="CA115" s="318"/>
      <c r="CB115" s="318"/>
      <c r="CC115" s="318"/>
      <c r="CD115" s="318"/>
      <c r="CE115" s="318"/>
      <c r="CF115" s="318"/>
      <c r="CG115" s="318"/>
      <c r="CH115" s="318"/>
      <c r="CI115" s="318"/>
      <c r="CJ115" s="318"/>
      <c r="CK115" s="318"/>
      <c r="CL115" s="318"/>
      <c r="CM115" s="318"/>
      <c r="CN115" s="318"/>
      <c r="CO115" s="318"/>
      <c r="CP115" s="318"/>
      <c r="CQ115" s="319"/>
      <c r="CR115" s="317"/>
      <c r="CS115" s="318"/>
      <c r="CT115" s="318"/>
      <c r="CU115" s="318"/>
      <c r="CV115" s="319"/>
      <c r="CY115" s="317"/>
      <c r="CZ115" s="318"/>
      <c r="DA115" s="318"/>
      <c r="DB115" s="318"/>
      <c r="DC115" s="318"/>
      <c r="DD115" s="318"/>
      <c r="DE115" s="318"/>
      <c r="DF115" s="318"/>
      <c r="DG115" s="318"/>
      <c r="DH115" s="318"/>
      <c r="DI115" s="318"/>
      <c r="DJ115" s="318"/>
      <c r="DK115" s="318"/>
      <c r="DL115" s="318"/>
      <c r="DM115" s="318"/>
      <c r="DN115" s="318"/>
      <c r="DO115" s="318"/>
      <c r="DP115" s="318"/>
      <c r="DQ115" s="318"/>
      <c r="DR115" s="318"/>
      <c r="DS115" s="318"/>
      <c r="DT115" s="318"/>
      <c r="DU115" s="318"/>
      <c r="DV115" s="318"/>
      <c r="DW115" s="318"/>
      <c r="DX115" s="318"/>
      <c r="DY115" s="318"/>
      <c r="DZ115" s="318"/>
      <c r="EA115" s="318"/>
      <c r="EB115" s="318"/>
      <c r="EC115" s="318"/>
      <c r="ED115" s="318"/>
      <c r="EE115" s="318"/>
      <c r="EF115" s="318"/>
      <c r="EG115" s="318"/>
      <c r="EH115" s="318"/>
      <c r="EI115" s="318"/>
      <c r="EJ115" s="318"/>
      <c r="EK115" s="318"/>
      <c r="EL115" s="318"/>
      <c r="EM115" s="319"/>
      <c r="EN115" s="317"/>
      <c r="EO115" s="318"/>
      <c r="EP115" s="318"/>
      <c r="EQ115" s="318"/>
      <c r="ER115" s="319"/>
      <c r="EU115" s="317"/>
      <c r="EV115" s="318"/>
      <c r="EW115" s="318"/>
      <c r="EX115" s="318"/>
      <c r="EY115" s="318"/>
      <c r="EZ115" s="318"/>
      <c r="FA115" s="318"/>
      <c r="FB115" s="318"/>
      <c r="FC115" s="318"/>
      <c r="FD115" s="318"/>
      <c r="FE115" s="318"/>
      <c r="FF115" s="318"/>
      <c r="FG115" s="318"/>
      <c r="FH115" s="318"/>
      <c r="FI115" s="318"/>
      <c r="FJ115" s="318"/>
      <c r="FK115" s="318"/>
      <c r="FL115" s="318"/>
      <c r="FM115" s="318"/>
      <c r="FN115" s="318"/>
      <c r="FO115" s="318"/>
      <c r="FP115" s="318"/>
      <c r="FQ115" s="318"/>
      <c r="FR115" s="318"/>
      <c r="FS115" s="318"/>
      <c r="FT115" s="318"/>
      <c r="FU115" s="318"/>
      <c r="FV115" s="318"/>
      <c r="FW115" s="318"/>
      <c r="FX115" s="318"/>
      <c r="FY115" s="318"/>
      <c r="FZ115" s="318"/>
      <c r="GA115" s="318"/>
      <c r="GB115" s="318"/>
      <c r="GC115" s="318"/>
      <c r="GD115" s="318"/>
      <c r="GE115" s="318"/>
      <c r="GF115" s="318"/>
      <c r="GG115" s="318"/>
      <c r="GH115" s="318"/>
      <c r="GI115" s="319"/>
      <c r="GJ115" s="317"/>
      <c r="GK115" s="318"/>
      <c r="GL115" s="318"/>
      <c r="GM115" s="318"/>
      <c r="GN115" s="319"/>
      <c r="GQ115" s="317"/>
      <c r="GR115" s="318"/>
      <c r="GS115" s="318"/>
      <c r="GT115" s="318"/>
      <c r="GU115" s="318"/>
      <c r="GV115" s="318"/>
      <c r="GW115" s="318"/>
      <c r="GX115" s="318"/>
      <c r="GY115" s="318"/>
      <c r="GZ115" s="318"/>
      <c r="HA115" s="318"/>
      <c r="HB115" s="318"/>
      <c r="HC115" s="318"/>
      <c r="HD115" s="318"/>
      <c r="HE115" s="318"/>
      <c r="HF115" s="318"/>
      <c r="HG115" s="318"/>
      <c r="HH115" s="318"/>
      <c r="HI115" s="318"/>
      <c r="HJ115" s="318"/>
      <c r="HK115" s="318"/>
      <c r="HL115" s="318"/>
      <c r="HM115" s="318"/>
      <c r="HN115" s="318"/>
      <c r="HO115" s="318"/>
      <c r="HP115" s="318"/>
      <c r="HQ115" s="318"/>
      <c r="HR115" s="318"/>
      <c r="HS115" s="318"/>
      <c r="HT115" s="318"/>
      <c r="HU115" s="318"/>
      <c r="HV115" s="318"/>
      <c r="HW115" s="318"/>
      <c r="HX115" s="318"/>
      <c r="HY115" s="318"/>
      <c r="HZ115" s="318"/>
      <c r="IA115" s="318"/>
      <c r="IB115" s="318"/>
      <c r="IC115" s="318"/>
      <c r="ID115" s="318"/>
      <c r="IE115" s="319"/>
      <c r="IF115" s="317"/>
      <c r="IG115" s="318"/>
      <c r="IH115" s="318"/>
      <c r="II115" s="318"/>
      <c r="IJ115" s="319"/>
      <c r="IR115" s="273"/>
      <c r="IS115" s="274"/>
      <c r="IT115" s="274"/>
      <c r="IU115" s="274"/>
      <c r="IV115" s="274"/>
      <c r="IW115" s="274"/>
      <c r="IX115" s="274"/>
      <c r="IY115" s="274"/>
      <c r="IZ115" s="274"/>
      <c r="JA115" s="274"/>
      <c r="JB115" s="274"/>
      <c r="JC115" s="274"/>
      <c r="JD115" s="274"/>
      <c r="JE115" s="274"/>
      <c r="JF115" s="274"/>
      <c r="JG115" s="274"/>
      <c r="JH115" s="274"/>
      <c r="JI115" s="274"/>
      <c r="JJ115" s="274"/>
      <c r="JK115" s="274"/>
      <c r="JL115" s="274"/>
      <c r="JM115" s="274"/>
      <c r="JN115" s="274"/>
      <c r="JO115" s="274"/>
      <c r="JP115" s="274"/>
      <c r="JQ115" s="274"/>
      <c r="JR115" s="274"/>
      <c r="JS115" s="274"/>
      <c r="JT115" s="274"/>
      <c r="JU115" s="274"/>
      <c r="JV115" s="274"/>
      <c r="JW115" s="274"/>
      <c r="JX115" s="274"/>
      <c r="JY115" s="274"/>
      <c r="JZ115" s="274"/>
      <c r="KA115" s="274"/>
      <c r="KB115" s="274"/>
      <c r="KC115" s="274"/>
      <c r="KD115" s="274"/>
      <c r="KE115" s="275"/>
      <c r="KF115" s="273"/>
      <c r="KG115" s="274"/>
      <c r="KH115" s="274"/>
      <c r="KI115" s="274"/>
      <c r="KJ115" s="275"/>
      <c r="KP115" s="270" t="s">
        <v>388</v>
      </c>
      <c r="KQ115" s="271"/>
      <c r="KR115" s="271"/>
      <c r="KS115" s="271"/>
      <c r="KT115" s="271"/>
      <c r="KU115" s="271"/>
      <c r="KV115" s="271"/>
      <c r="KW115" s="271"/>
      <c r="KX115" s="271"/>
      <c r="KY115" s="271"/>
      <c r="KZ115" s="271"/>
      <c r="LA115" s="271"/>
      <c r="LB115" s="271"/>
      <c r="LC115" s="271"/>
      <c r="LD115" s="271"/>
      <c r="LE115" s="271"/>
      <c r="LF115" s="271"/>
      <c r="LG115" s="271"/>
      <c r="LH115" s="271"/>
      <c r="LI115" s="271"/>
      <c r="LJ115" s="271"/>
      <c r="LK115" s="271"/>
      <c r="LL115" s="271"/>
      <c r="LM115" s="271"/>
      <c r="LN115" s="271"/>
      <c r="LO115" s="271"/>
      <c r="LP115" s="271"/>
      <c r="LQ115" s="271"/>
      <c r="LR115" s="271"/>
      <c r="LS115" s="271"/>
      <c r="LT115" s="271"/>
      <c r="LU115" s="271"/>
      <c r="LV115" s="271"/>
      <c r="LW115" s="271"/>
      <c r="LX115" s="271"/>
      <c r="LY115" s="271"/>
      <c r="LZ115" s="271"/>
      <c r="MA115" s="271"/>
      <c r="MB115" s="271"/>
      <c r="MC115" s="272"/>
      <c r="MD115" s="270">
        <v>4</v>
      </c>
      <c r="ME115" s="271">
        <v>3</v>
      </c>
      <c r="MF115" s="271"/>
      <c r="MG115" s="271"/>
      <c r="MH115" s="272"/>
      <c r="MM115" s="270" t="s">
        <v>292</v>
      </c>
      <c r="MN115" s="271"/>
      <c r="MO115" s="271"/>
      <c r="MP115" s="271"/>
      <c r="MQ115" s="271"/>
      <c r="MR115" s="271"/>
      <c r="MS115" s="271"/>
      <c r="MT115" s="271"/>
      <c r="MU115" s="271"/>
      <c r="MV115" s="271"/>
      <c r="MW115" s="271"/>
      <c r="MX115" s="271"/>
      <c r="MY115" s="271"/>
      <c r="MZ115" s="271"/>
      <c r="NA115" s="271"/>
      <c r="NB115" s="271"/>
      <c r="NC115" s="271"/>
      <c r="ND115" s="271"/>
      <c r="NE115" s="271"/>
      <c r="NF115" s="271"/>
      <c r="NG115" s="271"/>
      <c r="NH115" s="271"/>
      <c r="NI115" s="271"/>
      <c r="NJ115" s="271"/>
      <c r="NK115" s="271"/>
      <c r="NL115" s="271"/>
      <c r="NM115" s="271"/>
      <c r="NN115" s="271"/>
      <c r="NO115" s="271"/>
      <c r="NP115" s="271"/>
      <c r="NQ115" s="271"/>
      <c r="NR115" s="271"/>
      <c r="NS115" s="271"/>
      <c r="NT115" s="271"/>
      <c r="NU115" s="271"/>
      <c r="NV115" s="271"/>
      <c r="NW115" s="271"/>
      <c r="NX115" s="271"/>
      <c r="NY115" s="271"/>
      <c r="NZ115" s="272"/>
      <c r="OA115" s="270">
        <v>1</v>
      </c>
      <c r="OB115" s="271"/>
      <c r="OC115" s="271"/>
      <c r="OD115" s="271"/>
      <c r="OE115" s="272"/>
      <c r="QQ115" s="152"/>
      <c r="QR115" s="153"/>
      <c r="QS115" s="176"/>
      <c r="QT115" s="176"/>
      <c r="QU115" s="176"/>
      <c r="QV115" s="176"/>
      <c r="QW115" s="177"/>
    </row>
    <row r="116" spans="3:465" ht="5.0999999999999996" customHeight="1" x14ac:dyDescent="0.3">
      <c r="C116" s="149"/>
      <c r="D116" s="150"/>
      <c r="G116" s="320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  <c r="AN116" s="321"/>
      <c r="AO116" s="321"/>
      <c r="AP116" s="321"/>
      <c r="AQ116" s="321"/>
      <c r="AR116" s="321"/>
      <c r="AS116" s="321"/>
      <c r="AT116" s="321"/>
      <c r="AU116" s="322"/>
      <c r="AV116" s="320"/>
      <c r="AW116" s="321"/>
      <c r="AX116" s="321"/>
      <c r="AY116" s="321"/>
      <c r="AZ116" s="322"/>
      <c r="BC116" s="320"/>
      <c r="BD116" s="321"/>
      <c r="BE116" s="321"/>
      <c r="BF116" s="321"/>
      <c r="BG116" s="321"/>
      <c r="BH116" s="321"/>
      <c r="BI116" s="321"/>
      <c r="BJ116" s="321"/>
      <c r="BK116" s="321"/>
      <c r="BL116" s="321"/>
      <c r="BM116" s="321"/>
      <c r="BN116" s="321"/>
      <c r="BO116" s="321"/>
      <c r="BP116" s="321"/>
      <c r="BQ116" s="321"/>
      <c r="BR116" s="321"/>
      <c r="BS116" s="321"/>
      <c r="BT116" s="321"/>
      <c r="BU116" s="321"/>
      <c r="BV116" s="321"/>
      <c r="BW116" s="321"/>
      <c r="BX116" s="321"/>
      <c r="BY116" s="321"/>
      <c r="BZ116" s="321"/>
      <c r="CA116" s="321"/>
      <c r="CB116" s="321"/>
      <c r="CC116" s="321"/>
      <c r="CD116" s="321"/>
      <c r="CE116" s="321"/>
      <c r="CF116" s="321"/>
      <c r="CG116" s="321"/>
      <c r="CH116" s="321"/>
      <c r="CI116" s="321"/>
      <c r="CJ116" s="321"/>
      <c r="CK116" s="321"/>
      <c r="CL116" s="321"/>
      <c r="CM116" s="321"/>
      <c r="CN116" s="321"/>
      <c r="CO116" s="321"/>
      <c r="CP116" s="321"/>
      <c r="CQ116" s="322"/>
      <c r="CR116" s="320"/>
      <c r="CS116" s="321"/>
      <c r="CT116" s="321"/>
      <c r="CU116" s="321"/>
      <c r="CV116" s="322"/>
      <c r="CY116" s="320"/>
      <c r="CZ116" s="321"/>
      <c r="DA116" s="321"/>
      <c r="DB116" s="321"/>
      <c r="DC116" s="321"/>
      <c r="DD116" s="321"/>
      <c r="DE116" s="321"/>
      <c r="DF116" s="321"/>
      <c r="DG116" s="321"/>
      <c r="DH116" s="321"/>
      <c r="DI116" s="321"/>
      <c r="DJ116" s="321"/>
      <c r="DK116" s="321"/>
      <c r="DL116" s="321"/>
      <c r="DM116" s="321"/>
      <c r="DN116" s="321"/>
      <c r="DO116" s="321"/>
      <c r="DP116" s="321"/>
      <c r="DQ116" s="321"/>
      <c r="DR116" s="321"/>
      <c r="DS116" s="321"/>
      <c r="DT116" s="321"/>
      <c r="DU116" s="321"/>
      <c r="DV116" s="321"/>
      <c r="DW116" s="321"/>
      <c r="DX116" s="321"/>
      <c r="DY116" s="321"/>
      <c r="DZ116" s="321"/>
      <c r="EA116" s="321"/>
      <c r="EB116" s="321"/>
      <c r="EC116" s="321"/>
      <c r="ED116" s="321"/>
      <c r="EE116" s="321"/>
      <c r="EF116" s="321"/>
      <c r="EG116" s="321"/>
      <c r="EH116" s="321"/>
      <c r="EI116" s="321"/>
      <c r="EJ116" s="321"/>
      <c r="EK116" s="321"/>
      <c r="EL116" s="321"/>
      <c r="EM116" s="322"/>
      <c r="EN116" s="320"/>
      <c r="EO116" s="321"/>
      <c r="EP116" s="321"/>
      <c r="EQ116" s="321"/>
      <c r="ER116" s="322"/>
      <c r="EU116" s="320"/>
      <c r="EV116" s="321"/>
      <c r="EW116" s="321"/>
      <c r="EX116" s="321"/>
      <c r="EY116" s="321"/>
      <c r="EZ116" s="321"/>
      <c r="FA116" s="321"/>
      <c r="FB116" s="321"/>
      <c r="FC116" s="321"/>
      <c r="FD116" s="321"/>
      <c r="FE116" s="321"/>
      <c r="FF116" s="321"/>
      <c r="FG116" s="321"/>
      <c r="FH116" s="321"/>
      <c r="FI116" s="321"/>
      <c r="FJ116" s="321"/>
      <c r="FK116" s="321"/>
      <c r="FL116" s="321"/>
      <c r="FM116" s="321"/>
      <c r="FN116" s="321"/>
      <c r="FO116" s="321"/>
      <c r="FP116" s="321"/>
      <c r="FQ116" s="321"/>
      <c r="FR116" s="321"/>
      <c r="FS116" s="321"/>
      <c r="FT116" s="321"/>
      <c r="FU116" s="321"/>
      <c r="FV116" s="321"/>
      <c r="FW116" s="321"/>
      <c r="FX116" s="321"/>
      <c r="FY116" s="321"/>
      <c r="FZ116" s="321"/>
      <c r="GA116" s="321"/>
      <c r="GB116" s="321"/>
      <c r="GC116" s="321"/>
      <c r="GD116" s="321"/>
      <c r="GE116" s="321"/>
      <c r="GF116" s="321"/>
      <c r="GG116" s="321"/>
      <c r="GH116" s="321"/>
      <c r="GI116" s="322"/>
      <c r="GJ116" s="320"/>
      <c r="GK116" s="321"/>
      <c r="GL116" s="321"/>
      <c r="GM116" s="321"/>
      <c r="GN116" s="322"/>
      <c r="GQ116" s="320"/>
      <c r="GR116" s="321"/>
      <c r="GS116" s="321"/>
      <c r="GT116" s="321"/>
      <c r="GU116" s="321"/>
      <c r="GV116" s="321"/>
      <c r="GW116" s="321"/>
      <c r="GX116" s="321"/>
      <c r="GY116" s="321"/>
      <c r="GZ116" s="321"/>
      <c r="HA116" s="321"/>
      <c r="HB116" s="321"/>
      <c r="HC116" s="321"/>
      <c r="HD116" s="321"/>
      <c r="HE116" s="321"/>
      <c r="HF116" s="321"/>
      <c r="HG116" s="321"/>
      <c r="HH116" s="321"/>
      <c r="HI116" s="321"/>
      <c r="HJ116" s="321"/>
      <c r="HK116" s="321"/>
      <c r="HL116" s="321"/>
      <c r="HM116" s="321"/>
      <c r="HN116" s="321"/>
      <c r="HO116" s="321"/>
      <c r="HP116" s="321"/>
      <c r="HQ116" s="321"/>
      <c r="HR116" s="321"/>
      <c r="HS116" s="321"/>
      <c r="HT116" s="321"/>
      <c r="HU116" s="321"/>
      <c r="HV116" s="321"/>
      <c r="HW116" s="321"/>
      <c r="HX116" s="321"/>
      <c r="HY116" s="321"/>
      <c r="HZ116" s="321"/>
      <c r="IA116" s="321"/>
      <c r="IB116" s="321"/>
      <c r="IC116" s="321"/>
      <c r="ID116" s="321"/>
      <c r="IE116" s="322"/>
      <c r="IF116" s="320"/>
      <c r="IG116" s="321"/>
      <c r="IH116" s="321"/>
      <c r="II116" s="321"/>
      <c r="IJ116" s="322"/>
      <c r="IR116" s="276"/>
      <c r="IS116" s="277"/>
      <c r="IT116" s="277"/>
      <c r="IU116" s="277"/>
      <c r="IV116" s="277"/>
      <c r="IW116" s="277"/>
      <c r="IX116" s="277"/>
      <c r="IY116" s="277"/>
      <c r="IZ116" s="277"/>
      <c r="JA116" s="277"/>
      <c r="JB116" s="277"/>
      <c r="JC116" s="277"/>
      <c r="JD116" s="277"/>
      <c r="JE116" s="277"/>
      <c r="JF116" s="277"/>
      <c r="JG116" s="277"/>
      <c r="JH116" s="277"/>
      <c r="JI116" s="277"/>
      <c r="JJ116" s="277"/>
      <c r="JK116" s="277"/>
      <c r="JL116" s="277"/>
      <c r="JM116" s="277"/>
      <c r="JN116" s="277"/>
      <c r="JO116" s="277"/>
      <c r="JP116" s="277"/>
      <c r="JQ116" s="277"/>
      <c r="JR116" s="277"/>
      <c r="JS116" s="277"/>
      <c r="JT116" s="277"/>
      <c r="JU116" s="277"/>
      <c r="JV116" s="277"/>
      <c r="JW116" s="277"/>
      <c r="JX116" s="277"/>
      <c r="JY116" s="277"/>
      <c r="JZ116" s="277"/>
      <c r="KA116" s="277"/>
      <c r="KB116" s="277"/>
      <c r="KC116" s="277"/>
      <c r="KD116" s="277"/>
      <c r="KE116" s="278"/>
      <c r="KF116" s="276"/>
      <c r="KG116" s="277"/>
      <c r="KH116" s="277"/>
      <c r="KI116" s="277"/>
      <c r="KJ116" s="278"/>
      <c r="KP116" s="273"/>
      <c r="KQ116" s="274"/>
      <c r="KR116" s="274"/>
      <c r="KS116" s="274"/>
      <c r="KT116" s="274"/>
      <c r="KU116" s="274"/>
      <c r="KV116" s="274"/>
      <c r="KW116" s="274"/>
      <c r="KX116" s="274"/>
      <c r="KY116" s="274"/>
      <c r="KZ116" s="274"/>
      <c r="LA116" s="274"/>
      <c r="LB116" s="274"/>
      <c r="LC116" s="274"/>
      <c r="LD116" s="274"/>
      <c r="LE116" s="274"/>
      <c r="LF116" s="274"/>
      <c r="LG116" s="274"/>
      <c r="LH116" s="274"/>
      <c r="LI116" s="274"/>
      <c r="LJ116" s="274"/>
      <c r="LK116" s="274"/>
      <c r="LL116" s="274"/>
      <c r="LM116" s="274"/>
      <c r="LN116" s="274"/>
      <c r="LO116" s="274"/>
      <c r="LP116" s="274"/>
      <c r="LQ116" s="274"/>
      <c r="LR116" s="274"/>
      <c r="LS116" s="274"/>
      <c r="LT116" s="274"/>
      <c r="LU116" s="274"/>
      <c r="LV116" s="274"/>
      <c r="LW116" s="274"/>
      <c r="LX116" s="274"/>
      <c r="LY116" s="274"/>
      <c r="LZ116" s="274"/>
      <c r="MA116" s="274"/>
      <c r="MB116" s="274"/>
      <c r="MC116" s="275"/>
      <c r="MD116" s="273"/>
      <c r="ME116" s="274"/>
      <c r="MF116" s="274"/>
      <c r="MG116" s="274"/>
      <c r="MH116" s="275"/>
      <c r="MM116" s="273"/>
      <c r="MN116" s="274"/>
      <c r="MO116" s="274"/>
      <c r="MP116" s="274"/>
      <c r="MQ116" s="274"/>
      <c r="MR116" s="274"/>
      <c r="MS116" s="274"/>
      <c r="MT116" s="274"/>
      <c r="MU116" s="274"/>
      <c r="MV116" s="274"/>
      <c r="MW116" s="274"/>
      <c r="MX116" s="274"/>
      <c r="MY116" s="274"/>
      <c r="MZ116" s="274"/>
      <c r="NA116" s="274"/>
      <c r="NB116" s="274"/>
      <c r="NC116" s="274"/>
      <c r="ND116" s="274"/>
      <c r="NE116" s="274"/>
      <c r="NF116" s="274"/>
      <c r="NG116" s="274"/>
      <c r="NH116" s="274"/>
      <c r="NI116" s="274"/>
      <c r="NJ116" s="274"/>
      <c r="NK116" s="274"/>
      <c r="NL116" s="274"/>
      <c r="NM116" s="274"/>
      <c r="NN116" s="274"/>
      <c r="NO116" s="274"/>
      <c r="NP116" s="274"/>
      <c r="NQ116" s="274"/>
      <c r="NR116" s="274"/>
      <c r="NS116" s="274"/>
      <c r="NT116" s="274"/>
      <c r="NU116" s="274"/>
      <c r="NV116" s="274"/>
      <c r="NW116" s="274"/>
      <c r="NX116" s="274"/>
      <c r="NY116" s="274"/>
      <c r="NZ116" s="275"/>
      <c r="OA116" s="273"/>
      <c r="OB116" s="274"/>
      <c r="OC116" s="274"/>
      <c r="OD116" s="274"/>
      <c r="OE116" s="275"/>
      <c r="QQ116" s="152"/>
      <c r="QR116" s="153"/>
      <c r="QS116" s="176"/>
      <c r="QT116" s="176"/>
      <c r="QU116" s="176"/>
      <c r="QV116" s="176"/>
      <c r="QW116" s="177"/>
    </row>
    <row r="117" spans="3:465" ht="5.0999999999999996" customHeight="1" x14ac:dyDescent="0.3">
      <c r="C117" s="149"/>
      <c r="D117" s="150"/>
      <c r="AD117" s="184"/>
      <c r="BZ117" s="184"/>
      <c r="DV117" s="184"/>
      <c r="FR117" s="155"/>
      <c r="HN117" s="155"/>
      <c r="IR117" s="271"/>
      <c r="IS117" s="271"/>
      <c r="IT117" s="271"/>
      <c r="IU117" s="271"/>
      <c r="IV117" s="271"/>
      <c r="IW117" s="271"/>
      <c r="IX117" s="271"/>
      <c r="IY117" s="271"/>
      <c r="IZ117" s="271"/>
      <c r="JA117" s="271"/>
      <c r="JB117" s="271"/>
      <c r="JC117" s="271"/>
      <c r="JD117" s="271"/>
      <c r="JE117" s="271"/>
      <c r="JF117" s="271"/>
      <c r="JG117" s="271"/>
      <c r="JH117" s="271"/>
      <c r="JI117" s="271"/>
      <c r="JJ117" s="271"/>
      <c r="JK117" s="271"/>
      <c r="JL117" s="271"/>
      <c r="JM117" s="271"/>
      <c r="JN117" s="271"/>
      <c r="JO117" s="271"/>
      <c r="JP117" s="271"/>
      <c r="JQ117" s="271"/>
      <c r="JR117" s="271"/>
      <c r="JS117" s="271"/>
      <c r="JT117" s="271"/>
      <c r="JU117" s="271"/>
      <c r="JV117" s="271"/>
      <c r="JW117" s="271"/>
      <c r="JX117" s="271"/>
      <c r="JY117" s="271"/>
      <c r="JZ117" s="271"/>
      <c r="KA117" s="271"/>
      <c r="KB117" s="271"/>
      <c r="KC117" s="271"/>
      <c r="KD117" s="271"/>
      <c r="KE117" s="271"/>
      <c r="KF117" s="271"/>
      <c r="KG117" s="271"/>
      <c r="KH117" s="271"/>
      <c r="KI117" s="271"/>
      <c r="KJ117" s="271"/>
      <c r="KP117" s="273"/>
      <c r="KQ117" s="274"/>
      <c r="KR117" s="274"/>
      <c r="KS117" s="274"/>
      <c r="KT117" s="274"/>
      <c r="KU117" s="274"/>
      <c r="KV117" s="274"/>
      <c r="KW117" s="274"/>
      <c r="KX117" s="274"/>
      <c r="KY117" s="274"/>
      <c r="KZ117" s="274"/>
      <c r="LA117" s="274"/>
      <c r="LB117" s="274"/>
      <c r="LC117" s="274"/>
      <c r="LD117" s="274"/>
      <c r="LE117" s="274"/>
      <c r="LF117" s="274"/>
      <c r="LG117" s="274"/>
      <c r="LH117" s="274"/>
      <c r="LI117" s="274"/>
      <c r="LJ117" s="274"/>
      <c r="LK117" s="274"/>
      <c r="LL117" s="274"/>
      <c r="LM117" s="274"/>
      <c r="LN117" s="274"/>
      <c r="LO117" s="274"/>
      <c r="LP117" s="274"/>
      <c r="LQ117" s="274"/>
      <c r="LR117" s="274"/>
      <c r="LS117" s="274"/>
      <c r="LT117" s="274"/>
      <c r="LU117" s="274"/>
      <c r="LV117" s="274"/>
      <c r="LW117" s="274"/>
      <c r="LX117" s="274"/>
      <c r="LY117" s="274"/>
      <c r="LZ117" s="274"/>
      <c r="MA117" s="274"/>
      <c r="MB117" s="274"/>
      <c r="MC117" s="275"/>
      <c r="MD117" s="273"/>
      <c r="ME117" s="274"/>
      <c r="MF117" s="274"/>
      <c r="MG117" s="274"/>
      <c r="MH117" s="275"/>
      <c r="MM117" s="273"/>
      <c r="MN117" s="274"/>
      <c r="MO117" s="274"/>
      <c r="MP117" s="274"/>
      <c r="MQ117" s="274"/>
      <c r="MR117" s="274"/>
      <c r="MS117" s="274"/>
      <c r="MT117" s="274"/>
      <c r="MU117" s="274"/>
      <c r="MV117" s="274"/>
      <c r="MW117" s="274"/>
      <c r="MX117" s="274"/>
      <c r="MY117" s="274"/>
      <c r="MZ117" s="274"/>
      <c r="NA117" s="274"/>
      <c r="NB117" s="274"/>
      <c r="NC117" s="274"/>
      <c r="ND117" s="274"/>
      <c r="NE117" s="274"/>
      <c r="NF117" s="274"/>
      <c r="NG117" s="274"/>
      <c r="NH117" s="274"/>
      <c r="NI117" s="274"/>
      <c r="NJ117" s="274"/>
      <c r="NK117" s="274"/>
      <c r="NL117" s="274"/>
      <c r="NM117" s="274"/>
      <c r="NN117" s="274"/>
      <c r="NO117" s="274"/>
      <c r="NP117" s="274"/>
      <c r="NQ117" s="274"/>
      <c r="NR117" s="274"/>
      <c r="NS117" s="274"/>
      <c r="NT117" s="274"/>
      <c r="NU117" s="274"/>
      <c r="NV117" s="274"/>
      <c r="NW117" s="274"/>
      <c r="NX117" s="274"/>
      <c r="NY117" s="274"/>
      <c r="NZ117" s="275"/>
      <c r="OA117" s="273"/>
      <c r="OB117" s="274"/>
      <c r="OC117" s="274"/>
      <c r="OD117" s="274"/>
      <c r="OE117" s="275"/>
      <c r="QQ117" s="152"/>
      <c r="QR117" s="153"/>
      <c r="QS117" s="176"/>
      <c r="QT117" s="176"/>
      <c r="QU117" s="176"/>
      <c r="QV117" s="176"/>
      <c r="QW117" s="177"/>
    </row>
    <row r="118" spans="3:465" ht="5.0999999999999996" customHeight="1" x14ac:dyDescent="0.3">
      <c r="C118" s="149"/>
      <c r="D118" s="150"/>
      <c r="AD118" s="185"/>
      <c r="BZ118" s="185"/>
      <c r="DV118" s="185"/>
      <c r="FR118" s="165"/>
      <c r="FS118" s="166"/>
      <c r="HN118" s="165"/>
      <c r="HO118" s="166"/>
      <c r="IR118" s="274"/>
      <c r="IS118" s="274"/>
      <c r="IT118" s="274"/>
      <c r="IU118" s="274"/>
      <c r="IV118" s="274"/>
      <c r="IW118" s="274"/>
      <c r="IX118" s="274"/>
      <c r="IY118" s="274"/>
      <c r="IZ118" s="274"/>
      <c r="JA118" s="274"/>
      <c r="JB118" s="274"/>
      <c r="JC118" s="274"/>
      <c r="JD118" s="274"/>
      <c r="JE118" s="274"/>
      <c r="JF118" s="274"/>
      <c r="JG118" s="274"/>
      <c r="JH118" s="274"/>
      <c r="JI118" s="274"/>
      <c r="JJ118" s="274"/>
      <c r="JK118" s="274"/>
      <c r="JL118" s="274"/>
      <c r="JM118" s="274"/>
      <c r="JN118" s="274"/>
      <c r="JO118" s="274"/>
      <c r="JP118" s="274"/>
      <c r="JQ118" s="274"/>
      <c r="JR118" s="274"/>
      <c r="JS118" s="274"/>
      <c r="JT118" s="274"/>
      <c r="JU118" s="274"/>
      <c r="JV118" s="274"/>
      <c r="JW118" s="274"/>
      <c r="JX118" s="274"/>
      <c r="JY118" s="274"/>
      <c r="JZ118" s="274"/>
      <c r="KA118" s="274"/>
      <c r="KB118" s="274"/>
      <c r="KC118" s="274"/>
      <c r="KD118" s="274"/>
      <c r="KE118" s="274"/>
      <c r="KF118" s="274"/>
      <c r="KG118" s="274"/>
      <c r="KH118" s="274"/>
      <c r="KI118" s="274"/>
      <c r="KJ118" s="274"/>
      <c r="KP118" s="273"/>
      <c r="KQ118" s="274"/>
      <c r="KR118" s="274"/>
      <c r="KS118" s="274"/>
      <c r="KT118" s="274"/>
      <c r="KU118" s="274"/>
      <c r="KV118" s="274"/>
      <c r="KW118" s="274"/>
      <c r="KX118" s="274"/>
      <c r="KY118" s="274"/>
      <c r="KZ118" s="274"/>
      <c r="LA118" s="274"/>
      <c r="LB118" s="274"/>
      <c r="LC118" s="274"/>
      <c r="LD118" s="274"/>
      <c r="LE118" s="274"/>
      <c r="LF118" s="274"/>
      <c r="LG118" s="274"/>
      <c r="LH118" s="274"/>
      <c r="LI118" s="274"/>
      <c r="LJ118" s="274"/>
      <c r="LK118" s="274"/>
      <c r="LL118" s="274"/>
      <c r="LM118" s="274"/>
      <c r="LN118" s="274"/>
      <c r="LO118" s="274"/>
      <c r="LP118" s="274"/>
      <c r="LQ118" s="274"/>
      <c r="LR118" s="274"/>
      <c r="LS118" s="274"/>
      <c r="LT118" s="274"/>
      <c r="LU118" s="274"/>
      <c r="LV118" s="274"/>
      <c r="LW118" s="274"/>
      <c r="LX118" s="274"/>
      <c r="LY118" s="274"/>
      <c r="LZ118" s="274"/>
      <c r="MA118" s="274"/>
      <c r="MB118" s="274"/>
      <c r="MC118" s="275"/>
      <c r="MD118" s="273"/>
      <c r="ME118" s="274"/>
      <c r="MF118" s="274"/>
      <c r="MG118" s="274"/>
      <c r="MH118" s="275"/>
      <c r="MM118" s="273"/>
      <c r="MN118" s="274"/>
      <c r="MO118" s="274"/>
      <c r="MP118" s="274"/>
      <c r="MQ118" s="274"/>
      <c r="MR118" s="274"/>
      <c r="MS118" s="274"/>
      <c r="MT118" s="274"/>
      <c r="MU118" s="274"/>
      <c r="MV118" s="274"/>
      <c r="MW118" s="274"/>
      <c r="MX118" s="274"/>
      <c r="MY118" s="274"/>
      <c r="MZ118" s="274"/>
      <c r="NA118" s="274"/>
      <c r="NB118" s="274"/>
      <c r="NC118" s="274"/>
      <c r="ND118" s="274"/>
      <c r="NE118" s="274"/>
      <c r="NF118" s="274"/>
      <c r="NG118" s="274"/>
      <c r="NH118" s="274"/>
      <c r="NI118" s="274"/>
      <c r="NJ118" s="274"/>
      <c r="NK118" s="274"/>
      <c r="NL118" s="274"/>
      <c r="NM118" s="274"/>
      <c r="NN118" s="274"/>
      <c r="NO118" s="274"/>
      <c r="NP118" s="274"/>
      <c r="NQ118" s="274"/>
      <c r="NR118" s="274"/>
      <c r="NS118" s="274"/>
      <c r="NT118" s="274"/>
      <c r="NU118" s="274"/>
      <c r="NV118" s="274"/>
      <c r="NW118" s="274"/>
      <c r="NX118" s="274"/>
      <c r="NY118" s="274"/>
      <c r="NZ118" s="275"/>
      <c r="OA118" s="273"/>
      <c r="OB118" s="274"/>
      <c r="OC118" s="274"/>
      <c r="OD118" s="274"/>
      <c r="OE118" s="275"/>
      <c r="QQ118" s="152"/>
      <c r="QR118" s="153"/>
      <c r="QS118" s="176"/>
      <c r="QT118" s="176"/>
      <c r="QU118" s="176"/>
      <c r="QV118" s="176"/>
      <c r="QW118" s="177"/>
    </row>
    <row r="119" spans="3:465" ht="5.0999999999999996" customHeight="1" x14ac:dyDescent="0.3">
      <c r="C119" s="149"/>
      <c r="D119" s="150"/>
      <c r="G119" s="270" t="s">
        <v>293</v>
      </c>
      <c r="H119" s="271"/>
      <c r="I119" s="271"/>
      <c r="J119" s="271"/>
      <c r="K119" s="271"/>
      <c r="L119" s="271"/>
      <c r="M119" s="271"/>
      <c r="N119" s="271"/>
      <c r="O119" s="271"/>
      <c r="P119" s="271"/>
      <c r="Q119" s="271"/>
      <c r="R119" s="271"/>
      <c r="S119" s="271"/>
      <c r="T119" s="271"/>
      <c r="U119" s="271"/>
      <c r="V119" s="271"/>
      <c r="W119" s="271"/>
      <c r="X119" s="271"/>
      <c r="Y119" s="271"/>
      <c r="Z119" s="271"/>
      <c r="AA119" s="271"/>
      <c r="AB119" s="271"/>
      <c r="AC119" s="271"/>
      <c r="AD119" s="271"/>
      <c r="AE119" s="271"/>
      <c r="AF119" s="271"/>
      <c r="AG119" s="271"/>
      <c r="AH119" s="271"/>
      <c r="AI119" s="271"/>
      <c r="AJ119" s="271"/>
      <c r="AK119" s="271"/>
      <c r="AL119" s="271"/>
      <c r="AM119" s="271"/>
      <c r="AN119" s="271"/>
      <c r="AO119" s="271"/>
      <c r="AP119" s="271"/>
      <c r="AQ119" s="271"/>
      <c r="AR119" s="271"/>
      <c r="AS119" s="271"/>
      <c r="AT119" s="271"/>
      <c r="AU119" s="272"/>
      <c r="AV119" s="270">
        <v>1</v>
      </c>
      <c r="AW119" s="271"/>
      <c r="AX119" s="271"/>
      <c r="AY119" s="271"/>
      <c r="AZ119" s="272"/>
      <c r="BC119" s="270" t="s">
        <v>294</v>
      </c>
      <c r="BD119" s="271"/>
      <c r="BE119" s="271"/>
      <c r="BF119" s="271"/>
      <c r="BG119" s="271"/>
      <c r="BH119" s="271"/>
      <c r="BI119" s="271"/>
      <c r="BJ119" s="271"/>
      <c r="BK119" s="271"/>
      <c r="BL119" s="271"/>
      <c r="BM119" s="271"/>
      <c r="BN119" s="271"/>
      <c r="BO119" s="271"/>
      <c r="BP119" s="271"/>
      <c r="BQ119" s="271"/>
      <c r="BR119" s="271"/>
      <c r="BS119" s="271"/>
      <c r="BT119" s="271"/>
      <c r="BU119" s="271"/>
      <c r="BV119" s="271"/>
      <c r="BW119" s="271"/>
      <c r="BX119" s="271"/>
      <c r="BY119" s="271"/>
      <c r="BZ119" s="271"/>
      <c r="CA119" s="271"/>
      <c r="CB119" s="271"/>
      <c r="CC119" s="271"/>
      <c r="CD119" s="271"/>
      <c r="CE119" s="271"/>
      <c r="CF119" s="271"/>
      <c r="CG119" s="271"/>
      <c r="CH119" s="271"/>
      <c r="CI119" s="271"/>
      <c r="CJ119" s="271"/>
      <c r="CK119" s="271"/>
      <c r="CL119" s="271"/>
      <c r="CM119" s="271"/>
      <c r="CN119" s="271"/>
      <c r="CO119" s="271"/>
      <c r="CP119" s="271"/>
      <c r="CQ119" s="272"/>
      <c r="CR119" s="270">
        <v>1</v>
      </c>
      <c r="CS119" s="271"/>
      <c r="CT119" s="271"/>
      <c r="CU119" s="271"/>
      <c r="CV119" s="272"/>
      <c r="CY119" s="270" t="s">
        <v>295</v>
      </c>
      <c r="CZ119" s="271"/>
      <c r="DA119" s="271"/>
      <c r="DB119" s="271"/>
      <c r="DC119" s="271"/>
      <c r="DD119" s="271"/>
      <c r="DE119" s="271"/>
      <c r="DF119" s="271"/>
      <c r="DG119" s="271"/>
      <c r="DH119" s="271"/>
      <c r="DI119" s="271"/>
      <c r="DJ119" s="271"/>
      <c r="DK119" s="271"/>
      <c r="DL119" s="271"/>
      <c r="DM119" s="271"/>
      <c r="DN119" s="271"/>
      <c r="DO119" s="271"/>
      <c r="DP119" s="271"/>
      <c r="DQ119" s="271"/>
      <c r="DR119" s="271"/>
      <c r="DS119" s="271"/>
      <c r="DT119" s="271"/>
      <c r="DU119" s="271"/>
      <c r="DV119" s="271"/>
      <c r="DW119" s="271"/>
      <c r="DX119" s="271"/>
      <c r="DY119" s="271"/>
      <c r="DZ119" s="271"/>
      <c r="EA119" s="271"/>
      <c r="EB119" s="271"/>
      <c r="EC119" s="271"/>
      <c r="ED119" s="271"/>
      <c r="EE119" s="271"/>
      <c r="EF119" s="271"/>
      <c r="EG119" s="271"/>
      <c r="EH119" s="271"/>
      <c r="EI119" s="271"/>
      <c r="EJ119" s="271"/>
      <c r="EK119" s="271"/>
      <c r="EL119" s="271"/>
      <c r="EM119" s="272"/>
      <c r="EN119" s="270">
        <v>1</v>
      </c>
      <c r="EO119" s="271"/>
      <c r="EP119" s="271"/>
      <c r="EQ119" s="271"/>
      <c r="ER119" s="272"/>
      <c r="EU119" s="270" t="s">
        <v>321</v>
      </c>
      <c r="EV119" s="271"/>
      <c r="EW119" s="271"/>
      <c r="EX119" s="271"/>
      <c r="EY119" s="271"/>
      <c r="EZ119" s="271"/>
      <c r="FA119" s="271"/>
      <c r="FB119" s="271"/>
      <c r="FC119" s="271"/>
      <c r="FD119" s="271"/>
      <c r="FE119" s="271"/>
      <c r="FF119" s="271"/>
      <c r="FG119" s="271"/>
      <c r="FH119" s="271"/>
      <c r="FI119" s="271"/>
      <c r="FJ119" s="271"/>
      <c r="FK119" s="271"/>
      <c r="FL119" s="271"/>
      <c r="FM119" s="271"/>
      <c r="FN119" s="271"/>
      <c r="FO119" s="271"/>
      <c r="FP119" s="271"/>
      <c r="FQ119" s="271"/>
      <c r="FR119" s="271"/>
      <c r="FS119" s="271"/>
      <c r="FT119" s="271"/>
      <c r="FU119" s="271"/>
      <c r="FV119" s="271"/>
      <c r="FW119" s="271"/>
      <c r="FX119" s="271"/>
      <c r="FY119" s="271"/>
      <c r="FZ119" s="271"/>
      <c r="GA119" s="271"/>
      <c r="GB119" s="271"/>
      <c r="GC119" s="271"/>
      <c r="GD119" s="271"/>
      <c r="GE119" s="271"/>
      <c r="GF119" s="271"/>
      <c r="GG119" s="271"/>
      <c r="GH119" s="271"/>
      <c r="GI119" s="272"/>
      <c r="GJ119" s="270">
        <v>1</v>
      </c>
      <c r="GK119" s="271"/>
      <c r="GL119" s="271"/>
      <c r="GM119" s="271"/>
      <c r="GN119" s="272"/>
      <c r="GQ119" s="270" t="s">
        <v>296</v>
      </c>
      <c r="GR119" s="271"/>
      <c r="GS119" s="271"/>
      <c r="GT119" s="271"/>
      <c r="GU119" s="271"/>
      <c r="GV119" s="271"/>
      <c r="GW119" s="271"/>
      <c r="GX119" s="271"/>
      <c r="GY119" s="271"/>
      <c r="GZ119" s="271"/>
      <c r="HA119" s="271"/>
      <c r="HB119" s="271"/>
      <c r="HC119" s="271"/>
      <c r="HD119" s="271"/>
      <c r="HE119" s="271"/>
      <c r="HF119" s="271"/>
      <c r="HG119" s="271"/>
      <c r="HH119" s="271"/>
      <c r="HI119" s="271"/>
      <c r="HJ119" s="271"/>
      <c r="HK119" s="271"/>
      <c r="HL119" s="271"/>
      <c r="HM119" s="271"/>
      <c r="HN119" s="271"/>
      <c r="HO119" s="271"/>
      <c r="HP119" s="271"/>
      <c r="HQ119" s="271"/>
      <c r="HR119" s="271"/>
      <c r="HS119" s="271"/>
      <c r="HT119" s="271"/>
      <c r="HU119" s="271"/>
      <c r="HV119" s="271"/>
      <c r="HW119" s="271"/>
      <c r="HX119" s="271"/>
      <c r="HY119" s="271"/>
      <c r="HZ119" s="271"/>
      <c r="IA119" s="271"/>
      <c r="IB119" s="271"/>
      <c r="IC119" s="271"/>
      <c r="ID119" s="271"/>
      <c r="IE119" s="272"/>
      <c r="IF119" s="270">
        <v>1</v>
      </c>
      <c r="IG119" s="271"/>
      <c r="IH119" s="271"/>
      <c r="II119" s="271"/>
      <c r="IJ119" s="272"/>
      <c r="IR119" s="274"/>
      <c r="IS119" s="274"/>
      <c r="IT119" s="274"/>
      <c r="IU119" s="274"/>
      <c r="IV119" s="274"/>
      <c r="IW119" s="274"/>
      <c r="IX119" s="274"/>
      <c r="IY119" s="274"/>
      <c r="IZ119" s="274"/>
      <c r="JA119" s="274"/>
      <c r="JB119" s="274"/>
      <c r="JC119" s="274"/>
      <c r="JD119" s="274"/>
      <c r="JE119" s="274"/>
      <c r="JF119" s="274"/>
      <c r="JG119" s="274"/>
      <c r="JH119" s="274"/>
      <c r="JI119" s="274"/>
      <c r="JJ119" s="274"/>
      <c r="JK119" s="274"/>
      <c r="JL119" s="274"/>
      <c r="JM119" s="274"/>
      <c r="JN119" s="274"/>
      <c r="JO119" s="274"/>
      <c r="JP119" s="274"/>
      <c r="JQ119" s="274"/>
      <c r="JR119" s="274"/>
      <c r="JS119" s="274"/>
      <c r="JT119" s="274"/>
      <c r="JU119" s="274"/>
      <c r="JV119" s="274"/>
      <c r="JW119" s="274"/>
      <c r="JX119" s="274"/>
      <c r="JY119" s="274"/>
      <c r="JZ119" s="274"/>
      <c r="KA119" s="274"/>
      <c r="KB119" s="274"/>
      <c r="KC119" s="274"/>
      <c r="KD119" s="274"/>
      <c r="KE119" s="274"/>
      <c r="KF119" s="274"/>
      <c r="KG119" s="274"/>
      <c r="KH119" s="274"/>
      <c r="KI119" s="274"/>
      <c r="KJ119" s="274"/>
      <c r="KP119" s="273"/>
      <c r="KQ119" s="274"/>
      <c r="KR119" s="274"/>
      <c r="KS119" s="274"/>
      <c r="KT119" s="274"/>
      <c r="KU119" s="274"/>
      <c r="KV119" s="274"/>
      <c r="KW119" s="274"/>
      <c r="KX119" s="274"/>
      <c r="KY119" s="274"/>
      <c r="KZ119" s="274"/>
      <c r="LA119" s="274"/>
      <c r="LB119" s="274"/>
      <c r="LC119" s="274"/>
      <c r="LD119" s="274"/>
      <c r="LE119" s="274"/>
      <c r="LF119" s="274"/>
      <c r="LG119" s="274"/>
      <c r="LH119" s="274"/>
      <c r="LI119" s="274"/>
      <c r="LJ119" s="274"/>
      <c r="LK119" s="274"/>
      <c r="LL119" s="274"/>
      <c r="LM119" s="274"/>
      <c r="LN119" s="274"/>
      <c r="LO119" s="274"/>
      <c r="LP119" s="274"/>
      <c r="LQ119" s="274"/>
      <c r="LR119" s="274"/>
      <c r="LS119" s="274"/>
      <c r="LT119" s="274"/>
      <c r="LU119" s="274"/>
      <c r="LV119" s="274"/>
      <c r="LW119" s="274"/>
      <c r="LX119" s="274"/>
      <c r="LY119" s="274"/>
      <c r="LZ119" s="274"/>
      <c r="MA119" s="274"/>
      <c r="MB119" s="274"/>
      <c r="MC119" s="275"/>
      <c r="MD119" s="273"/>
      <c r="ME119" s="274"/>
      <c r="MF119" s="274"/>
      <c r="MG119" s="274"/>
      <c r="MH119" s="275"/>
      <c r="MM119" s="273"/>
      <c r="MN119" s="274"/>
      <c r="MO119" s="274"/>
      <c r="MP119" s="274"/>
      <c r="MQ119" s="274"/>
      <c r="MR119" s="274"/>
      <c r="MS119" s="274"/>
      <c r="MT119" s="274"/>
      <c r="MU119" s="274"/>
      <c r="MV119" s="274"/>
      <c r="MW119" s="274"/>
      <c r="MX119" s="274"/>
      <c r="MY119" s="274"/>
      <c r="MZ119" s="274"/>
      <c r="NA119" s="274"/>
      <c r="NB119" s="274"/>
      <c r="NC119" s="274"/>
      <c r="ND119" s="274"/>
      <c r="NE119" s="274"/>
      <c r="NF119" s="274"/>
      <c r="NG119" s="274"/>
      <c r="NH119" s="274"/>
      <c r="NI119" s="274"/>
      <c r="NJ119" s="274"/>
      <c r="NK119" s="274"/>
      <c r="NL119" s="274"/>
      <c r="NM119" s="274"/>
      <c r="NN119" s="274"/>
      <c r="NO119" s="274"/>
      <c r="NP119" s="274"/>
      <c r="NQ119" s="274"/>
      <c r="NR119" s="274"/>
      <c r="NS119" s="274"/>
      <c r="NT119" s="274"/>
      <c r="NU119" s="274"/>
      <c r="NV119" s="274"/>
      <c r="NW119" s="274"/>
      <c r="NX119" s="274"/>
      <c r="NY119" s="274"/>
      <c r="NZ119" s="275"/>
      <c r="OA119" s="273"/>
      <c r="OB119" s="274"/>
      <c r="OC119" s="274"/>
      <c r="OD119" s="274"/>
      <c r="OE119" s="275"/>
      <c r="QQ119" s="152"/>
      <c r="QR119" s="153"/>
      <c r="QS119" s="176"/>
      <c r="QT119" s="176"/>
      <c r="QU119" s="176"/>
      <c r="QV119" s="176"/>
      <c r="QW119" s="177"/>
    </row>
    <row r="120" spans="3:465" ht="5.0999999999999996" customHeight="1" x14ac:dyDescent="0.3">
      <c r="C120" s="149"/>
      <c r="D120" s="150"/>
      <c r="G120" s="273"/>
      <c r="H120" s="274"/>
      <c r="I120" s="274"/>
      <c r="J120" s="274"/>
      <c r="K120" s="274"/>
      <c r="L120" s="274"/>
      <c r="M120" s="274"/>
      <c r="N120" s="274"/>
      <c r="O120" s="274"/>
      <c r="P120" s="274"/>
      <c r="Q120" s="274"/>
      <c r="R120" s="274"/>
      <c r="S120" s="274"/>
      <c r="T120" s="274"/>
      <c r="U120" s="274"/>
      <c r="V120" s="274"/>
      <c r="W120" s="274"/>
      <c r="X120" s="274"/>
      <c r="Y120" s="274"/>
      <c r="Z120" s="274"/>
      <c r="AA120" s="274"/>
      <c r="AB120" s="274"/>
      <c r="AC120" s="274"/>
      <c r="AD120" s="274"/>
      <c r="AE120" s="274"/>
      <c r="AF120" s="274"/>
      <c r="AG120" s="274"/>
      <c r="AH120" s="274"/>
      <c r="AI120" s="274"/>
      <c r="AJ120" s="274"/>
      <c r="AK120" s="274"/>
      <c r="AL120" s="274"/>
      <c r="AM120" s="274"/>
      <c r="AN120" s="274"/>
      <c r="AO120" s="274"/>
      <c r="AP120" s="274"/>
      <c r="AQ120" s="274"/>
      <c r="AR120" s="274"/>
      <c r="AS120" s="274"/>
      <c r="AT120" s="274"/>
      <c r="AU120" s="275"/>
      <c r="AV120" s="273"/>
      <c r="AW120" s="274"/>
      <c r="AX120" s="274"/>
      <c r="AY120" s="274"/>
      <c r="AZ120" s="275"/>
      <c r="BC120" s="273"/>
      <c r="BD120" s="274"/>
      <c r="BE120" s="274"/>
      <c r="BF120" s="274"/>
      <c r="BG120" s="274"/>
      <c r="BH120" s="274"/>
      <c r="BI120" s="274"/>
      <c r="BJ120" s="274"/>
      <c r="BK120" s="274"/>
      <c r="BL120" s="274"/>
      <c r="BM120" s="274"/>
      <c r="BN120" s="274"/>
      <c r="BO120" s="274"/>
      <c r="BP120" s="274"/>
      <c r="BQ120" s="274"/>
      <c r="BR120" s="274"/>
      <c r="BS120" s="274"/>
      <c r="BT120" s="274"/>
      <c r="BU120" s="274"/>
      <c r="BV120" s="274"/>
      <c r="BW120" s="274"/>
      <c r="BX120" s="274"/>
      <c r="BY120" s="274"/>
      <c r="BZ120" s="274"/>
      <c r="CA120" s="274"/>
      <c r="CB120" s="274"/>
      <c r="CC120" s="274"/>
      <c r="CD120" s="274"/>
      <c r="CE120" s="274"/>
      <c r="CF120" s="274"/>
      <c r="CG120" s="274"/>
      <c r="CH120" s="274"/>
      <c r="CI120" s="274"/>
      <c r="CJ120" s="274"/>
      <c r="CK120" s="274"/>
      <c r="CL120" s="274"/>
      <c r="CM120" s="274"/>
      <c r="CN120" s="274"/>
      <c r="CO120" s="274"/>
      <c r="CP120" s="274"/>
      <c r="CQ120" s="275"/>
      <c r="CR120" s="273"/>
      <c r="CS120" s="274"/>
      <c r="CT120" s="274"/>
      <c r="CU120" s="274"/>
      <c r="CV120" s="275"/>
      <c r="CY120" s="273"/>
      <c r="CZ120" s="274"/>
      <c r="DA120" s="274"/>
      <c r="DB120" s="274"/>
      <c r="DC120" s="274"/>
      <c r="DD120" s="274"/>
      <c r="DE120" s="274"/>
      <c r="DF120" s="274"/>
      <c r="DG120" s="274"/>
      <c r="DH120" s="274"/>
      <c r="DI120" s="274"/>
      <c r="DJ120" s="274"/>
      <c r="DK120" s="274"/>
      <c r="DL120" s="274"/>
      <c r="DM120" s="274"/>
      <c r="DN120" s="274"/>
      <c r="DO120" s="274"/>
      <c r="DP120" s="274"/>
      <c r="DQ120" s="274"/>
      <c r="DR120" s="274"/>
      <c r="DS120" s="274"/>
      <c r="DT120" s="274"/>
      <c r="DU120" s="274"/>
      <c r="DV120" s="274"/>
      <c r="DW120" s="274"/>
      <c r="DX120" s="274"/>
      <c r="DY120" s="274"/>
      <c r="DZ120" s="274"/>
      <c r="EA120" s="274"/>
      <c r="EB120" s="274"/>
      <c r="EC120" s="274"/>
      <c r="ED120" s="274"/>
      <c r="EE120" s="274"/>
      <c r="EF120" s="274"/>
      <c r="EG120" s="274"/>
      <c r="EH120" s="274"/>
      <c r="EI120" s="274"/>
      <c r="EJ120" s="274"/>
      <c r="EK120" s="274"/>
      <c r="EL120" s="274"/>
      <c r="EM120" s="275"/>
      <c r="EN120" s="273"/>
      <c r="EO120" s="274"/>
      <c r="EP120" s="274"/>
      <c r="EQ120" s="274"/>
      <c r="ER120" s="275"/>
      <c r="EU120" s="273"/>
      <c r="EV120" s="274"/>
      <c r="EW120" s="274"/>
      <c r="EX120" s="274"/>
      <c r="EY120" s="274"/>
      <c r="EZ120" s="274"/>
      <c r="FA120" s="274"/>
      <c r="FB120" s="274"/>
      <c r="FC120" s="274"/>
      <c r="FD120" s="274"/>
      <c r="FE120" s="274"/>
      <c r="FF120" s="274"/>
      <c r="FG120" s="274"/>
      <c r="FH120" s="274"/>
      <c r="FI120" s="274"/>
      <c r="FJ120" s="274"/>
      <c r="FK120" s="274"/>
      <c r="FL120" s="274"/>
      <c r="FM120" s="274"/>
      <c r="FN120" s="274"/>
      <c r="FO120" s="274"/>
      <c r="FP120" s="274"/>
      <c r="FQ120" s="274"/>
      <c r="FR120" s="274"/>
      <c r="FS120" s="274"/>
      <c r="FT120" s="274"/>
      <c r="FU120" s="274"/>
      <c r="FV120" s="274"/>
      <c r="FW120" s="274"/>
      <c r="FX120" s="274"/>
      <c r="FY120" s="274"/>
      <c r="FZ120" s="274"/>
      <c r="GA120" s="274"/>
      <c r="GB120" s="274"/>
      <c r="GC120" s="274"/>
      <c r="GD120" s="274"/>
      <c r="GE120" s="274"/>
      <c r="GF120" s="274"/>
      <c r="GG120" s="274"/>
      <c r="GH120" s="274"/>
      <c r="GI120" s="275"/>
      <c r="GJ120" s="273"/>
      <c r="GK120" s="274"/>
      <c r="GL120" s="274"/>
      <c r="GM120" s="274"/>
      <c r="GN120" s="275"/>
      <c r="GQ120" s="273"/>
      <c r="GR120" s="274"/>
      <c r="GS120" s="274"/>
      <c r="GT120" s="274"/>
      <c r="GU120" s="274"/>
      <c r="GV120" s="274"/>
      <c r="GW120" s="274"/>
      <c r="GX120" s="274"/>
      <c r="GY120" s="274"/>
      <c r="GZ120" s="274"/>
      <c r="HA120" s="274"/>
      <c r="HB120" s="274"/>
      <c r="HC120" s="274"/>
      <c r="HD120" s="274"/>
      <c r="HE120" s="274"/>
      <c r="HF120" s="274"/>
      <c r="HG120" s="274"/>
      <c r="HH120" s="274"/>
      <c r="HI120" s="274"/>
      <c r="HJ120" s="274"/>
      <c r="HK120" s="274"/>
      <c r="HL120" s="274"/>
      <c r="HM120" s="274"/>
      <c r="HN120" s="274"/>
      <c r="HO120" s="274"/>
      <c r="HP120" s="274"/>
      <c r="HQ120" s="274"/>
      <c r="HR120" s="274"/>
      <c r="HS120" s="274"/>
      <c r="HT120" s="274"/>
      <c r="HU120" s="274"/>
      <c r="HV120" s="274"/>
      <c r="HW120" s="274"/>
      <c r="HX120" s="274"/>
      <c r="HY120" s="274"/>
      <c r="HZ120" s="274"/>
      <c r="IA120" s="274"/>
      <c r="IB120" s="274"/>
      <c r="IC120" s="274"/>
      <c r="ID120" s="274"/>
      <c r="IE120" s="275"/>
      <c r="IF120" s="273"/>
      <c r="IG120" s="274"/>
      <c r="IH120" s="274"/>
      <c r="II120" s="274"/>
      <c r="IJ120" s="275"/>
      <c r="IR120" s="274"/>
      <c r="IS120" s="274"/>
      <c r="IT120" s="274"/>
      <c r="IU120" s="274"/>
      <c r="IV120" s="274"/>
      <c r="IW120" s="274"/>
      <c r="IX120" s="274"/>
      <c r="IY120" s="274"/>
      <c r="IZ120" s="274"/>
      <c r="JA120" s="274"/>
      <c r="JB120" s="274"/>
      <c r="JC120" s="274"/>
      <c r="JD120" s="274"/>
      <c r="JE120" s="274"/>
      <c r="JF120" s="274"/>
      <c r="JG120" s="274"/>
      <c r="JH120" s="274"/>
      <c r="JI120" s="274"/>
      <c r="JJ120" s="274"/>
      <c r="JK120" s="274"/>
      <c r="JL120" s="274"/>
      <c r="JM120" s="274"/>
      <c r="JN120" s="274"/>
      <c r="JO120" s="274"/>
      <c r="JP120" s="274"/>
      <c r="JQ120" s="274"/>
      <c r="JR120" s="274"/>
      <c r="JS120" s="274"/>
      <c r="JT120" s="274"/>
      <c r="JU120" s="274"/>
      <c r="JV120" s="274"/>
      <c r="JW120" s="274"/>
      <c r="JX120" s="274"/>
      <c r="JY120" s="274"/>
      <c r="JZ120" s="274"/>
      <c r="KA120" s="274"/>
      <c r="KB120" s="274"/>
      <c r="KC120" s="274"/>
      <c r="KD120" s="274"/>
      <c r="KE120" s="274"/>
      <c r="KF120" s="274"/>
      <c r="KG120" s="274"/>
      <c r="KH120" s="274"/>
      <c r="KI120" s="274"/>
      <c r="KJ120" s="274"/>
      <c r="KP120" s="273"/>
      <c r="KQ120" s="274"/>
      <c r="KR120" s="274"/>
      <c r="KS120" s="274"/>
      <c r="KT120" s="274"/>
      <c r="KU120" s="274"/>
      <c r="KV120" s="274"/>
      <c r="KW120" s="274"/>
      <c r="KX120" s="274"/>
      <c r="KY120" s="274"/>
      <c r="KZ120" s="274"/>
      <c r="LA120" s="274"/>
      <c r="LB120" s="274"/>
      <c r="LC120" s="274"/>
      <c r="LD120" s="274"/>
      <c r="LE120" s="274"/>
      <c r="LF120" s="274"/>
      <c r="LG120" s="274"/>
      <c r="LH120" s="274"/>
      <c r="LI120" s="274"/>
      <c r="LJ120" s="274"/>
      <c r="LK120" s="274"/>
      <c r="LL120" s="274"/>
      <c r="LM120" s="274"/>
      <c r="LN120" s="274"/>
      <c r="LO120" s="274"/>
      <c r="LP120" s="274"/>
      <c r="LQ120" s="274"/>
      <c r="LR120" s="274"/>
      <c r="LS120" s="274"/>
      <c r="LT120" s="274"/>
      <c r="LU120" s="274"/>
      <c r="LV120" s="274"/>
      <c r="LW120" s="274"/>
      <c r="LX120" s="274"/>
      <c r="LY120" s="274"/>
      <c r="LZ120" s="274"/>
      <c r="MA120" s="274"/>
      <c r="MB120" s="274"/>
      <c r="MC120" s="275"/>
      <c r="MD120" s="273"/>
      <c r="ME120" s="274"/>
      <c r="MF120" s="274"/>
      <c r="MG120" s="274"/>
      <c r="MH120" s="275"/>
      <c r="MM120" s="273"/>
      <c r="MN120" s="274"/>
      <c r="MO120" s="274"/>
      <c r="MP120" s="274"/>
      <c r="MQ120" s="274"/>
      <c r="MR120" s="274"/>
      <c r="MS120" s="274"/>
      <c r="MT120" s="274"/>
      <c r="MU120" s="274"/>
      <c r="MV120" s="274"/>
      <c r="MW120" s="274"/>
      <c r="MX120" s="274"/>
      <c r="MY120" s="274"/>
      <c r="MZ120" s="274"/>
      <c r="NA120" s="274"/>
      <c r="NB120" s="274"/>
      <c r="NC120" s="274"/>
      <c r="ND120" s="274"/>
      <c r="NE120" s="274"/>
      <c r="NF120" s="274"/>
      <c r="NG120" s="274"/>
      <c r="NH120" s="274"/>
      <c r="NI120" s="274"/>
      <c r="NJ120" s="274"/>
      <c r="NK120" s="274"/>
      <c r="NL120" s="274"/>
      <c r="NM120" s="274"/>
      <c r="NN120" s="274"/>
      <c r="NO120" s="274"/>
      <c r="NP120" s="274"/>
      <c r="NQ120" s="274"/>
      <c r="NR120" s="274"/>
      <c r="NS120" s="274"/>
      <c r="NT120" s="274"/>
      <c r="NU120" s="274"/>
      <c r="NV120" s="274"/>
      <c r="NW120" s="274"/>
      <c r="NX120" s="274"/>
      <c r="NY120" s="274"/>
      <c r="NZ120" s="275"/>
      <c r="OA120" s="273"/>
      <c r="OB120" s="274"/>
      <c r="OC120" s="274"/>
      <c r="OD120" s="274"/>
      <c r="OE120" s="275"/>
      <c r="QQ120" s="152"/>
      <c r="QR120" s="153"/>
      <c r="QS120" s="176"/>
      <c r="QT120" s="176"/>
      <c r="QU120" s="176"/>
      <c r="QV120" s="176"/>
      <c r="QW120" s="177"/>
    </row>
    <row r="121" spans="3:465" ht="5.0999999999999996" customHeight="1" x14ac:dyDescent="0.3">
      <c r="C121" s="149"/>
      <c r="D121" s="150"/>
      <c r="G121" s="273"/>
      <c r="H121" s="274"/>
      <c r="I121" s="274"/>
      <c r="J121" s="274"/>
      <c r="K121" s="274"/>
      <c r="L121" s="274"/>
      <c r="M121" s="274"/>
      <c r="N121" s="274"/>
      <c r="O121" s="274"/>
      <c r="P121" s="274"/>
      <c r="Q121" s="274"/>
      <c r="R121" s="274"/>
      <c r="S121" s="274"/>
      <c r="T121" s="274"/>
      <c r="U121" s="274"/>
      <c r="V121" s="274"/>
      <c r="W121" s="274"/>
      <c r="X121" s="274"/>
      <c r="Y121" s="274"/>
      <c r="Z121" s="274"/>
      <c r="AA121" s="274"/>
      <c r="AB121" s="274"/>
      <c r="AC121" s="274"/>
      <c r="AD121" s="274"/>
      <c r="AE121" s="274"/>
      <c r="AF121" s="274"/>
      <c r="AG121" s="274"/>
      <c r="AH121" s="274"/>
      <c r="AI121" s="274"/>
      <c r="AJ121" s="274"/>
      <c r="AK121" s="274"/>
      <c r="AL121" s="274"/>
      <c r="AM121" s="274"/>
      <c r="AN121" s="274"/>
      <c r="AO121" s="274"/>
      <c r="AP121" s="274"/>
      <c r="AQ121" s="274"/>
      <c r="AR121" s="274"/>
      <c r="AS121" s="274"/>
      <c r="AT121" s="274"/>
      <c r="AU121" s="275"/>
      <c r="AV121" s="273"/>
      <c r="AW121" s="274"/>
      <c r="AX121" s="274"/>
      <c r="AY121" s="274"/>
      <c r="AZ121" s="275"/>
      <c r="BC121" s="273"/>
      <c r="BD121" s="274"/>
      <c r="BE121" s="274"/>
      <c r="BF121" s="274"/>
      <c r="BG121" s="274"/>
      <c r="BH121" s="274"/>
      <c r="BI121" s="274"/>
      <c r="BJ121" s="274"/>
      <c r="BK121" s="274"/>
      <c r="BL121" s="274"/>
      <c r="BM121" s="274"/>
      <c r="BN121" s="274"/>
      <c r="BO121" s="274"/>
      <c r="BP121" s="274"/>
      <c r="BQ121" s="274"/>
      <c r="BR121" s="274"/>
      <c r="BS121" s="274"/>
      <c r="BT121" s="274"/>
      <c r="BU121" s="274"/>
      <c r="BV121" s="274"/>
      <c r="BW121" s="274"/>
      <c r="BX121" s="274"/>
      <c r="BY121" s="274"/>
      <c r="BZ121" s="274"/>
      <c r="CA121" s="274"/>
      <c r="CB121" s="274"/>
      <c r="CC121" s="274"/>
      <c r="CD121" s="274"/>
      <c r="CE121" s="274"/>
      <c r="CF121" s="274"/>
      <c r="CG121" s="274"/>
      <c r="CH121" s="274"/>
      <c r="CI121" s="274"/>
      <c r="CJ121" s="274"/>
      <c r="CK121" s="274"/>
      <c r="CL121" s="274"/>
      <c r="CM121" s="274"/>
      <c r="CN121" s="274"/>
      <c r="CO121" s="274"/>
      <c r="CP121" s="274"/>
      <c r="CQ121" s="275"/>
      <c r="CR121" s="273"/>
      <c r="CS121" s="274"/>
      <c r="CT121" s="274"/>
      <c r="CU121" s="274"/>
      <c r="CV121" s="275"/>
      <c r="CY121" s="273"/>
      <c r="CZ121" s="274"/>
      <c r="DA121" s="274"/>
      <c r="DB121" s="274"/>
      <c r="DC121" s="274"/>
      <c r="DD121" s="274"/>
      <c r="DE121" s="274"/>
      <c r="DF121" s="274"/>
      <c r="DG121" s="274"/>
      <c r="DH121" s="274"/>
      <c r="DI121" s="274"/>
      <c r="DJ121" s="274"/>
      <c r="DK121" s="274"/>
      <c r="DL121" s="274"/>
      <c r="DM121" s="274"/>
      <c r="DN121" s="274"/>
      <c r="DO121" s="274"/>
      <c r="DP121" s="274"/>
      <c r="DQ121" s="274"/>
      <c r="DR121" s="274"/>
      <c r="DS121" s="274"/>
      <c r="DT121" s="274"/>
      <c r="DU121" s="274"/>
      <c r="DV121" s="274"/>
      <c r="DW121" s="274"/>
      <c r="DX121" s="274"/>
      <c r="DY121" s="274"/>
      <c r="DZ121" s="274"/>
      <c r="EA121" s="274"/>
      <c r="EB121" s="274"/>
      <c r="EC121" s="274"/>
      <c r="ED121" s="274"/>
      <c r="EE121" s="274"/>
      <c r="EF121" s="274"/>
      <c r="EG121" s="274"/>
      <c r="EH121" s="274"/>
      <c r="EI121" s="274"/>
      <c r="EJ121" s="274"/>
      <c r="EK121" s="274"/>
      <c r="EL121" s="274"/>
      <c r="EM121" s="275"/>
      <c r="EN121" s="273"/>
      <c r="EO121" s="274"/>
      <c r="EP121" s="274"/>
      <c r="EQ121" s="274"/>
      <c r="ER121" s="275"/>
      <c r="EU121" s="273"/>
      <c r="EV121" s="274"/>
      <c r="EW121" s="274"/>
      <c r="EX121" s="274"/>
      <c r="EY121" s="274"/>
      <c r="EZ121" s="274"/>
      <c r="FA121" s="274"/>
      <c r="FB121" s="274"/>
      <c r="FC121" s="274"/>
      <c r="FD121" s="274"/>
      <c r="FE121" s="274"/>
      <c r="FF121" s="274"/>
      <c r="FG121" s="274"/>
      <c r="FH121" s="274"/>
      <c r="FI121" s="274"/>
      <c r="FJ121" s="274"/>
      <c r="FK121" s="274"/>
      <c r="FL121" s="274"/>
      <c r="FM121" s="274"/>
      <c r="FN121" s="274"/>
      <c r="FO121" s="274"/>
      <c r="FP121" s="274"/>
      <c r="FQ121" s="274"/>
      <c r="FR121" s="274"/>
      <c r="FS121" s="274"/>
      <c r="FT121" s="274"/>
      <c r="FU121" s="274"/>
      <c r="FV121" s="274"/>
      <c r="FW121" s="274"/>
      <c r="FX121" s="274"/>
      <c r="FY121" s="274"/>
      <c r="FZ121" s="274"/>
      <c r="GA121" s="274"/>
      <c r="GB121" s="274"/>
      <c r="GC121" s="274"/>
      <c r="GD121" s="274"/>
      <c r="GE121" s="274"/>
      <c r="GF121" s="274"/>
      <c r="GG121" s="274"/>
      <c r="GH121" s="274"/>
      <c r="GI121" s="275"/>
      <c r="GJ121" s="273"/>
      <c r="GK121" s="274"/>
      <c r="GL121" s="274"/>
      <c r="GM121" s="274"/>
      <c r="GN121" s="275"/>
      <c r="GQ121" s="273"/>
      <c r="GR121" s="274"/>
      <c r="GS121" s="274"/>
      <c r="GT121" s="274"/>
      <c r="GU121" s="274"/>
      <c r="GV121" s="274"/>
      <c r="GW121" s="274"/>
      <c r="GX121" s="274"/>
      <c r="GY121" s="274"/>
      <c r="GZ121" s="274"/>
      <c r="HA121" s="274"/>
      <c r="HB121" s="274"/>
      <c r="HC121" s="274"/>
      <c r="HD121" s="274"/>
      <c r="HE121" s="274"/>
      <c r="HF121" s="274"/>
      <c r="HG121" s="274"/>
      <c r="HH121" s="274"/>
      <c r="HI121" s="274"/>
      <c r="HJ121" s="274"/>
      <c r="HK121" s="274"/>
      <c r="HL121" s="274"/>
      <c r="HM121" s="274"/>
      <c r="HN121" s="274"/>
      <c r="HO121" s="274"/>
      <c r="HP121" s="274"/>
      <c r="HQ121" s="274"/>
      <c r="HR121" s="274"/>
      <c r="HS121" s="274"/>
      <c r="HT121" s="274"/>
      <c r="HU121" s="274"/>
      <c r="HV121" s="274"/>
      <c r="HW121" s="274"/>
      <c r="HX121" s="274"/>
      <c r="HY121" s="274"/>
      <c r="HZ121" s="274"/>
      <c r="IA121" s="274"/>
      <c r="IB121" s="274"/>
      <c r="IC121" s="274"/>
      <c r="ID121" s="274"/>
      <c r="IE121" s="275"/>
      <c r="IF121" s="273"/>
      <c r="IG121" s="274"/>
      <c r="IH121" s="274"/>
      <c r="II121" s="274"/>
      <c r="IJ121" s="275"/>
      <c r="IR121" s="274"/>
      <c r="IS121" s="274"/>
      <c r="IT121" s="274"/>
      <c r="IU121" s="274"/>
      <c r="IV121" s="274"/>
      <c r="IW121" s="274"/>
      <c r="IX121" s="274"/>
      <c r="IY121" s="274"/>
      <c r="IZ121" s="274"/>
      <c r="JA121" s="274"/>
      <c r="JB121" s="274"/>
      <c r="JC121" s="274"/>
      <c r="JD121" s="274"/>
      <c r="JE121" s="274"/>
      <c r="JF121" s="274"/>
      <c r="JG121" s="274"/>
      <c r="JH121" s="274"/>
      <c r="JI121" s="274"/>
      <c r="JJ121" s="274"/>
      <c r="JK121" s="274"/>
      <c r="JL121" s="274"/>
      <c r="JM121" s="274"/>
      <c r="JN121" s="274"/>
      <c r="JO121" s="274"/>
      <c r="JP121" s="274"/>
      <c r="JQ121" s="274"/>
      <c r="JR121" s="274"/>
      <c r="JS121" s="274"/>
      <c r="JT121" s="274"/>
      <c r="JU121" s="274"/>
      <c r="JV121" s="274"/>
      <c r="JW121" s="274"/>
      <c r="JX121" s="274"/>
      <c r="JY121" s="274"/>
      <c r="JZ121" s="274"/>
      <c r="KA121" s="274"/>
      <c r="KB121" s="274"/>
      <c r="KC121" s="274"/>
      <c r="KD121" s="274"/>
      <c r="KE121" s="274"/>
      <c r="KF121" s="274"/>
      <c r="KG121" s="274"/>
      <c r="KH121" s="274"/>
      <c r="KI121" s="274"/>
      <c r="KJ121" s="274"/>
      <c r="KP121" s="273"/>
      <c r="KQ121" s="274"/>
      <c r="KR121" s="274"/>
      <c r="KS121" s="274"/>
      <c r="KT121" s="274"/>
      <c r="KU121" s="274"/>
      <c r="KV121" s="274"/>
      <c r="KW121" s="274"/>
      <c r="KX121" s="274"/>
      <c r="KY121" s="274"/>
      <c r="KZ121" s="274"/>
      <c r="LA121" s="274"/>
      <c r="LB121" s="274"/>
      <c r="LC121" s="274"/>
      <c r="LD121" s="274"/>
      <c r="LE121" s="274"/>
      <c r="LF121" s="274"/>
      <c r="LG121" s="274"/>
      <c r="LH121" s="274"/>
      <c r="LI121" s="274"/>
      <c r="LJ121" s="274"/>
      <c r="LK121" s="274"/>
      <c r="LL121" s="274"/>
      <c r="LM121" s="274"/>
      <c r="LN121" s="274"/>
      <c r="LO121" s="274"/>
      <c r="LP121" s="274"/>
      <c r="LQ121" s="274"/>
      <c r="LR121" s="274"/>
      <c r="LS121" s="274"/>
      <c r="LT121" s="274"/>
      <c r="LU121" s="274"/>
      <c r="LV121" s="274"/>
      <c r="LW121" s="274"/>
      <c r="LX121" s="274"/>
      <c r="LY121" s="274"/>
      <c r="LZ121" s="274"/>
      <c r="MA121" s="274"/>
      <c r="MB121" s="274"/>
      <c r="MC121" s="275"/>
      <c r="MD121" s="273"/>
      <c r="ME121" s="274"/>
      <c r="MF121" s="274"/>
      <c r="MG121" s="274"/>
      <c r="MH121" s="275"/>
      <c r="MM121" s="273"/>
      <c r="MN121" s="274"/>
      <c r="MO121" s="274"/>
      <c r="MP121" s="274"/>
      <c r="MQ121" s="274"/>
      <c r="MR121" s="274"/>
      <c r="MS121" s="274"/>
      <c r="MT121" s="274"/>
      <c r="MU121" s="274"/>
      <c r="MV121" s="274"/>
      <c r="MW121" s="274"/>
      <c r="MX121" s="274"/>
      <c r="MY121" s="274"/>
      <c r="MZ121" s="274"/>
      <c r="NA121" s="274"/>
      <c r="NB121" s="274"/>
      <c r="NC121" s="274"/>
      <c r="ND121" s="274"/>
      <c r="NE121" s="274"/>
      <c r="NF121" s="274"/>
      <c r="NG121" s="274"/>
      <c r="NH121" s="274"/>
      <c r="NI121" s="274"/>
      <c r="NJ121" s="274"/>
      <c r="NK121" s="274"/>
      <c r="NL121" s="274"/>
      <c r="NM121" s="274"/>
      <c r="NN121" s="274"/>
      <c r="NO121" s="274"/>
      <c r="NP121" s="274"/>
      <c r="NQ121" s="274"/>
      <c r="NR121" s="274"/>
      <c r="NS121" s="274"/>
      <c r="NT121" s="274"/>
      <c r="NU121" s="274"/>
      <c r="NV121" s="274"/>
      <c r="NW121" s="274"/>
      <c r="NX121" s="274"/>
      <c r="NY121" s="274"/>
      <c r="NZ121" s="275"/>
      <c r="OA121" s="273"/>
      <c r="OB121" s="274"/>
      <c r="OC121" s="274"/>
      <c r="OD121" s="274"/>
      <c r="OE121" s="275"/>
      <c r="QQ121" s="152"/>
      <c r="QR121" s="153"/>
      <c r="QS121" s="176"/>
      <c r="QT121" s="176"/>
      <c r="QU121" s="176"/>
      <c r="QV121" s="176"/>
      <c r="QW121" s="177"/>
    </row>
    <row r="122" spans="3:465" ht="5.0999999999999996" customHeight="1" x14ac:dyDescent="0.3">
      <c r="C122" s="149"/>
      <c r="D122" s="150"/>
      <c r="G122" s="273"/>
      <c r="H122" s="274"/>
      <c r="I122" s="274"/>
      <c r="J122" s="274"/>
      <c r="K122" s="274"/>
      <c r="L122" s="274"/>
      <c r="M122" s="274"/>
      <c r="N122" s="274"/>
      <c r="O122" s="274"/>
      <c r="P122" s="274"/>
      <c r="Q122" s="274"/>
      <c r="R122" s="274"/>
      <c r="S122" s="274"/>
      <c r="T122" s="274"/>
      <c r="U122" s="274"/>
      <c r="V122" s="274"/>
      <c r="W122" s="274"/>
      <c r="X122" s="274"/>
      <c r="Y122" s="274"/>
      <c r="Z122" s="274"/>
      <c r="AA122" s="274"/>
      <c r="AB122" s="274"/>
      <c r="AC122" s="274"/>
      <c r="AD122" s="274"/>
      <c r="AE122" s="274"/>
      <c r="AF122" s="274"/>
      <c r="AG122" s="274"/>
      <c r="AH122" s="274"/>
      <c r="AI122" s="274"/>
      <c r="AJ122" s="274"/>
      <c r="AK122" s="274"/>
      <c r="AL122" s="274"/>
      <c r="AM122" s="274"/>
      <c r="AN122" s="274"/>
      <c r="AO122" s="274"/>
      <c r="AP122" s="274"/>
      <c r="AQ122" s="274"/>
      <c r="AR122" s="274"/>
      <c r="AS122" s="274"/>
      <c r="AT122" s="274"/>
      <c r="AU122" s="275"/>
      <c r="AV122" s="273"/>
      <c r="AW122" s="274"/>
      <c r="AX122" s="274"/>
      <c r="AY122" s="274"/>
      <c r="AZ122" s="275"/>
      <c r="BC122" s="273"/>
      <c r="BD122" s="274"/>
      <c r="BE122" s="274"/>
      <c r="BF122" s="274"/>
      <c r="BG122" s="274"/>
      <c r="BH122" s="274"/>
      <c r="BI122" s="274"/>
      <c r="BJ122" s="274"/>
      <c r="BK122" s="274"/>
      <c r="BL122" s="274"/>
      <c r="BM122" s="274"/>
      <c r="BN122" s="274"/>
      <c r="BO122" s="274"/>
      <c r="BP122" s="274"/>
      <c r="BQ122" s="274"/>
      <c r="BR122" s="274"/>
      <c r="BS122" s="274"/>
      <c r="BT122" s="274"/>
      <c r="BU122" s="274"/>
      <c r="BV122" s="274"/>
      <c r="BW122" s="274"/>
      <c r="BX122" s="274"/>
      <c r="BY122" s="274"/>
      <c r="BZ122" s="274"/>
      <c r="CA122" s="274"/>
      <c r="CB122" s="274"/>
      <c r="CC122" s="274"/>
      <c r="CD122" s="274"/>
      <c r="CE122" s="274"/>
      <c r="CF122" s="274"/>
      <c r="CG122" s="274"/>
      <c r="CH122" s="274"/>
      <c r="CI122" s="274"/>
      <c r="CJ122" s="274"/>
      <c r="CK122" s="274"/>
      <c r="CL122" s="274"/>
      <c r="CM122" s="274"/>
      <c r="CN122" s="274"/>
      <c r="CO122" s="274"/>
      <c r="CP122" s="274"/>
      <c r="CQ122" s="275"/>
      <c r="CR122" s="273"/>
      <c r="CS122" s="274"/>
      <c r="CT122" s="274"/>
      <c r="CU122" s="274"/>
      <c r="CV122" s="275"/>
      <c r="CY122" s="273"/>
      <c r="CZ122" s="274"/>
      <c r="DA122" s="274"/>
      <c r="DB122" s="274"/>
      <c r="DC122" s="274"/>
      <c r="DD122" s="274"/>
      <c r="DE122" s="274"/>
      <c r="DF122" s="274"/>
      <c r="DG122" s="274"/>
      <c r="DH122" s="274"/>
      <c r="DI122" s="274"/>
      <c r="DJ122" s="274"/>
      <c r="DK122" s="274"/>
      <c r="DL122" s="274"/>
      <c r="DM122" s="274"/>
      <c r="DN122" s="274"/>
      <c r="DO122" s="274"/>
      <c r="DP122" s="274"/>
      <c r="DQ122" s="274"/>
      <c r="DR122" s="274"/>
      <c r="DS122" s="274"/>
      <c r="DT122" s="274"/>
      <c r="DU122" s="274"/>
      <c r="DV122" s="274"/>
      <c r="DW122" s="274"/>
      <c r="DX122" s="274"/>
      <c r="DY122" s="274"/>
      <c r="DZ122" s="274"/>
      <c r="EA122" s="274"/>
      <c r="EB122" s="274"/>
      <c r="EC122" s="274"/>
      <c r="ED122" s="274"/>
      <c r="EE122" s="274"/>
      <c r="EF122" s="274"/>
      <c r="EG122" s="274"/>
      <c r="EH122" s="274"/>
      <c r="EI122" s="274"/>
      <c r="EJ122" s="274"/>
      <c r="EK122" s="274"/>
      <c r="EL122" s="274"/>
      <c r="EM122" s="275"/>
      <c r="EN122" s="273"/>
      <c r="EO122" s="274"/>
      <c r="EP122" s="274"/>
      <c r="EQ122" s="274"/>
      <c r="ER122" s="275"/>
      <c r="EU122" s="273"/>
      <c r="EV122" s="274"/>
      <c r="EW122" s="274"/>
      <c r="EX122" s="274"/>
      <c r="EY122" s="274"/>
      <c r="EZ122" s="274"/>
      <c r="FA122" s="274"/>
      <c r="FB122" s="274"/>
      <c r="FC122" s="274"/>
      <c r="FD122" s="274"/>
      <c r="FE122" s="274"/>
      <c r="FF122" s="274"/>
      <c r="FG122" s="274"/>
      <c r="FH122" s="274"/>
      <c r="FI122" s="274"/>
      <c r="FJ122" s="274"/>
      <c r="FK122" s="274"/>
      <c r="FL122" s="274"/>
      <c r="FM122" s="274"/>
      <c r="FN122" s="274"/>
      <c r="FO122" s="274"/>
      <c r="FP122" s="274"/>
      <c r="FQ122" s="274"/>
      <c r="FR122" s="274"/>
      <c r="FS122" s="274"/>
      <c r="FT122" s="274"/>
      <c r="FU122" s="274"/>
      <c r="FV122" s="274"/>
      <c r="FW122" s="274"/>
      <c r="FX122" s="274"/>
      <c r="FY122" s="274"/>
      <c r="FZ122" s="274"/>
      <c r="GA122" s="274"/>
      <c r="GB122" s="274"/>
      <c r="GC122" s="274"/>
      <c r="GD122" s="274"/>
      <c r="GE122" s="274"/>
      <c r="GF122" s="274"/>
      <c r="GG122" s="274"/>
      <c r="GH122" s="274"/>
      <c r="GI122" s="275"/>
      <c r="GJ122" s="273"/>
      <c r="GK122" s="274"/>
      <c r="GL122" s="274"/>
      <c r="GM122" s="274"/>
      <c r="GN122" s="275"/>
      <c r="GQ122" s="273"/>
      <c r="GR122" s="274"/>
      <c r="GS122" s="274"/>
      <c r="GT122" s="274"/>
      <c r="GU122" s="274"/>
      <c r="GV122" s="274"/>
      <c r="GW122" s="274"/>
      <c r="GX122" s="274"/>
      <c r="GY122" s="274"/>
      <c r="GZ122" s="274"/>
      <c r="HA122" s="274"/>
      <c r="HB122" s="274"/>
      <c r="HC122" s="274"/>
      <c r="HD122" s="274"/>
      <c r="HE122" s="274"/>
      <c r="HF122" s="274"/>
      <c r="HG122" s="274"/>
      <c r="HH122" s="274"/>
      <c r="HI122" s="274"/>
      <c r="HJ122" s="274"/>
      <c r="HK122" s="274"/>
      <c r="HL122" s="274"/>
      <c r="HM122" s="274"/>
      <c r="HN122" s="274"/>
      <c r="HO122" s="274"/>
      <c r="HP122" s="274"/>
      <c r="HQ122" s="274"/>
      <c r="HR122" s="274"/>
      <c r="HS122" s="274"/>
      <c r="HT122" s="274"/>
      <c r="HU122" s="274"/>
      <c r="HV122" s="274"/>
      <c r="HW122" s="274"/>
      <c r="HX122" s="274"/>
      <c r="HY122" s="274"/>
      <c r="HZ122" s="274"/>
      <c r="IA122" s="274"/>
      <c r="IB122" s="274"/>
      <c r="IC122" s="274"/>
      <c r="ID122" s="274"/>
      <c r="IE122" s="275"/>
      <c r="IF122" s="273"/>
      <c r="IG122" s="274"/>
      <c r="IH122" s="274"/>
      <c r="II122" s="274"/>
      <c r="IJ122" s="275"/>
      <c r="IR122" s="274"/>
      <c r="IS122" s="274"/>
      <c r="IT122" s="274"/>
      <c r="IU122" s="274"/>
      <c r="IV122" s="274"/>
      <c r="IW122" s="274"/>
      <c r="IX122" s="274"/>
      <c r="IY122" s="274"/>
      <c r="IZ122" s="274"/>
      <c r="JA122" s="274"/>
      <c r="JB122" s="274"/>
      <c r="JC122" s="274"/>
      <c r="JD122" s="274"/>
      <c r="JE122" s="274"/>
      <c r="JF122" s="274"/>
      <c r="JG122" s="274"/>
      <c r="JH122" s="274"/>
      <c r="JI122" s="274"/>
      <c r="JJ122" s="274"/>
      <c r="JK122" s="274"/>
      <c r="JL122" s="274"/>
      <c r="JM122" s="274"/>
      <c r="JN122" s="274"/>
      <c r="JO122" s="274"/>
      <c r="JP122" s="274"/>
      <c r="JQ122" s="274"/>
      <c r="JR122" s="274"/>
      <c r="JS122" s="274"/>
      <c r="JT122" s="274"/>
      <c r="JU122" s="274"/>
      <c r="JV122" s="274"/>
      <c r="JW122" s="274"/>
      <c r="JX122" s="274"/>
      <c r="JY122" s="274"/>
      <c r="JZ122" s="274"/>
      <c r="KA122" s="274"/>
      <c r="KB122" s="274"/>
      <c r="KC122" s="274"/>
      <c r="KD122" s="274"/>
      <c r="KE122" s="274"/>
      <c r="KF122" s="274"/>
      <c r="KG122" s="274"/>
      <c r="KH122" s="274"/>
      <c r="KI122" s="274"/>
      <c r="KJ122" s="274"/>
      <c r="KP122" s="273"/>
      <c r="KQ122" s="274"/>
      <c r="KR122" s="274"/>
      <c r="KS122" s="274"/>
      <c r="KT122" s="274"/>
      <c r="KU122" s="274"/>
      <c r="KV122" s="274"/>
      <c r="KW122" s="274"/>
      <c r="KX122" s="274"/>
      <c r="KY122" s="274"/>
      <c r="KZ122" s="274"/>
      <c r="LA122" s="274"/>
      <c r="LB122" s="274"/>
      <c r="LC122" s="274"/>
      <c r="LD122" s="274"/>
      <c r="LE122" s="274"/>
      <c r="LF122" s="274"/>
      <c r="LG122" s="274"/>
      <c r="LH122" s="274"/>
      <c r="LI122" s="274"/>
      <c r="LJ122" s="274"/>
      <c r="LK122" s="274"/>
      <c r="LL122" s="274"/>
      <c r="LM122" s="274"/>
      <c r="LN122" s="274"/>
      <c r="LO122" s="274"/>
      <c r="LP122" s="274"/>
      <c r="LQ122" s="274"/>
      <c r="LR122" s="274"/>
      <c r="LS122" s="274"/>
      <c r="LT122" s="274"/>
      <c r="LU122" s="274"/>
      <c r="LV122" s="274"/>
      <c r="LW122" s="274"/>
      <c r="LX122" s="274"/>
      <c r="LY122" s="274"/>
      <c r="LZ122" s="274"/>
      <c r="MA122" s="274"/>
      <c r="MB122" s="274"/>
      <c r="MC122" s="275"/>
      <c r="MD122" s="273"/>
      <c r="ME122" s="274"/>
      <c r="MF122" s="274"/>
      <c r="MG122" s="274"/>
      <c r="MH122" s="275"/>
      <c r="MM122" s="273"/>
      <c r="MN122" s="274"/>
      <c r="MO122" s="274"/>
      <c r="MP122" s="274"/>
      <c r="MQ122" s="274"/>
      <c r="MR122" s="274"/>
      <c r="MS122" s="274"/>
      <c r="MT122" s="274"/>
      <c r="MU122" s="274"/>
      <c r="MV122" s="274"/>
      <c r="MW122" s="274"/>
      <c r="MX122" s="274"/>
      <c r="MY122" s="274"/>
      <c r="MZ122" s="274"/>
      <c r="NA122" s="274"/>
      <c r="NB122" s="274"/>
      <c r="NC122" s="274"/>
      <c r="ND122" s="274"/>
      <c r="NE122" s="274"/>
      <c r="NF122" s="274"/>
      <c r="NG122" s="274"/>
      <c r="NH122" s="274"/>
      <c r="NI122" s="274"/>
      <c r="NJ122" s="274"/>
      <c r="NK122" s="274"/>
      <c r="NL122" s="274"/>
      <c r="NM122" s="274"/>
      <c r="NN122" s="274"/>
      <c r="NO122" s="274"/>
      <c r="NP122" s="274"/>
      <c r="NQ122" s="274"/>
      <c r="NR122" s="274"/>
      <c r="NS122" s="274"/>
      <c r="NT122" s="274"/>
      <c r="NU122" s="274"/>
      <c r="NV122" s="274"/>
      <c r="NW122" s="274"/>
      <c r="NX122" s="274"/>
      <c r="NY122" s="274"/>
      <c r="NZ122" s="275"/>
      <c r="OA122" s="273"/>
      <c r="OB122" s="274"/>
      <c r="OC122" s="274"/>
      <c r="OD122" s="274"/>
      <c r="OE122" s="275"/>
      <c r="QQ122" s="152"/>
      <c r="QR122" s="153"/>
      <c r="QS122" s="176"/>
      <c r="QT122" s="176"/>
      <c r="QU122" s="176"/>
      <c r="QV122" s="176"/>
      <c r="QW122" s="177"/>
    </row>
    <row r="123" spans="3:465" ht="5.0999999999999996" customHeight="1" x14ac:dyDescent="0.3">
      <c r="C123" s="149"/>
      <c r="D123" s="150"/>
      <c r="G123" s="273"/>
      <c r="H123" s="274"/>
      <c r="I123" s="274"/>
      <c r="J123" s="274"/>
      <c r="K123" s="274"/>
      <c r="L123" s="274"/>
      <c r="M123" s="274"/>
      <c r="N123" s="274"/>
      <c r="O123" s="274"/>
      <c r="P123" s="274"/>
      <c r="Q123" s="274"/>
      <c r="R123" s="274"/>
      <c r="S123" s="274"/>
      <c r="T123" s="274"/>
      <c r="U123" s="274"/>
      <c r="V123" s="274"/>
      <c r="W123" s="274"/>
      <c r="X123" s="274"/>
      <c r="Y123" s="274"/>
      <c r="Z123" s="274"/>
      <c r="AA123" s="274"/>
      <c r="AB123" s="274"/>
      <c r="AC123" s="274"/>
      <c r="AD123" s="274"/>
      <c r="AE123" s="274"/>
      <c r="AF123" s="274"/>
      <c r="AG123" s="274"/>
      <c r="AH123" s="274"/>
      <c r="AI123" s="274"/>
      <c r="AJ123" s="274"/>
      <c r="AK123" s="274"/>
      <c r="AL123" s="274"/>
      <c r="AM123" s="274"/>
      <c r="AN123" s="274"/>
      <c r="AO123" s="274"/>
      <c r="AP123" s="274"/>
      <c r="AQ123" s="274"/>
      <c r="AR123" s="274"/>
      <c r="AS123" s="274"/>
      <c r="AT123" s="274"/>
      <c r="AU123" s="275"/>
      <c r="AV123" s="273"/>
      <c r="AW123" s="274"/>
      <c r="AX123" s="274"/>
      <c r="AY123" s="274"/>
      <c r="AZ123" s="275"/>
      <c r="BC123" s="273"/>
      <c r="BD123" s="274"/>
      <c r="BE123" s="274"/>
      <c r="BF123" s="274"/>
      <c r="BG123" s="274"/>
      <c r="BH123" s="274"/>
      <c r="BI123" s="274"/>
      <c r="BJ123" s="274"/>
      <c r="BK123" s="274"/>
      <c r="BL123" s="274"/>
      <c r="BM123" s="274"/>
      <c r="BN123" s="274"/>
      <c r="BO123" s="274"/>
      <c r="BP123" s="274"/>
      <c r="BQ123" s="274"/>
      <c r="BR123" s="274"/>
      <c r="BS123" s="274"/>
      <c r="BT123" s="274"/>
      <c r="BU123" s="274"/>
      <c r="BV123" s="274"/>
      <c r="BW123" s="274"/>
      <c r="BX123" s="274"/>
      <c r="BY123" s="274"/>
      <c r="BZ123" s="274"/>
      <c r="CA123" s="274"/>
      <c r="CB123" s="274"/>
      <c r="CC123" s="274"/>
      <c r="CD123" s="274"/>
      <c r="CE123" s="274"/>
      <c r="CF123" s="274"/>
      <c r="CG123" s="274"/>
      <c r="CH123" s="274"/>
      <c r="CI123" s="274"/>
      <c r="CJ123" s="274"/>
      <c r="CK123" s="274"/>
      <c r="CL123" s="274"/>
      <c r="CM123" s="274"/>
      <c r="CN123" s="274"/>
      <c r="CO123" s="274"/>
      <c r="CP123" s="274"/>
      <c r="CQ123" s="275"/>
      <c r="CR123" s="273"/>
      <c r="CS123" s="274"/>
      <c r="CT123" s="274"/>
      <c r="CU123" s="274"/>
      <c r="CV123" s="275"/>
      <c r="CY123" s="273"/>
      <c r="CZ123" s="274"/>
      <c r="DA123" s="274"/>
      <c r="DB123" s="274"/>
      <c r="DC123" s="274"/>
      <c r="DD123" s="274"/>
      <c r="DE123" s="274"/>
      <c r="DF123" s="274"/>
      <c r="DG123" s="274"/>
      <c r="DH123" s="274"/>
      <c r="DI123" s="274"/>
      <c r="DJ123" s="274"/>
      <c r="DK123" s="274"/>
      <c r="DL123" s="274"/>
      <c r="DM123" s="274"/>
      <c r="DN123" s="274"/>
      <c r="DO123" s="274"/>
      <c r="DP123" s="274"/>
      <c r="DQ123" s="274"/>
      <c r="DR123" s="274"/>
      <c r="DS123" s="274"/>
      <c r="DT123" s="274"/>
      <c r="DU123" s="274"/>
      <c r="DV123" s="274"/>
      <c r="DW123" s="274"/>
      <c r="DX123" s="274"/>
      <c r="DY123" s="274"/>
      <c r="DZ123" s="274"/>
      <c r="EA123" s="274"/>
      <c r="EB123" s="274"/>
      <c r="EC123" s="274"/>
      <c r="ED123" s="274"/>
      <c r="EE123" s="274"/>
      <c r="EF123" s="274"/>
      <c r="EG123" s="274"/>
      <c r="EH123" s="274"/>
      <c r="EI123" s="274"/>
      <c r="EJ123" s="274"/>
      <c r="EK123" s="274"/>
      <c r="EL123" s="274"/>
      <c r="EM123" s="275"/>
      <c r="EN123" s="273"/>
      <c r="EO123" s="274"/>
      <c r="EP123" s="274"/>
      <c r="EQ123" s="274"/>
      <c r="ER123" s="275"/>
      <c r="EU123" s="273"/>
      <c r="EV123" s="274"/>
      <c r="EW123" s="274"/>
      <c r="EX123" s="274"/>
      <c r="EY123" s="274"/>
      <c r="EZ123" s="274"/>
      <c r="FA123" s="274"/>
      <c r="FB123" s="274"/>
      <c r="FC123" s="274"/>
      <c r="FD123" s="274"/>
      <c r="FE123" s="274"/>
      <c r="FF123" s="274"/>
      <c r="FG123" s="274"/>
      <c r="FH123" s="274"/>
      <c r="FI123" s="274"/>
      <c r="FJ123" s="274"/>
      <c r="FK123" s="274"/>
      <c r="FL123" s="274"/>
      <c r="FM123" s="274"/>
      <c r="FN123" s="274"/>
      <c r="FO123" s="274"/>
      <c r="FP123" s="274"/>
      <c r="FQ123" s="274"/>
      <c r="FR123" s="274"/>
      <c r="FS123" s="274"/>
      <c r="FT123" s="274"/>
      <c r="FU123" s="274"/>
      <c r="FV123" s="274"/>
      <c r="FW123" s="274"/>
      <c r="FX123" s="274"/>
      <c r="FY123" s="274"/>
      <c r="FZ123" s="274"/>
      <c r="GA123" s="274"/>
      <c r="GB123" s="274"/>
      <c r="GC123" s="274"/>
      <c r="GD123" s="274"/>
      <c r="GE123" s="274"/>
      <c r="GF123" s="274"/>
      <c r="GG123" s="274"/>
      <c r="GH123" s="274"/>
      <c r="GI123" s="275"/>
      <c r="GJ123" s="273"/>
      <c r="GK123" s="274"/>
      <c r="GL123" s="274"/>
      <c r="GM123" s="274"/>
      <c r="GN123" s="275"/>
      <c r="GQ123" s="273"/>
      <c r="GR123" s="274"/>
      <c r="GS123" s="274"/>
      <c r="GT123" s="274"/>
      <c r="GU123" s="274"/>
      <c r="GV123" s="274"/>
      <c r="GW123" s="274"/>
      <c r="GX123" s="274"/>
      <c r="GY123" s="274"/>
      <c r="GZ123" s="274"/>
      <c r="HA123" s="274"/>
      <c r="HB123" s="274"/>
      <c r="HC123" s="274"/>
      <c r="HD123" s="274"/>
      <c r="HE123" s="274"/>
      <c r="HF123" s="274"/>
      <c r="HG123" s="274"/>
      <c r="HH123" s="274"/>
      <c r="HI123" s="274"/>
      <c r="HJ123" s="274"/>
      <c r="HK123" s="274"/>
      <c r="HL123" s="274"/>
      <c r="HM123" s="274"/>
      <c r="HN123" s="274"/>
      <c r="HO123" s="274"/>
      <c r="HP123" s="274"/>
      <c r="HQ123" s="274"/>
      <c r="HR123" s="274"/>
      <c r="HS123" s="274"/>
      <c r="HT123" s="274"/>
      <c r="HU123" s="274"/>
      <c r="HV123" s="274"/>
      <c r="HW123" s="274"/>
      <c r="HX123" s="274"/>
      <c r="HY123" s="274"/>
      <c r="HZ123" s="274"/>
      <c r="IA123" s="274"/>
      <c r="IB123" s="274"/>
      <c r="IC123" s="274"/>
      <c r="ID123" s="274"/>
      <c r="IE123" s="275"/>
      <c r="IF123" s="273"/>
      <c r="IG123" s="274"/>
      <c r="IH123" s="274"/>
      <c r="II123" s="274"/>
      <c r="IJ123" s="275"/>
      <c r="IR123" s="274"/>
      <c r="IS123" s="274"/>
      <c r="IT123" s="274"/>
      <c r="IU123" s="274"/>
      <c r="IV123" s="274"/>
      <c r="IW123" s="274"/>
      <c r="IX123" s="274"/>
      <c r="IY123" s="274"/>
      <c r="IZ123" s="274"/>
      <c r="JA123" s="274"/>
      <c r="JB123" s="274"/>
      <c r="JC123" s="274"/>
      <c r="JD123" s="274"/>
      <c r="JE123" s="274"/>
      <c r="JF123" s="274"/>
      <c r="JG123" s="274"/>
      <c r="JH123" s="274"/>
      <c r="JI123" s="274"/>
      <c r="JJ123" s="274"/>
      <c r="JK123" s="274"/>
      <c r="JL123" s="274"/>
      <c r="JM123" s="274"/>
      <c r="JN123" s="274"/>
      <c r="JO123" s="274"/>
      <c r="JP123" s="274"/>
      <c r="JQ123" s="274"/>
      <c r="JR123" s="274"/>
      <c r="JS123" s="274"/>
      <c r="JT123" s="274"/>
      <c r="JU123" s="274"/>
      <c r="JV123" s="274"/>
      <c r="JW123" s="274"/>
      <c r="JX123" s="274"/>
      <c r="JY123" s="274"/>
      <c r="JZ123" s="274"/>
      <c r="KA123" s="274"/>
      <c r="KB123" s="274"/>
      <c r="KC123" s="274"/>
      <c r="KD123" s="274"/>
      <c r="KE123" s="274"/>
      <c r="KF123" s="274"/>
      <c r="KG123" s="274"/>
      <c r="KH123" s="274"/>
      <c r="KI123" s="274"/>
      <c r="KJ123" s="274"/>
      <c r="KP123" s="273"/>
      <c r="KQ123" s="274"/>
      <c r="KR123" s="274"/>
      <c r="KS123" s="274"/>
      <c r="KT123" s="274"/>
      <c r="KU123" s="274"/>
      <c r="KV123" s="274"/>
      <c r="KW123" s="274"/>
      <c r="KX123" s="274"/>
      <c r="KY123" s="274"/>
      <c r="KZ123" s="274"/>
      <c r="LA123" s="274"/>
      <c r="LB123" s="274"/>
      <c r="LC123" s="274"/>
      <c r="LD123" s="274"/>
      <c r="LE123" s="274"/>
      <c r="LF123" s="274"/>
      <c r="LG123" s="274"/>
      <c r="LH123" s="274"/>
      <c r="LI123" s="274"/>
      <c r="LJ123" s="274"/>
      <c r="LK123" s="274"/>
      <c r="LL123" s="274"/>
      <c r="LM123" s="274"/>
      <c r="LN123" s="274"/>
      <c r="LO123" s="274"/>
      <c r="LP123" s="274"/>
      <c r="LQ123" s="274"/>
      <c r="LR123" s="274"/>
      <c r="LS123" s="274"/>
      <c r="LT123" s="274"/>
      <c r="LU123" s="274"/>
      <c r="LV123" s="274"/>
      <c r="LW123" s="274"/>
      <c r="LX123" s="274"/>
      <c r="LY123" s="274"/>
      <c r="LZ123" s="274"/>
      <c r="MA123" s="274"/>
      <c r="MB123" s="274"/>
      <c r="MC123" s="275"/>
      <c r="MD123" s="273"/>
      <c r="ME123" s="274"/>
      <c r="MF123" s="274"/>
      <c r="MG123" s="274"/>
      <c r="MH123" s="275"/>
      <c r="MM123" s="273"/>
      <c r="MN123" s="274"/>
      <c r="MO123" s="274"/>
      <c r="MP123" s="274"/>
      <c r="MQ123" s="274"/>
      <c r="MR123" s="274"/>
      <c r="MS123" s="274"/>
      <c r="MT123" s="274"/>
      <c r="MU123" s="274"/>
      <c r="MV123" s="274"/>
      <c r="MW123" s="274"/>
      <c r="MX123" s="274"/>
      <c r="MY123" s="274"/>
      <c r="MZ123" s="274"/>
      <c r="NA123" s="274"/>
      <c r="NB123" s="274"/>
      <c r="NC123" s="274"/>
      <c r="ND123" s="274"/>
      <c r="NE123" s="274"/>
      <c r="NF123" s="274"/>
      <c r="NG123" s="274"/>
      <c r="NH123" s="274"/>
      <c r="NI123" s="274"/>
      <c r="NJ123" s="274"/>
      <c r="NK123" s="274"/>
      <c r="NL123" s="274"/>
      <c r="NM123" s="274"/>
      <c r="NN123" s="274"/>
      <c r="NO123" s="274"/>
      <c r="NP123" s="274"/>
      <c r="NQ123" s="274"/>
      <c r="NR123" s="274"/>
      <c r="NS123" s="274"/>
      <c r="NT123" s="274"/>
      <c r="NU123" s="274"/>
      <c r="NV123" s="274"/>
      <c r="NW123" s="274"/>
      <c r="NX123" s="274"/>
      <c r="NY123" s="274"/>
      <c r="NZ123" s="275"/>
      <c r="OA123" s="273"/>
      <c r="OB123" s="274"/>
      <c r="OC123" s="274"/>
      <c r="OD123" s="274"/>
      <c r="OE123" s="275"/>
      <c r="QQ123" s="152"/>
      <c r="QR123" s="153"/>
      <c r="QS123" s="176"/>
      <c r="QT123" s="176"/>
      <c r="QU123" s="176"/>
      <c r="QV123" s="176"/>
      <c r="QW123" s="177"/>
    </row>
    <row r="124" spans="3:465" ht="5.0999999999999996" customHeight="1" x14ac:dyDescent="0.3">
      <c r="C124" s="149"/>
      <c r="D124" s="150"/>
      <c r="G124" s="273"/>
      <c r="H124" s="274"/>
      <c r="I124" s="274"/>
      <c r="J124" s="274"/>
      <c r="K124" s="274"/>
      <c r="L124" s="274"/>
      <c r="M124" s="274"/>
      <c r="N124" s="274"/>
      <c r="O124" s="274"/>
      <c r="P124" s="274"/>
      <c r="Q124" s="274"/>
      <c r="R124" s="274"/>
      <c r="S124" s="274"/>
      <c r="T124" s="274"/>
      <c r="U124" s="274"/>
      <c r="V124" s="274"/>
      <c r="W124" s="274"/>
      <c r="X124" s="274"/>
      <c r="Y124" s="274"/>
      <c r="Z124" s="274"/>
      <c r="AA124" s="274"/>
      <c r="AB124" s="274"/>
      <c r="AC124" s="274"/>
      <c r="AD124" s="274"/>
      <c r="AE124" s="274"/>
      <c r="AF124" s="274"/>
      <c r="AG124" s="274"/>
      <c r="AH124" s="274"/>
      <c r="AI124" s="274"/>
      <c r="AJ124" s="274"/>
      <c r="AK124" s="274"/>
      <c r="AL124" s="274"/>
      <c r="AM124" s="274"/>
      <c r="AN124" s="274"/>
      <c r="AO124" s="274"/>
      <c r="AP124" s="274"/>
      <c r="AQ124" s="274"/>
      <c r="AR124" s="274"/>
      <c r="AS124" s="274"/>
      <c r="AT124" s="274"/>
      <c r="AU124" s="275"/>
      <c r="AV124" s="273"/>
      <c r="AW124" s="274"/>
      <c r="AX124" s="274"/>
      <c r="AY124" s="274"/>
      <c r="AZ124" s="275"/>
      <c r="BC124" s="273"/>
      <c r="BD124" s="274"/>
      <c r="BE124" s="274"/>
      <c r="BF124" s="274"/>
      <c r="BG124" s="274"/>
      <c r="BH124" s="274"/>
      <c r="BI124" s="274"/>
      <c r="BJ124" s="274"/>
      <c r="BK124" s="274"/>
      <c r="BL124" s="274"/>
      <c r="BM124" s="274"/>
      <c r="BN124" s="274"/>
      <c r="BO124" s="274"/>
      <c r="BP124" s="274"/>
      <c r="BQ124" s="274"/>
      <c r="BR124" s="274"/>
      <c r="BS124" s="274"/>
      <c r="BT124" s="274"/>
      <c r="BU124" s="274"/>
      <c r="BV124" s="274"/>
      <c r="BW124" s="274"/>
      <c r="BX124" s="274"/>
      <c r="BY124" s="274"/>
      <c r="BZ124" s="274"/>
      <c r="CA124" s="274"/>
      <c r="CB124" s="274"/>
      <c r="CC124" s="274"/>
      <c r="CD124" s="274"/>
      <c r="CE124" s="274"/>
      <c r="CF124" s="274"/>
      <c r="CG124" s="274"/>
      <c r="CH124" s="274"/>
      <c r="CI124" s="274"/>
      <c r="CJ124" s="274"/>
      <c r="CK124" s="274"/>
      <c r="CL124" s="274"/>
      <c r="CM124" s="274"/>
      <c r="CN124" s="274"/>
      <c r="CO124" s="274"/>
      <c r="CP124" s="274"/>
      <c r="CQ124" s="275"/>
      <c r="CR124" s="273"/>
      <c r="CS124" s="274"/>
      <c r="CT124" s="274"/>
      <c r="CU124" s="274"/>
      <c r="CV124" s="275"/>
      <c r="CY124" s="273"/>
      <c r="CZ124" s="274"/>
      <c r="DA124" s="274"/>
      <c r="DB124" s="274"/>
      <c r="DC124" s="274"/>
      <c r="DD124" s="274"/>
      <c r="DE124" s="274"/>
      <c r="DF124" s="274"/>
      <c r="DG124" s="274"/>
      <c r="DH124" s="274"/>
      <c r="DI124" s="274"/>
      <c r="DJ124" s="274"/>
      <c r="DK124" s="274"/>
      <c r="DL124" s="274"/>
      <c r="DM124" s="274"/>
      <c r="DN124" s="274"/>
      <c r="DO124" s="274"/>
      <c r="DP124" s="274"/>
      <c r="DQ124" s="274"/>
      <c r="DR124" s="274"/>
      <c r="DS124" s="274"/>
      <c r="DT124" s="274"/>
      <c r="DU124" s="274"/>
      <c r="DV124" s="274"/>
      <c r="DW124" s="274"/>
      <c r="DX124" s="274"/>
      <c r="DY124" s="274"/>
      <c r="DZ124" s="274"/>
      <c r="EA124" s="274"/>
      <c r="EB124" s="274"/>
      <c r="EC124" s="274"/>
      <c r="ED124" s="274"/>
      <c r="EE124" s="274"/>
      <c r="EF124" s="274"/>
      <c r="EG124" s="274"/>
      <c r="EH124" s="274"/>
      <c r="EI124" s="274"/>
      <c r="EJ124" s="274"/>
      <c r="EK124" s="274"/>
      <c r="EL124" s="274"/>
      <c r="EM124" s="275"/>
      <c r="EN124" s="273"/>
      <c r="EO124" s="274"/>
      <c r="EP124" s="274"/>
      <c r="EQ124" s="274"/>
      <c r="ER124" s="275"/>
      <c r="EU124" s="273"/>
      <c r="EV124" s="274"/>
      <c r="EW124" s="274"/>
      <c r="EX124" s="274"/>
      <c r="EY124" s="274"/>
      <c r="EZ124" s="274"/>
      <c r="FA124" s="274"/>
      <c r="FB124" s="274"/>
      <c r="FC124" s="274"/>
      <c r="FD124" s="274"/>
      <c r="FE124" s="274"/>
      <c r="FF124" s="274"/>
      <c r="FG124" s="274"/>
      <c r="FH124" s="274"/>
      <c r="FI124" s="274"/>
      <c r="FJ124" s="274"/>
      <c r="FK124" s="274"/>
      <c r="FL124" s="274"/>
      <c r="FM124" s="274"/>
      <c r="FN124" s="274"/>
      <c r="FO124" s="274"/>
      <c r="FP124" s="274"/>
      <c r="FQ124" s="274"/>
      <c r="FR124" s="274"/>
      <c r="FS124" s="274"/>
      <c r="FT124" s="274"/>
      <c r="FU124" s="274"/>
      <c r="FV124" s="274"/>
      <c r="FW124" s="274"/>
      <c r="FX124" s="274"/>
      <c r="FY124" s="274"/>
      <c r="FZ124" s="274"/>
      <c r="GA124" s="274"/>
      <c r="GB124" s="274"/>
      <c r="GC124" s="274"/>
      <c r="GD124" s="274"/>
      <c r="GE124" s="274"/>
      <c r="GF124" s="274"/>
      <c r="GG124" s="274"/>
      <c r="GH124" s="274"/>
      <c r="GI124" s="275"/>
      <c r="GJ124" s="273"/>
      <c r="GK124" s="274"/>
      <c r="GL124" s="274"/>
      <c r="GM124" s="274"/>
      <c r="GN124" s="275"/>
      <c r="GQ124" s="273"/>
      <c r="GR124" s="274"/>
      <c r="GS124" s="274"/>
      <c r="GT124" s="274"/>
      <c r="GU124" s="274"/>
      <c r="GV124" s="274"/>
      <c r="GW124" s="274"/>
      <c r="GX124" s="274"/>
      <c r="GY124" s="274"/>
      <c r="GZ124" s="274"/>
      <c r="HA124" s="274"/>
      <c r="HB124" s="274"/>
      <c r="HC124" s="274"/>
      <c r="HD124" s="274"/>
      <c r="HE124" s="274"/>
      <c r="HF124" s="274"/>
      <c r="HG124" s="274"/>
      <c r="HH124" s="274"/>
      <c r="HI124" s="274"/>
      <c r="HJ124" s="274"/>
      <c r="HK124" s="274"/>
      <c r="HL124" s="274"/>
      <c r="HM124" s="274"/>
      <c r="HN124" s="274"/>
      <c r="HO124" s="274"/>
      <c r="HP124" s="274"/>
      <c r="HQ124" s="274"/>
      <c r="HR124" s="274"/>
      <c r="HS124" s="274"/>
      <c r="HT124" s="274"/>
      <c r="HU124" s="274"/>
      <c r="HV124" s="274"/>
      <c r="HW124" s="274"/>
      <c r="HX124" s="274"/>
      <c r="HY124" s="274"/>
      <c r="HZ124" s="274"/>
      <c r="IA124" s="274"/>
      <c r="IB124" s="274"/>
      <c r="IC124" s="274"/>
      <c r="ID124" s="274"/>
      <c r="IE124" s="275"/>
      <c r="IF124" s="273"/>
      <c r="IG124" s="274"/>
      <c r="IH124" s="274"/>
      <c r="II124" s="274"/>
      <c r="IJ124" s="275"/>
      <c r="IR124" s="274"/>
      <c r="IS124" s="274"/>
      <c r="IT124" s="274"/>
      <c r="IU124" s="274"/>
      <c r="IV124" s="274"/>
      <c r="IW124" s="274"/>
      <c r="IX124" s="274"/>
      <c r="IY124" s="274"/>
      <c r="IZ124" s="274"/>
      <c r="JA124" s="274"/>
      <c r="JB124" s="274"/>
      <c r="JC124" s="274"/>
      <c r="JD124" s="274"/>
      <c r="JE124" s="274"/>
      <c r="JF124" s="274"/>
      <c r="JG124" s="274"/>
      <c r="JH124" s="274"/>
      <c r="JI124" s="274"/>
      <c r="JJ124" s="274"/>
      <c r="JK124" s="274"/>
      <c r="JL124" s="274"/>
      <c r="JM124" s="274"/>
      <c r="JN124" s="274"/>
      <c r="JO124" s="274"/>
      <c r="JP124" s="274"/>
      <c r="JQ124" s="274"/>
      <c r="JR124" s="274"/>
      <c r="JS124" s="274"/>
      <c r="JT124" s="274"/>
      <c r="JU124" s="274"/>
      <c r="JV124" s="274"/>
      <c r="JW124" s="274"/>
      <c r="JX124" s="274"/>
      <c r="JY124" s="274"/>
      <c r="JZ124" s="274"/>
      <c r="KA124" s="274"/>
      <c r="KB124" s="274"/>
      <c r="KC124" s="274"/>
      <c r="KD124" s="274"/>
      <c r="KE124" s="274"/>
      <c r="KF124" s="274"/>
      <c r="KG124" s="274"/>
      <c r="KH124" s="274"/>
      <c r="KI124" s="274"/>
      <c r="KJ124" s="274"/>
      <c r="KP124" s="276"/>
      <c r="KQ124" s="277"/>
      <c r="KR124" s="277"/>
      <c r="KS124" s="277"/>
      <c r="KT124" s="277"/>
      <c r="KU124" s="277"/>
      <c r="KV124" s="277"/>
      <c r="KW124" s="277"/>
      <c r="KX124" s="277"/>
      <c r="KY124" s="277"/>
      <c r="KZ124" s="277"/>
      <c r="LA124" s="277"/>
      <c r="LB124" s="277"/>
      <c r="LC124" s="277"/>
      <c r="LD124" s="277"/>
      <c r="LE124" s="277"/>
      <c r="LF124" s="277"/>
      <c r="LG124" s="277"/>
      <c r="LH124" s="277"/>
      <c r="LI124" s="277"/>
      <c r="LJ124" s="277"/>
      <c r="LK124" s="277"/>
      <c r="LL124" s="277"/>
      <c r="LM124" s="277"/>
      <c r="LN124" s="277"/>
      <c r="LO124" s="277"/>
      <c r="LP124" s="277"/>
      <c r="LQ124" s="277"/>
      <c r="LR124" s="277"/>
      <c r="LS124" s="277"/>
      <c r="LT124" s="277"/>
      <c r="LU124" s="277"/>
      <c r="LV124" s="277"/>
      <c r="LW124" s="277"/>
      <c r="LX124" s="277"/>
      <c r="LY124" s="277"/>
      <c r="LZ124" s="277"/>
      <c r="MA124" s="277"/>
      <c r="MB124" s="277"/>
      <c r="MC124" s="278"/>
      <c r="MD124" s="276"/>
      <c r="ME124" s="277"/>
      <c r="MF124" s="277"/>
      <c r="MG124" s="277"/>
      <c r="MH124" s="278"/>
      <c r="MM124" s="276"/>
      <c r="MN124" s="277"/>
      <c r="MO124" s="277"/>
      <c r="MP124" s="277"/>
      <c r="MQ124" s="277"/>
      <c r="MR124" s="277"/>
      <c r="MS124" s="277"/>
      <c r="MT124" s="277"/>
      <c r="MU124" s="277"/>
      <c r="MV124" s="277"/>
      <c r="MW124" s="277"/>
      <c r="MX124" s="277"/>
      <c r="MY124" s="277"/>
      <c r="MZ124" s="277"/>
      <c r="NA124" s="277"/>
      <c r="NB124" s="277"/>
      <c r="NC124" s="277"/>
      <c r="ND124" s="277"/>
      <c r="NE124" s="277"/>
      <c r="NF124" s="277"/>
      <c r="NG124" s="277"/>
      <c r="NH124" s="277"/>
      <c r="NI124" s="277"/>
      <c r="NJ124" s="277"/>
      <c r="NK124" s="277"/>
      <c r="NL124" s="277"/>
      <c r="NM124" s="277"/>
      <c r="NN124" s="277"/>
      <c r="NO124" s="277"/>
      <c r="NP124" s="277"/>
      <c r="NQ124" s="277"/>
      <c r="NR124" s="277"/>
      <c r="NS124" s="277"/>
      <c r="NT124" s="277"/>
      <c r="NU124" s="277"/>
      <c r="NV124" s="277"/>
      <c r="NW124" s="277"/>
      <c r="NX124" s="277"/>
      <c r="NY124" s="277"/>
      <c r="NZ124" s="278"/>
      <c r="OA124" s="276"/>
      <c r="OB124" s="277"/>
      <c r="OC124" s="277"/>
      <c r="OD124" s="277"/>
      <c r="OE124" s="278"/>
      <c r="QQ124" s="152"/>
      <c r="QR124" s="153"/>
      <c r="QS124" s="176"/>
      <c r="QT124" s="176"/>
      <c r="QU124" s="176"/>
      <c r="QV124" s="176"/>
      <c r="QW124" s="177"/>
    </row>
    <row r="125" spans="3:465" ht="5.0999999999999996" customHeight="1" x14ac:dyDescent="0.3">
      <c r="C125" s="149"/>
      <c r="D125" s="150"/>
      <c r="G125" s="273"/>
      <c r="H125" s="274"/>
      <c r="I125" s="274"/>
      <c r="J125" s="274"/>
      <c r="K125" s="274"/>
      <c r="L125" s="274"/>
      <c r="M125" s="274"/>
      <c r="N125" s="274"/>
      <c r="O125" s="274"/>
      <c r="P125" s="274"/>
      <c r="Q125" s="274"/>
      <c r="R125" s="274"/>
      <c r="S125" s="274"/>
      <c r="T125" s="274"/>
      <c r="U125" s="274"/>
      <c r="V125" s="274"/>
      <c r="W125" s="274"/>
      <c r="X125" s="274"/>
      <c r="Y125" s="274"/>
      <c r="Z125" s="274"/>
      <c r="AA125" s="274"/>
      <c r="AB125" s="274"/>
      <c r="AC125" s="274"/>
      <c r="AD125" s="274"/>
      <c r="AE125" s="274"/>
      <c r="AF125" s="274"/>
      <c r="AG125" s="274"/>
      <c r="AH125" s="274"/>
      <c r="AI125" s="274"/>
      <c r="AJ125" s="274"/>
      <c r="AK125" s="274"/>
      <c r="AL125" s="274"/>
      <c r="AM125" s="274"/>
      <c r="AN125" s="274"/>
      <c r="AO125" s="274"/>
      <c r="AP125" s="274"/>
      <c r="AQ125" s="274"/>
      <c r="AR125" s="274"/>
      <c r="AS125" s="274"/>
      <c r="AT125" s="274"/>
      <c r="AU125" s="275"/>
      <c r="AV125" s="273"/>
      <c r="AW125" s="274"/>
      <c r="AX125" s="274"/>
      <c r="AY125" s="274"/>
      <c r="AZ125" s="275"/>
      <c r="BC125" s="273"/>
      <c r="BD125" s="274"/>
      <c r="BE125" s="274"/>
      <c r="BF125" s="274"/>
      <c r="BG125" s="274"/>
      <c r="BH125" s="274"/>
      <c r="BI125" s="274"/>
      <c r="BJ125" s="274"/>
      <c r="BK125" s="274"/>
      <c r="BL125" s="274"/>
      <c r="BM125" s="274"/>
      <c r="BN125" s="274"/>
      <c r="BO125" s="274"/>
      <c r="BP125" s="274"/>
      <c r="BQ125" s="274"/>
      <c r="BR125" s="274"/>
      <c r="BS125" s="274"/>
      <c r="BT125" s="274"/>
      <c r="BU125" s="274"/>
      <c r="BV125" s="274"/>
      <c r="BW125" s="274"/>
      <c r="BX125" s="274"/>
      <c r="BY125" s="274"/>
      <c r="BZ125" s="274"/>
      <c r="CA125" s="274"/>
      <c r="CB125" s="274"/>
      <c r="CC125" s="274"/>
      <c r="CD125" s="274"/>
      <c r="CE125" s="274"/>
      <c r="CF125" s="274"/>
      <c r="CG125" s="274"/>
      <c r="CH125" s="274"/>
      <c r="CI125" s="274"/>
      <c r="CJ125" s="274"/>
      <c r="CK125" s="274"/>
      <c r="CL125" s="274"/>
      <c r="CM125" s="274"/>
      <c r="CN125" s="274"/>
      <c r="CO125" s="274"/>
      <c r="CP125" s="274"/>
      <c r="CQ125" s="275"/>
      <c r="CR125" s="273"/>
      <c r="CS125" s="274"/>
      <c r="CT125" s="274"/>
      <c r="CU125" s="274"/>
      <c r="CV125" s="275"/>
      <c r="CY125" s="273"/>
      <c r="CZ125" s="274"/>
      <c r="DA125" s="274"/>
      <c r="DB125" s="274"/>
      <c r="DC125" s="274"/>
      <c r="DD125" s="274"/>
      <c r="DE125" s="274"/>
      <c r="DF125" s="274"/>
      <c r="DG125" s="274"/>
      <c r="DH125" s="274"/>
      <c r="DI125" s="274"/>
      <c r="DJ125" s="274"/>
      <c r="DK125" s="274"/>
      <c r="DL125" s="274"/>
      <c r="DM125" s="274"/>
      <c r="DN125" s="274"/>
      <c r="DO125" s="274"/>
      <c r="DP125" s="274"/>
      <c r="DQ125" s="274"/>
      <c r="DR125" s="274"/>
      <c r="DS125" s="274"/>
      <c r="DT125" s="274"/>
      <c r="DU125" s="274"/>
      <c r="DV125" s="274"/>
      <c r="DW125" s="274"/>
      <c r="DX125" s="274"/>
      <c r="DY125" s="274"/>
      <c r="DZ125" s="274"/>
      <c r="EA125" s="274"/>
      <c r="EB125" s="274"/>
      <c r="EC125" s="274"/>
      <c r="ED125" s="274"/>
      <c r="EE125" s="274"/>
      <c r="EF125" s="274"/>
      <c r="EG125" s="274"/>
      <c r="EH125" s="274"/>
      <c r="EI125" s="274"/>
      <c r="EJ125" s="274"/>
      <c r="EK125" s="274"/>
      <c r="EL125" s="274"/>
      <c r="EM125" s="275"/>
      <c r="EN125" s="273"/>
      <c r="EO125" s="274"/>
      <c r="EP125" s="274"/>
      <c r="EQ125" s="274"/>
      <c r="ER125" s="275"/>
      <c r="EU125" s="273"/>
      <c r="EV125" s="274"/>
      <c r="EW125" s="274"/>
      <c r="EX125" s="274"/>
      <c r="EY125" s="274"/>
      <c r="EZ125" s="274"/>
      <c r="FA125" s="274"/>
      <c r="FB125" s="274"/>
      <c r="FC125" s="274"/>
      <c r="FD125" s="274"/>
      <c r="FE125" s="274"/>
      <c r="FF125" s="274"/>
      <c r="FG125" s="274"/>
      <c r="FH125" s="274"/>
      <c r="FI125" s="274"/>
      <c r="FJ125" s="274"/>
      <c r="FK125" s="274"/>
      <c r="FL125" s="274"/>
      <c r="FM125" s="274"/>
      <c r="FN125" s="274"/>
      <c r="FO125" s="274"/>
      <c r="FP125" s="274"/>
      <c r="FQ125" s="274"/>
      <c r="FR125" s="274"/>
      <c r="FS125" s="274"/>
      <c r="FT125" s="274"/>
      <c r="FU125" s="274"/>
      <c r="FV125" s="274"/>
      <c r="FW125" s="274"/>
      <c r="FX125" s="274"/>
      <c r="FY125" s="274"/>
      <c r="FZ125" s="274"/>
      <c r="GA125" s="274"/>
      <c r="GB125" s="274"/>
      <c r="GC125" s="274"/>
      <c r="GD125" s="274"/>
      <c r="GE125" s="274"/>
      <c r="GF125" s="274"/>
      <c r="GG125" s="274"/>
      <c r="GH125" s="274"/>
      <c r="GI125" s="275"/>
      <c r="GJ125" s="273"/>
      <c r="GK125" s="274"/>
      <c r="GL125" s="274"/>
      <c r="GM125" s="274"/>
      <c r="GN125" s="275"/>
      <c r="GQ125" s="273"/>
      <c r="GR125" s="274"/>
      <c r="GS125" s="274"/>
      <c r="GT125" s="274"/>
      <c r="GU125" s="274"/>
      <c r="GV125" s="274"/>
      <c r="GW125" s="274"/>
      <c r="GX125" s="274"/>
      <c r="GY125" s="274"/>
      <c r="GZ125" s="274"/>
      <c r="HA125" s="274"/>
      <c r="HB125" s="274"/>
      <c r="HC125" s="274"/>
      <c r="HD125" s="274"/>
      <c r="HE125" s="274"/>
      <c r="HF125" s="274"/>
      <c r="HG125" s="274"/>
      <c r="HH125" s="274"/>
      <c r="HI125" s="274"/>
      <c r="HJ125" s="274"/>
      <c r="HK125" s="274"/>
      <c r="HL125" s="274"/>
      <c r="HM125" s="274"/>
      <c r="HN125" s="274"/>
      <c r="HO125" s="274"/>
      <c r="HP125" s="274"/>
      <c r="HQ125" s="274"/>
      <c r="HR125" s="274"/>
      <c r="HS125" s="274"/>
      <c r="HT125" s="274"/>
      <c r="HU125" s="274"/>
      <c r="HV125" s="274"/>
      <c r="HW125" s="274"/>
      <c r="HX125" s="274"/>
      <c r="HY125" s="274"/>
      <c r="HZ125" s="274"/>
      <c r="IA125" s="274"/>
      <c r="IB125" s="274"/>
      <c r="IC125" s="274"/>
      <c r="ID125" s="274"/>
      <c r="IE125" s="275"/>
      <c r="IF125" s="273"/>
      <c r="IG125" s="274"/>
      <c r="IH125" s="274"/>
      <c r="II125" s="274"/>
      <c r="IJ125" s="275"/>
      <c r="IR125" s="274"/>
      <c r="IS125" s="274"/>
      <c r="IT125" s="274"/>
      <c r="IU125" s="274"/>
      <c r="IV125" s="274"/>
      <c r="IW125" s="274"/>
      <c r="IX125" s="274"/>
      <c r="IY125" s="274"/>
      <c r="IZ125" s="274"/>
      <c r="JA125" s="274"/>
      <c r="JB125" s="274"/>
      <c r="JC125" s="274"/>
      <c r="JD125" s="274"/>
      <c r="JE125" s="274"/>
      <c r="JF125" s="274"/>
      <c r="JG125" s="274"/>
      <c r="JH125" s="274"/>
      <c r="JI125" s="274"/>
      <c r="JJ125" s="274"/>
      <c r="JK125" s="274"/>
      <c r="JL125" s="274"/>
      <c r="JM125" s="274"/>
      <c r="JN125" s="274"/>
      <c r="JO125" s="274"/>
      <c r="JP125" s="274"/>
      <c r="JQ125" s="274"/>
      <c r="JR125" s="274"/>
      <c r="JS125" s="274"/>
      <c r="JT125" s="274"/>
      <c r="JU125" s="274"/>
      <c r="JV125" s="274"/>
      <c r="JW125" s="274"/>
      <c r="JX125" s="274"/>
      <c r="JY125" s="274"/>
      <c r="JZ125" s="274"/>
      <c r="KA125" s="274"/>
      <c r="KB125" s="274"/>
      <c r="KC125" s="274"/>
      <c r="KD125" s="274"/>
      <c r="KE125" s="274"/>
      <c r="KF125" s="274"/>
      <c r="KG125" s="274"/>
      <c r="KH125" s="274"/>
      <c r="KI125" s="274"/>
      <c r="KJ125" s="274"/>
      <c r="KP125" s="323" t="s">
        <v>297</v>
      </c>
      <c r="KQ125" s="324"/>
      <c r="KR125" s="324"/>
      <c r="KS125" s="324"/>
      <c r="KT125" s="324"/>
      <c r="KU125" s="324"/>
      <c r="KV125" s="324"/>
      <c r="KW125" s="324"/>
      <c r="KX125" s="324"/>
      <c r="KY125" s="324"/>
      <c r="KZ125" s="324"/>
      <c r="LA125" s="324"/>
      <c r="LB125" s="324"/>
      <c r="LC125" s="324"/>
      <c r="LD125" s="324"/>
      <c r="LE125" s="324"/>
      <c r="LF125" s="324"/>
      <c r="LG125" s="324"/>
      <c r="LH125" s="324"/>
      <c r="LI125" s="324"/>
      <c r="LJ125" s="324"/>
      <c r="LK125" s="324"/>
      <c r="LL125" s="324"/>
      <c r="LM125" s="324"/>
      <c r="LN125" s="324"/>
      <c r="LO125" s="324"/>
      <c r="LP125" s="324"/>
      <c r="LQ125" s="324"/>
      <c r="LR125" s="324"/>
      <c r="LS125" s="324"/>
      <c r="LT125" s="324"/>
      <c r="LU125" s="324"/>
      <c r="LV125" s="324"/>
      <c r="LW125" s="324"/>
      <c r="LX125" s="324"/>
      <c r="LY125" s="324"/>
      <c r="LZ125" s="324"/>
      <c r="MA125" s="324"/>
      <c r="MB125" s="324"/>
      <c r="MC125" s="325"/>
      <c r="MD125" s="270"/>
      <c r="ME125" s="271"/>
      <c r="MF125" s="271"/>
      <c r="MG125" s="271"/>
      <c r="MH125" s="272"/>
      <c r="MM125" s="270" t="s">
        <v>298</v>
      </c>
      <c r="MN125" s="271"/>
      <c r="MO125" s="271"/>
      <c r="MP125" s="271"/>
      <c r="MQ125" s="271"/>
      <c r="MR125" s="271"/>
      <c r="MS125" s="271"/>
      <c r="MT125" s="271"/>
      <c r="MU125" s="271"/>
      <c r="MV125" s="271"/>
      <c r="MW125" s="271"/>
      <c r="MX125" s="271"/>
      <c r="MY125" s="271"/>
      <c r="MZ125" s="271"/>
      <c r="NA125" s="271"/>
      <c r="NB125" s="271"/>
      <c r="NC125" s="271"/>
      <c r="ND125" s="271"/>
      <c r="NE125" s="271"/>
      <c r="NF125" s="271"/>
      <c r="NG125" s="271"/>
      <c r="NH125" s="271"/>
      <c r="NI125" s="271"/>
      <c r="NJ125" s="271"/>
      <c r="NK125" s="271"/>
      <c r="NL125" s="271"/>
      <c r="NM125" s="271"/>
      <c r="NN125" s="271"/>
      <c r="NO125" s="271"/>
      <c r="NP125" s="271"/>
      <c r="NQ125" s="271"/>
      <c r="NR125" s="271"/>
      <c r="NS125" s="271"/>
      <c r="NT125" s="271"/>
      <c r="NU125" s="271"/>
      <c r="NV125" s="271"/>
      <c r="NW125" s="271"/>
      <c r="NX125" s="271"/>
      <c r="NY125" s="271"/>
      <c r="NZ125" s="272"/>
      <c r="OA125" s="270">
        <v>2</v>
      </c>
      <c r="OB125" s="271"/>
      <c r="OC125" s="271"/>
      <c r="OD125" s="271"/>
      <c r="OE125" s="272"/>
      <c r="QQ125" s="152"/>
      <c r="QR125" s="153"/>
      <c r="QS125" s="176"/>
      <c r="QT125" s="176"/>
      <c r="QU125" s="176"/>
      <c r="QV125" s="176"/>
      <c r="QW125" s="177"/>
    </row>
    <row r="126" spans="3:465" ht="5.0999999999999996" customHeight="1" x14ac:dyDescent="0.3">
      <c r="C126" s="149"/>
      <c r="D126" s="150"/>
      <c r="G126" s="273"/>
      <c r="H126" s="274"/>
      <c r="I126" s="274"/>
      <c r="J126" s="274"/>
      <c r="K126" s="274"/>
      <c r="L126" s="274"/>
      <c r="M126" s="274"/>
      <c r="N126" s="274"/>
      <c r="O126" s="274"/>
      <c r="P126" s="274"/>
      <c r="Q126" s="274"/>
      <c r="R126" s="274"/>
      <c r="S126" s="274"/>
      <c r="T126" s="274"/>
      <c r="U126" s="274"/>
      <c r="V126" s="274"/>
      <c r="W126" s="274"/>
      <c r="X126" s="274"/>
      <c r="Y126" s="274"/>
      <c r="Z126" s="274"/>
      <c r="AA126" s="274"/>
      <c r="AB126" s="274"/>
      <c r="AC126" s="274"/>
      <c r="AD126" s="274"/>
      <c r="AE126" s="274"/>
      <c r="AF126" s="274"/>
      <c r="AG126" s="274"/>
      <c r="AH126" s="274"/>
      <c r="AI126" s="274"/>
      <c r="AJ126" s="274"/>
      <c r="AK126" s="274"/>
      <c r="AL126" s="274"/>
      <c r="AM126" s="274"/>
      <c r="AN126" s="274"/>
      <c r="AO126" s="274"/>
      <c r="AP126" s="274"/>
      <c r="AQ126" s="274"/>
      <c r="AR126" s="274"/>
      <c r="AS126" s="274"/>
      <c r="AT126" s="274"/>
      <c r="AU126" s="275"/>
      <c r="AV126" s="273"/>
      <c r="AW126" s="274"/>
      <c r="AX126" s="274"/>
      <c r="AY126" s="274"/>
      <c r="AZ126" s="275"/>
      <c r="BC126" s="273"/>
      <c r="BD126" s="274"/>
      <c r="BE126" s="274"/>
      <c r="BF126" s="274"/>
      <c r="BG126" s="274"/>
      <c r="BH126" s="274"/>
      <c r="BI126" s="274"/>
      <c r="BJ126" s="274"/>
      <c r="BK126" s="274"/>
      <c r="BL126" s="274"/>
      <c r="BM126" s="274"/>
      <c r="BN126" s="274"/>
      <c r="BO126" s="274"/>
      <c r="BP126" s="274"/>
      <c r="BQ126" s="274"/>
      <c r="BR126" s="274"/>
      <c r="BS126" s="274"/>
      <c r="BT126" s="274"/>
      <c r="BU126" s="274"/>
      <c r="BV126" s="274"/>
      <c r="BW126" s="274"/>
      <c r="BX126" s="274"/>
      <c r="BY126" s="274"/>
      <c r="BZ126" s="274"/>
      <c r="CA126" s="274"/>
      <c r="CB126" s="274"/>
      <c r="CC126" s="274"/>
      <c r="CD126" s="274"/>
      <c r="CE126" s="274"/>
      <c r="CF126" s="274"/>
      <c r="CG126" s="274"/>
      <c r="CH126" s="274"/>
      <c r="CI126" s="274"/>
      <c r="CJ126" s="274"/>
      <c r="CK126" s="274"/>
      <c r="CL126" s="274"/>
      <c r="CM126" s="274"/>
      <c r="CN126" s="274"/>
      <c r="CO126" s="274"/>
      <c r="CP126" s="274"/>
      <c r="CQ126" s="275"/>
      <c r="CR126" s="273"/>
      <c r="CS126" s="274"/>
      <c r="CT126" s="274"/>
      <c r="CU126" s="274"/>
      <c r="CV126" s="275"/>
      <c r="CY126" s="273"/>
      <c r="CZ126" s="274"/>
      <c r="DA126" s="274"/>
      <c r="DB126" s="274"/>
      <c r="DC126" s="274"/>
      <c r="DD126" s="274"/>
      <c r="DE126" s="274"/>
      <c r="DF126" s="274"/>
      <c r="DG126" s="274"/>
      <c r="DH126" s="274"/>
      <c r="DI126" s="274"/>
      <c r="DJ126" s="274"/>
      <c r="DK126" s="274"/>
      <c r="DL126" s="274"/>
      <c r="DM126" s="274"/>
      <c r="DN126" s="274"/>
      <c r="DO126" s="274"/>
      <c r="DP126" s="274"/>
      <c r="DQ126" s="274"/>
      <c r="DR126" s="274"/>
      <c r="DS126" s="274"/>
      <c r="DT126" s="274"/>
      <c r="DU126" s="274"/>
      <c r="DV126" s="274"/>
      <c r="DW126" s="274"/>
      <c r="DX126" s="274"/>
      <c r="DY126" s="274"/>
      <c r="DZ126" s="274"/>
      <c r="EA126" s="274"/>
      <c r="EB126" s="274"/>
      <c r="EC126" s="274"/>
      <c r="ED126" s="274"/>
      <c r="EE126" s="274"/>
      <c r="EF126" s="274"/>
      <c r="EG126" s="274"/>
      <c r="EH126" s="274"/>
      <c r="EI126" s="274"/>
      <c r="EJ126" s="274"/>
      <c r="EK126" s="274"/>
      <c r="EL126" s="274"/>
      <c r="EM126" s="275"/>
      <c r="EN126" s="273"/>
      <c r="EO126" s="274"/>
      <c r="EP126" s="274"/>
      <c r="EQ126" s="274"/>
      <c r="ER126" s="275"/>
      <c r="EU126" s="273"/>
      <c r="EV126" s="274"/>
      <c r="EW126" s="274"/>
      <c r="EX126" s="274"/>
      <c r="EY126" s="274"/>
      <c r="EZ126" s="274"/>
      <c r="FA126" s="274"/>
      <c r="FB126" s="274"/>
      <c r="FC126" s="274"/>
      <c r="FD126" s="274"/>
      <c r="FE126" s="274"/>
      <c r="FF126" s="274"/>
      <c r="FG126" s="274"/>
      <c r="FH126" s="274"/>
      <c r="FI126" s="274"/>
      <c r="FJ126" s="274"/>
      <c r="FK126" s="274"/>
      <c r="FL126" s="274"/>
      <c r="FM126" s="274"/>
      <c r="FN126" s="274"/>
      <c r="FO126" s="274"/>
      <c r="FP126" s="274"/>
      <c r="FQ126" s="274"/>
      <c r="FR126" s="274"/>
      <c r="FS126" s="274"/>
      <c r="FT126" s="274"/>
      <c r="FU126" s="274"/>
      <c r="FV126" s="274"/>
      <c r="FW126" s="274"/>
      <c r="FX126" s="274"/>
      <c r="FY126" s="274"/>
      <c r="FZ126" s="274"/>
      <c r="GA126" s="274"/>
      <c r="GB126" s="274"/>
      <c r="GC126" s="274"/>
      <c r="GD126" s="274"/>
      <c r="GE126" s="274"/>
      <c r="GF126" s="274"/>
      <c r="GG126" s="274"/>
      <c r="GH126" s="274"/>
      <c r="GI126" s="275"/>
      <c r="GJ126" s="273"/>
      <c r="GK126" s="274"/>
      <c r="GL126" s="274"/>
      <c r="GM126" s="274"/>
      <c r="GN126" s="275"/>
      <c r="GQ126" s="273"/>
      <c r="GR126" s="274"/>
      <c r="GS126" s="274"/>
      <c r="GT126" s="274"/>
      <c r="GU126" s="274"/>
      <c r="GV126" s="274"/>
      <c r="GW126" s="274"/>
      <c r="GX126" s="274"/>
      <c r="GY126" s="274"/>
      <c r="GZ126" s="274"/>
      <c r="HA126" s="274"/>
      <c r="HB126" s="274"/>
      <c r="HC126" s="274"/>
      <c r="HD126" s="274"/>
      <c r="HE126" s="274"/>
      <c r="HF126" s="274"/>
      <c r="HG126" s="274"/>
      <c r="HH126" s="274"/>
      <c r="HI126" s="274"/>
      <c r="HJ126" s="274"/>
      <c r="HK126" s="274"/>
      <c r="HL126" s="274"/>
      <c r="HM126" s="274"/>
      <c r="HN126" s="274"/>
      <c r="HO126" s="274"/>
      <c r="HP126" s="274"/>
      <c r="HQ126" s="274"/>
      <c r="HR126" s="274"/>
      <c r="HS126" s="274"/>
      <c r="HT126" s="274"/>
      <c r="HU126" s="274"/>
      <c r="HV126" s="274"/>
      <c r="HW126" s="274"/>
      <c r="HX126" s="274"/>
      <c r="HY126" s="274"/>
      <c r="HZ126" s="274"/>
      <c r="IA126" s="274"/>
      <c r="IB126" s="274"/>
      <c r="IC126" s="274"/>
      <c r="ID126" s="274"/>
      <c r="IE126" s="275"/>
      <c r="IF126" s="273"/>
      <c r="IG126" s="274"/>
      <c r="IH126" s="274"/>
      <c r="II126" s="274"/>
      <c r="IJ126" s="275"/>
      <c r="IR126" s="274"/>
      <c r="IS126" s="274"/>
      <c r="IT126" s="274"/>
      <c r="IU126" s="274"/>
      <c r="IV126" s="274"/>
      <c r="IW126" s="274"/>
      <c r="IX126" s="274"/>
      <c r="IY126" s="274"/>
      <c r="IZ126" s="274"/>
      <c r="JA126" s="274"/>
      <c r="JB126" s="274"/>
      <c r="JC126" s="274"/>
      <c r="JD126" s="274"/>
      <c r="JE126" s="274"/>
      <c r="JF126" s="274"/>
      <c r="JG126" s="274"/>
      <c r="JH126" s="274"/>
      <c r="JI126" s="274"/>
      <c r="JJ126" s="274"/>
      <c r="JK126" s="274"/>
      <c r="JL126" s="274"/>
      <c r="JM126" s="274"/>
      <c r="JN126" s="274"/>
      <c r="JO126" s="274"/>
      <c r="JP126" s="274"/>
      <c r="JQ126" s="274"/>
      <c r="JR126" s="274"/>
      <c r="JS126" s="274"/>
      <c r="JT126" s="274"/>
      <c r="JU126" s="274"/>
      <c r="JV126" s="274"/>
      <c r="JW126" s="274"/>
      <c r="JX126" s="274"/>
      <c r="JY126" s="274"/>
      <c r="JZ126" s="274"/>
      <c r="KA126" s="274"/>
      <c r="KB126" s="274"/>
      <c r="KC126" s="274"/>
      <c r="KD126" s="274"/>
      <c r="KE126" s="274"/>
      <c r="KF126" s="274"/>
      <c r="KG126" s="274"/>
      <c r="KH126" s="274"/>
      <c r="KI126" s="274"/>
      <c r="KJ126" s="274"/>
      <c r="KP126" s="326"/>
      <c r="KQ126" s="327"/>
      <c r="KR126" s="327"/>
      <c r="KS126" s="327"/>
      <c r="KT126" s="327"/>
      <c r="KU126" s="327"/>
      <c r="KV126" s="327"/>
      <c r="KW126" s="327"/>
      <c r="KX126" s="327"/>
      <c r="KY126" s="327"/>
      <c r="KZ126" s="327"/>
      <c r="LA126" s="327"/>
      <c r="LB126" s="327"/>
      <c r="LC126" s="327"/>
      <c r="LD126" s="327"/>
      <c r="LE126" s="327"/>
      <c r="LF126" s="327"/>
      <c r="LG126" s="327"/>
      <c r="LH126" s="327"/>
      <c r="LI126" s="327"/>
      <c r="LJ126" s="327"/>
      <c r="LK126" s="327"/>
      <c r="LL126" s="327"/>
      <c r="LM126" s="327"/>
      <c r="LN126" s="327"/>
      <c r="LO126" s="327"/>
      <c r="LP126" s="327"/>
      <c r="LQ126" s="327"/>
      <c r="LR126" s="327"/>
      <c r="LS126" s="327"/>
      <c r="LT126" s="327"/>
      <c r="LU126" s="327"/>
      <c r="LV126" s="327"/>
      <c r="LW126" s="327"/>
      <c r="LX126" s="327"/>
      <c r="LY126" s="327"/>
      <c r="LZ126" s="327"/>
      <c r="MA126" s="327"/>
      <c r="MB126" s="327"/>
      <c r="MC126" s="328"/>
      <c r="MD126" s="273"/>
      <c r="ME126" s="274"/>
      <c r="MF126" s="274"/>
      <c r="MG126" s="274"/>
      <c r="MH126" s="275"/>
      <c r="MM126" s="273"/>
      <c r="MN126" s="274"/>
      <c r="MO126" s="274"/>
      <c r="MP126" s="274"/>
      <c r="MQ126" s="274"/>
      <c r="MR126" s="274"/>
      <c r="MS126" s="274"/>
      <c r="MT126" s="274"/>
      <c r="MU126" s="274"/>
      <c r="MV126" s="274"/>
      <c r="MW126" s="274"/>
      <c r="MX126" s="274"/>
      <c r="MY126" s="274"/>
      <c r="MZ126" s="274"/>
      <c r="NA126" s="274"/>
      <c r="NB126" s="274"/>
      <c r="NC126" s="274"/>
      <c r="ND126" s="274"/>
      <c r="NE126" s="274"/>
      <c r="NF126" s="274"/>
      <c r="NG126" s="274"/>
      <c r="NH126" s="274"/>
      <c r="NI126" s="274"/>
      <c r="NJ126" s="274"/>
      <c r="NK126" s="274"/>
      <c r="NL126" s="274"/>
      <c r="NM126" s="274"/>
      <c r="NN126" s="274"/>
      <c r="NO126" s="274"/>
      <c r="NP126" s="274"/>
      <c r="NQ126" s="274"/>
      <c r="NR126" s="274"/>
      <c r="NS126" s="274"/>
      <c r="NT126" s="274"/>
      <c r="NU126" s="274"/>
      <c r="NV126" s="274"/>
      <c r="NW126" s="274"/>
      <c r="NX126" s="274"/>
      <c r="NY126" s="274"/>
      <c r="NZ126" s="275"/>
      <c r="OA126" s="273"/>
      <c r="OB126" s="274"/>
      <c r="OC126" s="274"/>
      <c r="OD126" s="274"/>
      <c r="OE126" s="275"/>
      <c r="QQ126" s="152"/>
      <c r="QR126" s="153"/>
      <c r="QS126" s="176"/>
      <c r="QT126" s="176"/>
      <c r="QU126" s="176"/>
      <c r="QV126" s="176"/>
      <c r="QW126" s="177"/>
    </row>
    <row r="127" spans="3:465" ht="5.0999999999999996" customHeight="1" x14ac:dyDescent="0.3">
      <c r="C127" s="149"/>
      <c r="D127" s="150"/>
      <c r="G127" s="273"/>
      <c r="H127" s="274"/>
      <c r="I127" s="274"/>
      <c r="J127" s="274"/>
      <c r="K127" s="274"/>
      <c r="L127" s="274"/>
      <c r="M127" s="274"/>
      <c r="N127" s="274"/>
      <c r="O127" s="274"/>
      <c r="P127" s="274"/>
      <c r="Q127" s="274"/>
      <c r="R127" s="274"/>
      <c r="S127" s="274"/>
      <c r="T127" s="274"/>
      <c r="U127" s="274"/>
      <c r="V127" s="274"/>
      <c r="W127" s="274"/>
      <c r="X127" s="274"/>
      <c r="Y127" s="274"/>
      <c r="Z127" s="274"/>
      <c r="AA127" s="274"/>
      <c r="AB127" s="274"/>
      <c r="AC127" s="274"/>
      <c r="AD127" s="274"/>
      <c r="AE127" s="274"/>
      <c r="AF127" s="274"/>
      <c r="AG127" s="274"/>
      <c r="AH127" s="274"/>
      <c r="AI127" s="274"/>
      <c r="AJ127" s="274"/>
      <c r="AK127" s="274"/>
      <c r="AL127" s="274"/>
      <c r="AM127" s="274"/>
      <c r="AN127" s="274"/>
      <c r="AO127" s="274"/>
      <c r="AP127" s="274"/>
      <c r="AQ127" s="274"/>
      <c r="AR127" s="274"/>
      <c r="AS127" s="274"/>
      <c r="AT127" s="274"/>
      <c r="AU127" s="275"/>
      <c r="AV127" s="273"/>
      <c r="AW127" s="274"/>
      <c r="AX127" s="274"/>
      <c r="AY127" s="274"/>
      <c r="AZ127" s="275"/>
      <c r="BC127" s="273"/>
      <c r="BD127" s="274"/>
      <c r="BE127" s="274"/>
      <c r="BF127" s="274"/>
      <c r="BG127" s="274"/>
      <c r="BH127" s="274"/>
      <c r="BI127" s="274"/>
      <c r="BJ127" s="274"/>
      <c r="BK127" s="274"/>
      <c r="BL127" s="274"/>
      <c r="BM127" s="274"/>
      <c r="BN127" s="274"/>
      <c r="BO127" s="274"/>
      <c r="BP127" s="274"/>
      <c r="BQ127" s="274"/>
      <c r="BR127" s="274"/>
      <c r="BS127" s="274"/>
      <c r="BT127" s="274"/>
      <c r="BU127" s="274"/>
      <c r="BV127" s="274"/>
      <c r="BW127" s="274"/>
      <c r="BX127" s="274"/>
      <c r="BY127" s="274"/>
      <c r="BZ127" s="274"/>
      <c r="CA127" s="274"/>
      <c r="CB127" s="274"/>
      <c r="CC127" s="274"/>
      <c r="CD127" s="274"/>
      <c r="CE127" s="274"/>
      <c r="CF127" s="274"/>
      <c r="CG127" s="274"/>
      <c r="CH127" s="274"/>
      <c r="CI127" s="274"/>
      <c r="CJ127" s="274"/>
      <c r="CK127" s="274"/>
      <c r="CL127" s="274"/>
      <c r="CM127" s="274"/>
      <c r="CN127" s="274"/>
      <c r="CO127" s="274"/>
      <c r="CP127" s="274"/>
      <c r="CQ127" s="275"/>
      <c r="CR127" s="273"/>
      <c r="CS127" s="274"/>
      <c r="CT127" s="274"/>
      <c r="CU127" s="274"/>
      <c r="CV127" s="275"/>
      <c r="CY127" s="273"/>
      <c r="CZ127" s="274"/>
      <c r="DA127" s="274"/>
      <c r="DB127" s="274"/>
      <c r="DC127" s="274"/>
      <c r="DD127" s="274"/>
      <c r="DE127" s="274"/>
      <c r="DF127" s="274"/>
      <c r="DG127" s="274"/>
      <c r="DH127" s="274"/>
      <c r="DI127" s="274"/>
      <c r="DJ127" s="274"/>
      <c r="DK127" s="274"/>
      <c r="DL127" s="274"/>
      <c r="DM127" s="274"/>
      <c r="DN127" s="274"/>
      <c r="DO127" s="274"/>
      <c r="DP127" s="274"/>
      <c r="DQ127" s="274"/>
      <c r="DR127" s="274"/>
      <c r="DS127" s="274"/>
      <c r="DT127" s="274"/>
      <c r="DU127" s="274"/>
      <c r="DV127" s="274"/>
      <c r="DW127" s="274"/>
      <c r="DX127" s="274"/>
      <c r="DY127" s="274"/>
      <c r="DZ127" s="274"/>
      <c r="EA127" s="274"/>
      <c r="EB127" s="274"/>
      <c r="EC127" s="274"/>
      <c r="ED127" s="274"/>
      <c r="EE127" s="274"/>
      <c r="EF127" s="274"/>
      <c r="EG127" s="274"/>
      <c r="EH127" s="274"/>
      <c r="EI127" s="274"/>
      <c r="EJ127" s="274"/>
      <c r="EK127" s="274"/>
      <c r="EL127" s="274"/>
      <c r="EM127" s="275"/>
      <c r="EN127" s="273"/>
      <c r="EO127" s="274"/>
      <c r="EP127" s="274"/>
      <c r="EQ127" s="274"/>
      <c r="ER127" s="275"/>
      <c r="EU127" s="273"/>
      <c r="EV127" s="274"/>
      <c r="EW127" s="274"/>
      <c r="EX127" s="274"/>
      <c r="EY127" s="274"/>
      <c r="EZ127" s="274"/>
      <c r="FA127" s="274"/>
      <c r="FB127" s="274"/>
      <c r="FC127" s="274"/>
      <c r="FD127" s="274"/>
      <c r="FE127" s="274"/>
      <c r="FF127" s="274"/>
      <c r="FG127" s="274"/>
      <c r="FH127" s="274"/>
      <c r="FI127" s="274"/>
      <c r="FJ127" s="274"/>
      <c r="FK127" s="274"/>
      <c r="FL127" s="274"/>
      <c r="FM127" s="274"/>
      <c r="FN127" s="274"/>
      <c r="FO127" s="274"/>
      <c r="FP127" s="274"/>
      <c r="FQ127" s="274"/>
      <c r="FR127" s="274"/>
      <c r="FS127" s="274"/>
      <c r="FT127" s="274"/>
      <c r="FU127" s="274"/>
      <c r="FV127" s="274"/>
      <c r="FW127" s="274"/>
      <c r="FX127" s="274"/>
      <c r="FY127" s="274"/>
      <c r="FZ127" s="274"/>
      <c r="GA127" s="274"/>
      <c r="GB127" s="274"/>
      <c r="GC127" s="274"/>
      <c r="GD127" s="274"/>
      <c r="GE127" s="274"/>
      <c r="GF127" s="274"/>
      <c r="GG127" s="274"/>
      <c r="GH127" s="274"/>
      <c r="GI127" s="275"/>
      <c r="GJ127" s="273"/>
      <c r="GK127" s="274"/>
      <c r="GL127" s="274"/>
      <c r="GM127" s="274"/>
      <c r="GN127" s="275"/>
      <c r="GQ127" s="273"/>
      <c r="GR127" s="274"/>
      <c r="GS127" s="274"/>
      <c r="GT127" s="274"/>
      <c r="GU127" s="274"/>
      <c r="GV127" s="274"/>
      <c r="GW127" s="274"/>
      <c r="GX127" s="274"/>
      <c r="GY127" s="274"/>
      <c r="GZ127" s="274"/>
      <c r="HA127" s="274"/>
      <c r="HB127" s="274"/>
      <c r="HC127" s="274"/>
      <c r="HD127" s="274"/>
      <c r="HE127" s="274"/>
      <c r="HF127" s="274"/>
      <c r="HG127" s="274"/>
      <c r="HH127" s="274"/>
      <c r="HI127" s="274"/>
      <c r="HJ127" s="274"/>
      <c r="HK127" s="274"/>
      <c r="HL127" s="274"/>
      <c r="HM127" s="274"/>
      <c r="HN127" s="274"/>
      <c r="HO127" s="274"/>
      <c r="HP127" s="274"/>
      <c r="HQ127" s="274"/>
      <c r="HR127" s="274"/>
      <c r="HS127" s="274"/>
      <c r="HT127" s="274"/>
      <c r="HU127" s="274"/>
      <c r="HV127" s="274"/>
      <c r="HW127" s="274"/>
      <c r="HX127" s="274"/>
      <c r="HY127" s="274"/>
      <c r="HZ127" s="274"/>
      <c r="IA127" s="274"/>
      <c r="IB127" s="274"/>
      <c r="IC127" s="274"/>
      <c r="ID127" s="274"/>
      <c r="IE127" s="275"/>
      <c r="IF127" s="273"/>
      <c r="IG127" s="274"/>
      <c r="IH127" s="274"/>
      <c r="II127" s="274"/>
      <c r="IJ127" s="275"/>
      <c r="KP127" s="326"/>
      <c r="KQ127" s="327"/>
      <c r="KR127" s="327"/>
      <c r="KS127" s="327"/>
      <c r="KT127" s="327"/>
      <c r="KU127" s="327"/>
      <c r="KV127" s="327"/>
      <c r="KW127" s="327"/>
      <c r="KX127" s="327"/>
      <c r="KY127" s="327"/>
      <c r="KZ127" s="327"/>
      <c r="LA127" s="327"/>
      <c r="LB127" s="327"/>
      <c r="LC127" s="327"/>
      <c r="LD127" s="327"/>
      <c r="LE127" s="327"/>
      <c r="LF127" s="327"/>
      <c r="LG127" s="327"/>
      <c r="LH127" s="327"/>
      <c r="LI127" s="327"/>
      <c r="LJ127" s="327"/>
      <c r="LK127" s="327"/>
      <c r="LL127" s="327"/>
      <c r="LM127" s="327"/>
      <c r="LN127" s="327"/>
      <c r="LO127" s="327"/>
      <c r="LP127" s="327"/>
      <c r="LQ127" s="327"/>
      <c r="LR127" s="327"/>
      <c r="LS127" s="327"/>
      <c r="LT127" s="327"/>
      <c r="LU127" s="327"/>
      <c r="LV127" s="327"/>
      <c r="LW127" s="327"/>
      <c r="LX127" s="327"/>
      <c r="LY127" s="327"/>
      <c r="LZ127" s="327"/>
      <c r="MA127" s="327"/>
      <c r="MB127" s="327"/>
      <c r="MC127" s="328"/>
      <c r="MD127" s="273"/>
      <c r="ME127" s="274"/>
      <c r="MF127" s="274"/>
      <c r="MG127" s="274"/>
      <c r="MH127" s="275"/>
      <c r="MM127" s="273"/>
      <c r="MN127" s="274"/>
      <c r="MO127" s="274"/>
      <c r="MP127" s="274"/>
      <c r="MQ127" s="274"/>
      <c r="MR127" s="274"/>
      <c r="MS127" s="274"/>
      <c r="MT127" s="274"/>
      <c r="MU127" s="274"/>
      <c r="MV127" s="274"/>
      <c r="MW127" s="274"/>
      <c r="MX127" s="274"/>
      <c r="MY127" s="274"/>
      <c r="MZ127" s="274"/>
      <c r="NA127" s="274"/>
      <c r="NB127" s="274"/>
      <c r="NC127" s="274"/>
      <c r="ND127" s="274"/>
      <c r="NE127" s="274"/>
      <c r="NF127" s="274"/>
      <c r="NG127" s="274"/>
      <c r="NH127" s="274"/>
      <c r="NI127" s="274"/>
      <c r="NJ127" s="274"/>
      <c r="NK127" s="274"/>
      <c r="NL127" s="274"/>
      <c r="NM127" s="274"/>
      <c r="NN127" s="274"/>
      <c r="NO127" s="274"/>
      <c r="NP127" s="274"/>
      <c r="NQ127" s="274"/>
      <c r="NR127" s="274"/>
      <c r="NS127" s="274"/>
      <c r="NT127" s="274"/>
      <c r="NU127" s="274"/>
      <c r="NV127" s="274"/>
      <c r="NW127" s="274"/>
      <c r="NX127" s="274"/>
      <c r="NY127" s="274"/>
      <c r="NZ127" s="275"/>
      <c r="OA127" s="273"/>
      <c r="OB127" s="274"/>
      <c r="OC127" s="274"/>
      <c r="OD127" s="274"/>
      <c r="OE127" s="275"/>
      <c r="QQ127" s="152"/>
      <c r="QR127" s="153"/>
      <c r="QS127" s="176"/>
      <c r="QT127" s="176"/>
      <c r="QU127" s="176"/>
      <c r="QV127" s="176"/>
      <c r="QW127" s="177"/>
    </row>
    <row r="128" spans="3:465" ht="5.0999999999999996" customHeight="1" x14ac:dyDescent="0.3">
      <c r="C128" s="149"/>
      <c r="D128" s="150"/>
      <c r="G128" s="276"/>
      <c r="H128" s="277"/>
      <c r="I128" s="277"/>
      <c r="J128" s="277"/>
      <c r="K128" s="277"/>
      <c r="L128" s="277"/>
      <c r="M128" s="277"/>
      <c r="N128" s="277"/>
      <c r="O128" s="277"/>
      <c r="P128" s="277"/>
      <c r="Q128" s="277"/>
      <c r="R128" s="277"/>
      <c r="S128" s="277"/>
      <c r="T128" s="277"/>
      <c r="U128" s="277"/>
      <c r="V128" s="277"/>
      <c r="W128" s="277"/>
      <c r="X128" s="277"/>
      <c r="Y128" s="277"/>
      <c r="Z128" s="277"/>
      <c r="AA128" s="277"/>
      <c r="AB128" s="277"/>
      <c r="AC128" s="277"/>
      <c r="AD128" s="277"/>
      <c r="AE128" s="277"/>
      <c r="AF128" s="277"/>
      <c r="AG128" s="277"/>
      <c r="AH128" s="277"/>
      <c r="AI128" s="277"/>
      <c r="AJ128" s="277"/>
      <c r="AK128" s="277"/>
      <c r="AL128" s="277"/>
      <c r="AM128" s="277"/>
      <c r="AN128" s="277"/>
      <c r="AO128" s="277"/>
      <c r="AP128" s="277"/>
      <c r="AQ128" s="277"/>
      <c r="AR128" s="277"/>
      <c r="AS128" s="277"/>
      <c r="AT128" s="277"/>
      <c r="AU128" s="278"/>
      <c r="AV128" s="276"/>
      <c r="AW128" s="277"/>
      <c r="AX128" s="277"/>
      <c r="AY128" s="277"/>
      <c r="AZ128" s="278"/>
      <c r="BC128" s="276"/>
      <c r="BD128" s="277"/>
      <c r="BE128" s="277"/>
      <c r="BF128" s="277"/>
      <c r="BG128" s="277"/>
      <c r="BH128" s="277"/>
      <c r="BI128" s="277"/>
      <c r="BJ128" s="277"/>
      <c r="BK128" s="277"/>
      <c r="BL128" s="277"/>
      <c r="BM128" s="277"/>
      <c r="BN128" s="277"/>
      <c r="BO128" s="277"/>
      <c r="BP128" s="277"/>
      <c r="BQ128" s="277"/>
      <c r="BR128" s="277"/>
      <c r="BS128" s="277"/>
      <c r="BT128" s="277"/>
      <c r="BU128" s="277"/>
      <c r="BV128" s="277"/>
      <c r="BW128" s="277"/>
      <c r="BX128" s="277"/>
      <c r="BY128" s="277"/>
      <c r="BZ128" s="277"/>
      <c r="CA128" s="277"/>
      <c r="CB128" s="277"/>
      <c r="CC128" s="277"/>
      <c r="CD128" s="277"/>
      <c r="CE128" s="277"/>
      <c r="CF128" s="277"/>
      <c r="CG128" s="277"/>
      <c r="CH128" s="277"/>
      <c r="CI128" s="277"/>
      <c r="CJ128" s="277"/>
      <c r="CK128" s="277"/>
      <c r="CL128" s="277"/>
      <c r="CM128" s="277"/>
      <c r="CN128" s="277"/>
      <c r="CO128" s="277"/>
      <c r="CP128" s="277"/>
      <c r="CQ128" s="278"/>
      <c r="CR128" s="276"/>
      <c r="CS128" s="277"/>
      <c r="CT128" s="277"/>
      <c r="CU128" s="277"/>
      <c r="CV128" s="278"/>
      <c r="CY128" s="276"/>
      <c r="CZ128" s="277"/>
      <c r="DA128" s="277"/>
      <c r="DB128" s="277"/>
      <c r="DC128" s="277"/>
      <c r="DD128" s="277"/>
      <c r="DE128" s="277"/>
      <c r="DF128" s="277"/>
      <c r="DG128" s="277"/>
      <c r="DH128" s="277"/>
      <c r="DI128" s="277"/>
      <c r="DJ128" s="277"/>
      <c r="DK128" s="277"/>
      <c r="DL128" s="277"/>
      <c r="DM128" s="277"/>
      <c r="DN128" s="277"/>
      <c r="DO128" s="277"/>
      <c r="DP128" s="277"/>
      <c r="DQ128" s="277"/>
      <c r="DR128" s="277"/>
      <c r="DS128" s="277"/>
      <c r="DT128" s="277"/>
      <c r="DU128" s="277"/>
      <c r="DV128" s="277"/>
      <c r="DW128" s="277"/>
      <c r="DX128" s="277"/>
      <c r="DY128" s="277"/>
      <c r="DZ128" s="277"/>
      <c r="EA128" s="277"/>
      <c r="EB128" s="277"/>
      <c r="EC128" s="277"/>
      <c r="ED128" s="277"/>
      <c r="EE128" s="277"/>
      <c r="EF128" s="277"/>
      <c r="EG128" s="277"/>
      <c r="EH128" s="277"/>
      <c r="EI128" s="277"/>
      <c r="EJ128" s="277"/>
      <c r="EK128" s="277"/>
      <c r="EL128" s="277"/>
      <c r="EM128" s="278"/>
      <c r="EN128" s="276"/>
      <c r="EO128" s="277"/>
      <c r="EP128" s="277"/>
      <c r="EQ128" s="277"/>
      <c r="ER128" s="278"/>
      <c r="EU128" s="276"/>
      <c r="EV128" s="277"/>
      <c r="EW128" s="277"/>
      <c r="EX128" s="277"/>
      <c r="EY128" s="277"/>
      <c r="EZ128" s="277"/>
      <c r="FA128" s="277"/>
      <c r="FB128" s="277"/>
      <c r="FC128" s="277"/>
      <c r="FD128" s="277"/>
      <c r="FE128" s="277"/>
      <c r="FF128" s="277"/>
      <c r="FG128" s="277"/>
      <c r="FH128" s="277"/>
      <c r="FI128" s="277"/>
      <c r="FJ128" s="277"/>
      <c r="FK128" s="277"/>
      <c r="FL128" s="277"/>
      <c r="FM128" s="277"/>
      <c r="FN128" s="277"/>
      <c r="FO128" s="277"/>
      <c r="FP128" s="277"/>
      <c r="FQ128" s="277"/>
      <c r="FR128" s="277"/>
      <c r="FS128" s="277"/>
      <c r="FT128" s="277"/>
      <c r="FU128" s="277"/>
      <c r="FV128" s="277"/>
      <c r="FW128" s="277"/>
      <c r="FX128" s="277"/>
      <c r="FY128" s="277"/>
      <c r="FZ128" s="277"/>
      <c r="GA128" s="277"/>
      <c r="GB128" s="277"/>
      <c r="GC128" s="277"/>
      <c r="GD128" s="277"/>
      <c r="GE128" s="277"/>
      <c r="GF128" s="277"/>
      <c r="GG128" s="277"/>
      <c r="GH128" s="277"/>
      <c r="GI128" s="278"/>
      <c r="GJ128" s="276"/>
      <c r="GK128" s="277"/>
      <c r="GL128" s="277"/>
      <c r="GM128" s="277"/>
      <c r="GN128" s="278"/>
      <c r="GQ128" s="276"/>
      <c r="GR128" s="277"/>
      <c r="GS128" s="277"/>
      <c r="GT128" s="277"/>
      <c r="GU128" s="277"/>
      <c r="GV128" s="277"/>
      <c r="GW128" s="277"/>
      <c r="GX128" s="277"/>
      <c r="GY128" s="277"/>
      <c r="GZ128" s="277"/>
      <c r="HA128" s="277"/>
      <c r="HB128" s="277"/>
      <c r="HC128" s="277"/>
      <c r="HD128" s="277"/>
      <c r="HE128" s="277"/>
      <c r="HF128" s="277"/>
      <c r="HG128" s="277"/>
      <c r="HH128" s="277"/>
      <c r="HI128" s="277"/>
      <c r="HJ128" s="277"/>
      <c r="HK128" s="277"/>
      <c r="HL128" s="277"/>
      <c r="HM128" s="277"/>
      <c r="HN128" s="277"/>
      <c r="HO128" s="277"/>
      <c r="HP128" s="277"/>
      <c r="HQ128" s="277"/>
      <c r="HR128" s="277"/>
      <c r="HS128" s="277"/>
      <c r="HT128" s="277"/>
      <c r="HU128" s="277"/>
      <c r="HV128" s="277"/>
      <c r="HW128" s="277"/>
      <c r="HX128" s="277"/>
      <c r="HY128" s="277"/>
      <c r="HZ128" s="277"/>
      <c r="IA128" s="277"/>
      <c r="IB128" s="277"/>
      <c r="IC128" s="277"/>
      <c r="ID128" s="277"/>
      <c r="IE128" s="278"/>
      <c r="IF128" s="276"/>
      <c r="IG128" s="277"/>
      <c r="IH128" s="277"/>
      <c r="II128" s="277"/>
      <c r="IJ128" s="278"/>
      <c r="KP128" s="326"/>
      <c r="KQ128" s="327"/>
      <c r="KR128" s="327"/>
      <c r="KS128" s="327"/>
      <c r="KT128" s="327"/>
      <c r="KU128" s="327"/>
      <c r="KV128" s="327"/>
      <c r="KW128" s="327"/>
      <c r="KX128" s="327"/>
      <c r="KY128" s="327"/>
      <c r="KZ128" s="327"/>
      <c r="LA128" s="327"/>
      <c r="LB128" s="327"/>
      <c r="LC128" s="327"/>
      <c r="LD128" s="327"/>
      <c r="LE128" s="327"/>
      <c r="LF128" s="327"/>
      <c r="LG128" s="327"/>
      <c r="LH128" s="327"/>
      <c r="LI128" s="327"/>
      <c r="LJ128" s="327"/>
      <c r="LK128" s="327"/>
      <c r="LL128" s="327"/>
      <c r="LM128" s="327"/>
      <c r="LN128" s="327"/>
      <c r="LO128" s="327"/>
      <c r="LP128" s="327"/>
      <c r="LQ128" s="327"/>
      <c r="LR128" s="327"/>
      <c r="LS128" s="327"/>
      <c r="LT128" s="327"/>
      <c r="LU128" s="327"/>
      <c r="LV128" s="327"/>
      <c r="LW128" s="327"/>
      <c r="LX128" s="327"/>
      <c r="LY128" s="327"/>
      <c r="LZ128" s="327"/>
      <c r="MA128" s="327"/>
      <c r="MB128" s="327"/>
      <c r="MC128" s="328"/>
      <c r="MD128" s="273"/>
      <c r="ME128" s="274"/>
      <c r="MF128" s="274"/>
      <c r="MG128" s="274"/>
      <c r="MH128" s="275"/>
      <c r="MM128" s="273"/>
      <c r="MN128" s="274"/>
      <c r="MO128" s="274"/>
      <c r="MP128" s="274"/>
      <c r="MQ128" s="274"/>
      <c r="MR128" s="274"/>
      <c r="MS128" s="274"/>
      <c r="MT128" s="274"/>
      <c r="MU128" s="274"/>
      <c r="MV128" s="274"/>
      <c r="MW128" s="274"/>
      <c r="MX128" s="274"/>
      <c r="MY128" s="274"/>
      <c r="MZ128" s="274"/>
      <c r="NA128" s="274"/>
      <c r="NB128" s="274"/>
      <c r="NC128" s="274"/>
      <c r="ND128" s="274"/>
      <c r="NE128" s="274"/>
      <c r="NF128" s="274"/>
      <c r="NG128" s="274"/>
      <c r="NH128" s="274"/>
      <c r="NI128" s="274"/>
      <c r="NJ128" s="274"/>
      <c r="NK128" s="274"/>
      <c r="NL128" s="274"/>
      <c r="NM128" s="274"/>
      <c r="NN128" s="274"/>
      <c r="NO128" s="274"/>
      <c r="NP128" s="274"/>
      <c r="NQ128" s="274"/>
      <c r="NR128" s="274"/>
      <c r="NS128" s="274"/>
      <c r="NT128" s="274"/>
      <c r="NU128" s="274"/>
      <c r="NV128" s="274"/>
      <c r="NW128" s="274"/>
      <c r="NX128" s="274"/>
      <c r="NY128" s="274"/>
      <c r="NZ128" s="275"/>
      <c r="OA128" s="273"/>
      <c r="OB128" s="274"/>
      <c r="OC128" s="274"/>
      <c r="OD128" s="274"/>
      <c r="OE128" s="275"/>
      <c r="QQ128" s="152"/>
      <c r="QR128" s="153"/>
      <c r="QS128" s="176"/>
      <c r="QT128" s="176"/>
      <c r="QU128" s="176"/>
      <c r="QV128" s="176"/>
      <c r="QW128" s="177"/>
    </row>
    <row r="129" spans="3:465" ht="5.0999999999999996" customHeight="1" x14ac:dyDescent="0.3">
      <c r="C129" s="149"/>
      <c r="D129" s="150"/>
      <c r="AD129" s="155"/>
      <c r="BZ129" s="155"/>
      <c r="DV129" s="155"/>
      <c r="FR129" s="155"/>
      <c r="HN129" s="155"/>
      <c r="KP129" s="326"/>
      <c r="KQ129" s="327"/>
      <c r="KR129" s="327"/>
      <c r="KS129" s="327"/>
      <c r="KT129" s="327"/>
      <c r="KU129" s="327"/>
      <c r="KV129" s="327"/>
      <c r="KW129" s="327"/>
      <c r="KX129" s="327"/>
      <c r="KY129" s="327"/>
      <c r="KZ129" s="327"/>
      <c r="LA129" s="327"/>
      <c r="LB129" s="327"/>
      <c r="LC129" s="327"/>
      <c r="LD129" s="327"/>
      <c r="LE129" s="327"/>
      <c r="LF129" s="327"/>
      <c r="LG129" s="327"/>
      <c r="LH129" s="327"/>
      <c r="LI129" s="327"/>
      <c r="LJ129" s="327"/>
      <c r="LK129" s="327"/>
      <c r="LL129" s="327"/>
      <c r="LM129" s="327"/>
      <c r="LN129" s="327"/>
      <c r="LO129" s="327"/>
      <c r="LP129" s="327"/>
      <c r="LQ129" s="327"/>
      <c r="LR129" s="327"/>
      <c r="LS129" s="327"/>
      <c r="LT129" s="327"/>
      <c r="LU129" s="327"/>
      <c r="LV129" s="327"/>
      <c r="LW129" s="327"/>
      <c r="LX129" s="327"/>
      <c r="LY129" s="327"/>
      <c r="LZ129" s="327"/>
      <c r="MA129" s="327"/>
      <c r="MB129" s="327"/>
      <c r="MC129" s="328"/>
      <c r="MD129" s="273"/>
      <c r="ME129" s="274"/>
      <c r="MF129" s="274"/>
      <c r="MG129" s="274"/>
      <c r="MH129" s="275"/>
      <c r="MM129" s="273"/>
      <c r="MN129" s="274"/>
      <c r="MO129" s="274"/>
      <c r="MP129" s="274"/>
      <c r="MQ129" s="274"/>
      <c r="MR129" s="274"/>
      <c r="MS129" s="274"/>
      <c r="MT129" s="274"/>
      <c r="MU129" s="274"/>
      <c r="MV129" s="274"/>
      <c r="MW129" s="274"/>
      <c r="MX129" s="274"/>
      <c r="MY129" s="274"/>
      <c r="MZ129" s="274"/>
      <c r="NA129" s="274"/>
      <c r="NB129" s="274"/>
      <c r="NC129" s="274"/>
      <c r="ND129" s="274"/>
      <c r="NE129" s="274"/>
      <c r="NF129" s="274"/>
      <c r="NG129" s="274"/>
      <c r="NH129" s="274"/>
      <c r="NI129" s="274"/>
      <c r="NJ129" s="274"/>
      <c r="NK129" s="274"/>
      <c r="NL129" s="274"/>
      <c r="NM129" s="274"/>
      <c r="NN129" s="274"/>
      <c r="NO129" s="274"/>
      <c r="NP129" s="274"/>
      <c r="NQ129" s="274"/>
      <c r="NR129" s="274"/>
      <c r="NS129" s="274"/>
      <c r="NT129" s="274"/>
      <c r="NU129" s="274"/>
      <c r="NV129" s="274"/>
      <c r="NW129" s="274"/>
      <c r="NX129" s="274"/>
      <c r="NY129" s="274"/>
      <c r="NZ129" s="275"/>
      <c r="OA129" s="273"/>
      <c r="OB129" s="274"/>
      <c r="OC129" s="274"/>
      <c r="OD129" s="274"/>
      <c r="OE129" s="275"/>
      <c r="QQ129" s="152"/>
      <c r="QR129" s="153"/>
      <c r="QS129" s="176"/>
      <c r="QT129" s="176"/>
      <c r="QU129" s="176"/>
      <c r="QV129" s="176"/>
      <c r="QW129" s="177"/>
    </row>
    <row r="130" spans="3:465" ht="5.0999999999999996" customHeight="1" x14ac:dyDescent="0.3">
      <c r="C130" s="149"/>
      <c r="D130" s="150"/>
      <c r="AD130" s="165"/>
      <c r="AE130" s="166"/>
      <c r="BZ130" s="165"/>
      <c r="CA130" s="166"/>
      <c r="DV130" s="165"/>
      <c r="DW130" s="166"/>
      <c r="FR130" s="165"/>
      <c r="FS130" s="166"/>
      <c r="HN130" s="165"/>
      <c r="HO130" s="166"/>
      <c r="KP130" s="326"/>
      <c r="KQ130" s="327"/>
      <c r="KR130" s="327"/>
      <c r="KS130" s="327"/>
      <c r="KT130" s="327"/>
      <c r="KU130" s="327"/>
      <c r="KV130" s="327"/>
      <c r="KW130" s="327"/>
      <c r="KX130" s="327"/>
      <c r="KY130" s="327"/>
      <c r="KZ130" s="327"/>
      <c r="LA130" s="327"/>
      <c r="LB130" s="327"/>
      <c r="LC130" s="327"/>
      <c r="LD130" s="327"/>
      <c r="LE130" s="327"/>
      <c r="LF130" s="327"/>
      <c r="LG130" s="327"/>
      <c r="LH130" s="327"/>
      <c r="LI130" s="327"/>
      <c r="LJ130" s="327"/>
      <c r="LK130" s="327"/>
      <c r="LL130" s="327"/>
      <c r="LM130" s="327"/>
      <c r="LN130" s="327"/>
      <c r="LO130" s="327"/>
      <c r="LP130" s="327"/>
      <c r="LQ130" s="327"/>
      <c r="LR130" s="327"/>
      <c r="LS130" s="327"/>
      <c r="LT130" s="327"/>
      <c r="LU130" s="327"/>
      <c r="LV130" s="327"/>
      <c r="LW130" s="327"/>
      <c r="LX130" s="327"/>
      <c r="LY130" s="327"/>
      <c r="LZ130" s="327"/>
      <c r="MA130" s="327"/>
      <c r="MB130" s="327"/>
      <c r="MC130" s="328"/>
      <c r="MD130" s="273"/>
      <c r="ME130" s="274"/>
      <c r="MF130" s="274"/>
      <c r="MG130" s="274"/>
      <c r="MH130" s="275"/>
      <c r="MM130" s="273"/>
      <c r="MN130" s="274"/>
      <c r="MO130" s="274"/>
      <c r="MP130" s="274"/>
      <c r="MQ130" s="274"/>
      <c r="MR130" s="274"/>
      <c r="MS130" s="274"/>
      <c r="MT130" s="274"/>
      <c r="MU130" s="274"/>
      <c r="MV130" s="274"/>
      <c r="MW130" s="274"/>
      <c r="MX130" s="274"/>
      <c r="MY130" s="274"/>
      <c r="MZ130" s="274"/>
      <c r="NA130" s="274"/>
      <c r="NB130" s="274"/>
      <c r="NC130" s="274"/>
      <c r="ND130" s="274"/>
      <c r="NE130" s="274"/>
      <c r="NF130" s="274"/>
      <c r="NG130" s="274"/>
      <c r="NH130" s="274"/>
      <c r="NI130" s="274"/>
      <c r="NJ130" s="274"/>
      <c r="NK130" s="274"/>
      <c r="NL130" s="274"/>
      <c r="NM130" s="274"/>
      <c r="NN130" s="274"/>
      <c r="NO130" s="274"/>
      <c r="NP130" s="274"/>
      <c r="NQ130" s="274"/>
      <c r="NR130" s="274"/>
      <c r="NS130" s="274"/>
      <c r="NT130" s="274"/>
      <c r="NU130" s="274"/>
      <c r="NV130" s="274"/>
      <c r="NW130" s="274"/>
      <c r="NX130" s="274"/>
      <c r="NY130" s="274"/>
      <c r="NZ130" s="275"/>
      <c r="OA130" s="273"/>
      <c r="OB130" s="274"/>
      <c r="OC130" s="274"/>
      <c r="OD130" s="274"/>
      <c r="OE130" s="275"/>
      <c r="QQ130" s="152"/>
      <c r="QR130" s="153"/>
      <c r="QS130" s="176"/>
      <c r="QT130" s="176"/>
      <c r="QU130" s="176"/>
      <c r="QV130" s="176"/>
      <c r="QW130" s="177"/>
    </row>
    <row r="131" spans="3:465" ht="5.0999999999999996" customHeight="1" x14ac:dyDescent="0.3">
      <c r="C131" s="149"/>
      <c r="D131" s="150"/>
      <c r="G131" s="270" t="s">
        <v>299</v>
      </c>
      <c r="H131" s="271"/>
      <c r="I131" s="271"/>
      <c r="J131" s="271"/>
      <c r="K131" s="271"/>
      <c r="L131" s="271"/>
      <c r="M131" s="271"/>
      <c r="N131" s="271"/>
      <c r="O131" s="271"/>
      <c r="P131" s="271"/>
      <c r="Q131" s="271"/>
      <c r="R131" s="271"/>
      <c r="S131" s="271"/>
      <c r="T131" s="271"/>
      <c r="U131" s="271"/>
      <c r="V131" s="271"/>
      <c r="W131" s="271"/>
      <c r="X131" s="271"/>
      <c r="Y131" s="271"/>
      <c r="Z131" s="271"/>
      <c r="AA131" s="271"/>
      <c r="AB131" s="271"/>
      <c r="AC131" s="271"/>
      <c r="AD131" s="271"/>
      <c r="AE131" s="271"/>
      <c r="AF131" s="271"/>
      <c r="AG131" s="271"/>
      <c r="AH131" s="271"/>
      <c r="AI131" s="271"/>
      <c r="AJ131" s="271"/>
      <c r="AK131" s="271"/>
      <c r="AL131" s="271"/>
      <c r="AM131" s="271"/>
      <c r="AN131" s="271"/>
      <c r="AO131" s="271"/>
      <c r="AP131" s="271"/>
      <c r="AQ131" s="271"/>
      <c r="AR131" s="271"/>
      <c r="AS131" s="271"/>
      <c r="AT131" s="271"/>
      <c r="AU131" s="272"/>
      <c r="AV131" s="270">
        <v>3</v>
      </c>
      <c r="AW131" s="271"/>
      <c r="AX131" s="271"/>
      <c r="AY131" s="271"/>
      <c r="AZ131" s="272"/>
      <c r="BC131" s="270" t="s">
        <v>300</v>
      </c>
      <c r="BD131" s="271"/>
      <c r="BE131" s="271"/>
      <c r="BF131" s="271"/>
      <c r="BG131" s="271"/>
      <c r="BH131" s="271"/>
      <c r="BI131" s="271"/>
      <c r="BJ131" s="271"/>
      <c r="BK131" s="271"/>
      <c r="BL131" s="271"/>
      <c r="BM131" s="271"/>
      <c r="BN131" s="271"/>
      <c r="BO131" s="271"/>
      <c r="BP131" s="271"/>
      <c r="BQ131" s="271"/>
      <c r="BR131" s="271"/>
      <c r="BS131" s="271"/>
      <c r="BT131" s="271"/>
      <c r="BU131" s="271"/>
      <c r="BV131" s="271"/>
      <c r="BW131" s="271"/>
      <c r="BX131" s="271"/>
      <c r="BY131" s="271"/>
      <c r="BZ131" s="271"/>
      <c r="CA131" s="271"/>
      <c r="CB131" s="271"/>
      <c r="CC131" s="271"/>
      <c r="CD131" s="271"/>
      <c r="CE131" s="271"/>
      <c r="CF131" s="271"/>
      <c r="CG131" s="271"/>
      <c r="CH131" s="271"/>
      <c r="CI131" s="271"/>
      <c r="CJ131" s="271"/>
      <c r="CK131" s="271"/>
      <c r="CL131" s="271"/>
      <c r="CM131" s="271"/>
      <c r="CN131" s="271"/>
      <c r="CO131" s="271"/>
      <c r="CP131" s="271"/>
      <c r="CQ131" s="272"/>
      <c r="CR131" s="270">
        <v>4</v>
      </c>
      <c r="CS131" s="271"/>
      <c r="CT131" s="271"/>
      <c r="CU131" s="271"/>
      <c r="CV131" s="272"/>
      <c r="CY131" s="270" t="s">
        <v>301</v>
      </c>
      <c r="CZ131" s="271"/>
      <c r="DA131" s="271"/>
      <c r="DB131" s="271"/>
      <c r="DC131" s="271"/>
      <c r="DD131" s="271"/>
      <c r="DE131" s="271"/>
      <c r="DF131" s="271"/>
      <c r="DG131" s="271"/>
      <c r="DH131" s="271"/>
      <c r="DI131" s="271"/>
      <c r="DJ131" s="271"/>
      <c r="DK131" s="271"/>
      <c r="DL131" s="271"/>
      <c r="DM131" s="271"/>
      <c r="DN131" s="271"/>
      <c r="DO131" s="271"/>
      <c r="DP131" s="271"/>
      <c r="DQ131" s="271"/>
      <c r="DR131" s="271"/>
      <c r="DS131" s="271"/>
      <c r="DT131" s="271"/>
      <c r="DU131" s="271"/>
      <c r="DV131" s="271"/>
      <c r="DW131" s="271"/>
      <c r="DX131" s="271"/>
      <c r="DY131" s="271"/>
      <c r="DZ131" s="271"/>
      <c r="EA131" s="271"/>
      <c r="EB131" s="271"/>
      <c r="EC131" s="271"/>
      <c r="ED131" s="271"/>
      <c r="EE131" s="271"/>
      <c r="EF131" s="271"/>
      <c r="EG131" s="271"/>
      <c r="EH131" s="271"/>
      <c r="EI131" s="271"/>
      <c r="EJ131" s="271"/>
      <c r="EK131" s="271"/>
      <c r="EL131" s="271"/>
      <c r="EM131" s="272"/>
      <c r="EN131" s="270">
        <v>4</v>
      </c>
      <c r="EO131" s="271"/>
      <c r="EP131" s="271"/>
      <c r="EQ131" s="271"/>
      <c r="ER131" s="272"/>
      <c r="EU131" s="270" t="s">
        <v>302</v>
      </c>
      <c r="EV131" s="271"/>
      <c r="EW131" s="271"/>
      <c r="EX131" s="271"/>
      <c r="EY131" s="271"/>
      <c r="EZ131" s="271"/>
      <c r="FA131" s="271"/>
      <c r="FB131" s="271"/>
      <c r="FC131" s="271"/>
      <c r="FD131" s="271"/>
      <c r="FE131" s="271"/>
      <c r="FF131" s="271"/>
      <c r="FG131" s="271"/>
      <c r="FH131" s="271"/>
      <c r="FI131" s="271"/>
      <c r="FJ131" s="271"/>
      <c r="FK131" s="271"/>
      <c r="FL131" s="271"/>
      <c r="FM131" s="271"/>
      <c r="FN131" s="271"/>
      <c r="FO131" s="271"/>
      <c r="FP131" s="271"/>
      <c r="FQ131" s="271"/>
      <c r="FR131" s="271"/>
      <c r="FS131" s="271"/>
      <c r="FT131" s="271"/>
      <c r="FU131" s="271"/>
      <c r="FV131" s="271"/>
      <c r="FW131" s="271"/>
      <c r="FX131" s="271"/>
      <c r="FY131" s="271"/>
      <c r="FZ131" s="271"/>
      <c r="GA131" s="271"/>
      <c r="GB131" s="271"/>
      <c r="GC131" s="271"/>
      <c r="GD131" s="271"/>
      <c r="GE131" s="271"/>
      <c r="GF131" s="271"/>
      <c r="GG131" s="271"/>
      <c r="GH131" s="271"/>
      <c r="GI131" s="272"/>
      <c r="GJ131" s="270">
        <v>3</v>
      </c>
      <c r="GK131" s="271"/>
      <c r="GL131" s="271"/>
      <c r="GM131" s="271"/>
      <c r="GN131" s="272"/>
      <c r="GQ131" s="270" t="s">
        <v>303</v>
      </c>
      <c r="GR131" s="271"/>
      <c r="GS131" s="271"/>
      <c r="GT131" s="271"/>
      <c r="GU131" s="271"/>
      <c r="GV131" s="271"/>
      <c r="GW131" s="271"/>
      <c r="GX131" s="271"/>
      <c r="GY131" s="271"/>
      <c r="GZ131" s="271"/>
      <c r="HA131" s="271"/>
      <c r="HB131" s="271"/>
      <c r="HC131" s="271"/>
      <c r="HD131" s="271"/>
      <c r="HE131" s="271"/>
      <c r="HF131" s="271"/>
      <c r="HG131" s="271"/>
      <c r="HH131" s="271"/>
      <c r="HI131" s="271"/>
      <c r="HJ131" s="271"/>
      <c r="HK131" s="271"/>
      <c r="HL131" s="271"/>
      <c r="HM131" s="271"/>
      <c r="HN131" s="271"/>
      <c r="HO131" s="271"/>
      <c r="HP131" s="271"/>
      <c r="HQ131" s="271"/>
      <c r="HR131" s="271"/>
      <c r="HS131" s="271"/>
      <c r="HT131" s="271"/>
      <c r="HU131" s="271"/>
      <c r="HV131" s="271"/>
      <c r="HW131" s="271"/>
      <c r="HX131" s="271"/>
      <c r="HY131" s="271"/>
      <c r="HZ131" s="271"/>
      <c r="IA131" s="271"/>
      <c r="IB131" s="271"/>
      <c r="IC131" s="271"/>
      <c r="ID131" s="271"/>
      <c r="IE131" s="272"/>
      <c r="IF131" s="270">
        <v>3</v>
      </c>
      <c r="IG131" s="271"/>
      <c r="IH131" s="271"/>
      <c r="II131" s="271"/>
      <c r="IJ131" s="272"/>
      <c r="KP131" s="326"/>
      <c r="KQ131" s="327"/>
      <c r="KR131" s="327"/>
      <c r="KS131" s="327"/>
      <c r="KT131" s="327"/>
      <c r="KU131" s="327"/>
      <c r="KV131" s="327"/>
      <c r="KW131" s="327"/>
      <c r="KX131" s="327"/>
      <c r="KY131" s="327"/>
      <c r="KZ131" s="327"/>
      <c r="LA131" s="327"/>
      <c r="LB131" s="327"/>
      <c r="LC131" s="327"/>
      <c r="LD131" s="327"/>
      <c r="LE131" s="327"/>
      <c r="LF131" s="327"/>
      <c r="LG131" s="327"/>
      <c r="LH131" s="327"/>
      <c r="LI131" s="327"/>
      <c r="LJ131" s="327"/>
      <c r="LK131" s="327"/>
      <c r="LL131" s="327"/>
      <c r="LM131" s="327"/>
      <c r="LN131" s="327"/>
      <c r="LO131" s="327"/>
      <c r="LP131" s="327"/>
      <c r="LQ131" s="327"/>
      <c r="LR131" s="327"/>
      <c r="LS131" s="327"/>
      <c r="LT131" s="327"/>
      <c r="LU131" s="327"/>
      <c r="LV131" s="327"/>
      <c r="LW131" s="327"/>
      <c r="LX131" s="327"/>
      <c r="LY131" s="327"/>
      <c r="LZ131" s="327"/>
      <c r="MA131" s="327"/>
      <c r="MB131" s="327"/>
      <c r="MC131" s="328"/>
      <c r="MD131" s="273"/>
      <c r="ME131" s="274"/>
      <c r="MF131" s="274"/>
      <c r="MG131" s="274"/>
      <c r="MH131" s="275"/>
      <c r="MM131" s="273"/>
      <c r="MN131" s="274"/>
      <c r="MO131" s="274"/>
      <c r="MP131" s="274"/>
      <c r="MQ131" s="274"/>
      <c r="MR131" s="274"/>
      <c r="MS131" s="274"/>
      <c r="MT131" s="274"/>
      <c r="MU131" s="274"/>
      <c r="MV131" s="274"/>
      <c r="MW131" s="274"/>
      <c r="MX131" s="274"/>
      <c r="MY131" s="274"/>
      <c r="MZ131" s="274"/>
      <c r="NA131" s="274"/>
      <c r="NB131" s="274"/>
      <c r="NC131" s="274"/>
      <c r="ND131" s="274"/>
      <c r="NE131" s="274"/>
      <c r="NF131" s="274"/>
      <c r="NG131" s="274"/>
      <c r="NH131" s="274"/>
      <c r="NI131" s="274"/>
      <c r="NJ131" s="274"/>
      <c r="NK131" s="274"/>
      <c r="NL131" s="274"/>
      <c r="NM131" s="274"/>
      <c r="NN131" s="274"/>
      <c r="NO131" s="274"/>
      <c r="NP131" s="274"/>
      <c r="NQ131" s="274"/>
      <c r="NR131" s="274"/>
      <c r="NS131" s="274"/>
      <c r="NT131" s="274"/>
      <c r="NU131" s="274"/>
      <c r="NV131" s="274"/>
      <c r="NW131" s="274"/>
      <c r="NX131" s="274"/>
      <c r="NY131" s="274"/>
      <c r="NZ131" s="275"/>
      <c r="OA131" s="273"/>
      <c r="OB131" s="274"/>
      <c r="OC131" s="274"/>
      <c r="OD131" s="274"/>
      <c r="OE131" s="275"/>
      <c r="QQ131" s="152"/>
      <c r="QR131" s="153"/>
      <c r="QS131" s="176"/>
      <c r="QT131" s="176"/>
      <c r="QU131" s="176"/>
      <c r="QV131" s="176"/>
      <c r="QW131" s="177"/>
    </row>
    <row r="132" spans="3:465" ht="5.0999999999999996" customHeight="1" x14ac:dyDescent="0.3">
      <c r="C132" s="149"/>
      <c r="D132" s="150"/>
      <c r="G132" s="273"/>
      <c r="H132" s="274"/>
      <c r="I132" s="274"/>
      <c r="J132" s="274"/>
      <c r="K132" s="274"/>
      <c r="L132" s="274"/>
      <c r="M132" s="274"/>
      <c r="N132" s="274"/>
      <c r="O132" s="274"/>
      <c r="P132" s="274"/>
      <c r="Q132" s="274"/>
      <c r="R132" s="274"/>
      <c r="S132" s="274"/>
      <c r="T132" s="274"/>
      <c r="U132" s="274"/>
      <c r="V132" s="274"/>
      <c r="W132" s="274"/>
      <c r="X132" s="274"/>
      <c r="Y132" s="274"/>
      <c r="Z132" s="274"/>
      <c r="AA132" s="274"/>
      <c r="AB132" s="274"/>
      <c r="AC132" s="274"/>
      <c r="AD132" s="274"/>
      <c r="AE132" s="274"/>
      <c r="AF132" s="274"/>
      <c r="AG132" s="274"/>
      <c r="AH132" s="274"/>
      <c r="AI132" s="274"/>
      <c r="AJ132" s="274"/>
      <c r="AK132" s="274"/>
      <c r="AL132" s="274"/>
      <c r="AM132" s="274"/>
      <c r="AN132" s="274"/>
      <c r="AO132" s="274"/>
      <c r="AP132" s="274"/>
      <c r="AQ132" s="274"/>
      <c r="AR132" s="274"/>
      <c r="AS132" s="274"/>
      <c r="AT132" s="274"/>
      <c r="AU132" s="275"/>
      <c r="AV132" s="273"/>
      <c r="AW132" s="274"/>
      <c r="AX132" s="274"/>
      <c r="AY132" s="274"/>
      <c r="AZ132" s="275"/>
      <c r="BC132" s="273"/>
      <c r="BD132" s="274"/>
      <c r="BE132" s="274"/>
      <c r="BF132" s="274"/>
      <c r="BG132" s="274"/>
      <c r="BH132" s="274"/>
      <c r="BI132" s="274"/>
      <c r="BJ132" s="274"/>
      <c r="BK132" s="274"/>
      <c r="BL132" s="274"/>
      <c r="BM132" s="274"/>
      <c r="BN132" s="274"/>
      <c r="BO132" s="274"/>
      <c r="BP132" s="274"/>
      <c r="BQ132" s="274"/>
      <c r="BR132" s="274"/>
      <c r="BS132" s="274"/>
      <c r="BT132" s="274"/>
      <c r="BU132" s="274"/>
      <c r="BV132" s="274"/>
      <c r="BW132" s="274"/>
      <c r="BX132" s="274"/>
      <c r="BY132" s="274"/>
      <c r="BZ132" s="274"/>
      <c r="CA132" s="274"/>
      <c r="CB132" s="274"/>
      <c r="CC132" s="274"/>
      <c r="CD132" s="274"/>
      <c r="CE132" s="274"/>
      <c r="CF132" s="274"/>
      <c r="CG132" s="274"/>
      <c r="CH132" s="274"/>
      <c r="CI132" s="274"/>
      <c r="CJ132" s="274"/>
      <c r="CK132" s="274"/>
      <c r="CL132" s="274"/>
      <c r="CM132" s="274"/>
      <c r="CN132" s="274"/>
      <c r="CO132" s="274"/>
      <c r="CP132" s="274"/>
      <c r="CQ132" s="275"/>
      <c r="CR132" s="273"/>
      <c r="CS132" s="274"/>
      <c r="CT132" s="274"/>
      <c r="CU132" s="274"/>
      <c r="CV132" s="275"/>
      <c r="CY132" s="273"/>
      <c r="CZ132" s="274"/>
      <c r="DA132" s="274"/>
      <c r="DB132" s="274"/>
      <c r="DC132" s="274"/>
      <c r="DD132" s="274"/>
      <c r="DE132" s="274"/>
      <c r="DF132" s="274"/>
      <c r="DG132" s="274"/>
      <c r="DH132" s="274"/>
      <c r="DI132" s="274"/>
      <c r="DJ132" s="274"/>
      <c r="DK132" s="274"/>
      <c r="DL132" s="274"/>
      <c r="DM132" s="274"/>
      <c r="DN132" s="274"/>
      <c r="DO132" s="274"/>
      <c r="DP132" s="274"/>
      <c r="DQ132" s="274"/>
      <c r="DR132" s="274"/>
      <c r="DS132" s="274"/>
      <c r="DT132" s="274"/>
      <c r="DU132" s="274"/>
      <c r="DV132" s="274"/>
      <c r="DW132" s="274"/>
      <c r="DX132" s="274"/>
      <c r="DY132" s="274"/>
      <c r="DZ132" s="274"/>
      <c r="EA132" s="274"/>
      <c r="EB132" s="274"/>
      <c r="EC132" s="274"/>
      <c r="ED132" s="274"/>
      <c r="EE132" s="274"/>
      <c r="EF132" s="274"/>
      <c r="EG132" s="274"/>
      <c r="EH132" s="274"/>
      <c r="EI132" s="274"/>
      <c r="EJ132" s="274"/>
      <c r="EK132" s="274"/>
      <c r="EL132" s="274"/>
      <c r="EM132" s="275"/>
      <c r="EN132" s="273"/>
      <c r="EO132" s="274"/>
      <c r="EP132" s="274"/>
      <c r="EQ132" s="274"/>
      <c r="ER132" s="275"/>
      <c r="EU132" s="273"/>
      <c r="EV132" s="274"/>
      <c r="EW132" s="274"/>
      <c r="EX132" s="274"/>
      <c r="EY132" s="274"/>
      <c r="EZ132" s="274"/>
      <c r="FA132" s="274"/>
      <c r="FB132" s="274"/>
      <c r="FC132" s="274"/>
      <c r="FD132" s="274"/>
      <c r="FE132" s="274"/>
      <c r="FF132" s="274"/>
      <c r="FG132" s="274"/>
      <c r="FH132" s="274"/>
      <c r="FI132" s="274"/>
      <c r="FJ132" s="274"/>
      <c r="FK132" s="274"/>
      <c r="FL132" s="274"/>
      <c r="FM132" s="274"/>
      <c r="FN132" s="274"/>
      <c r="FO132" s="274"/>
      <c r="FP132" s="274"/>
      <c r="FQ132" s="274"/>
      <c r="FR132" s="274"/>
      <c r="FS132" s="274"/>
      <c r="FT132" s="274"/>
      <c r="FU132" s="274"/>
      <c r="FV132" s="274"/>
      <c r="FW132" s="274"/>
      <c r="FX132" s="274"/>
      <c r="FY132" s="274"/>
      <c r="FZ132" s="274"/>
      <c r="GA132" s="274"/>
      <c r="GB132" s="274"/>
      <c r="GC132" s="274"/>
      <c r="GD132" s="274"/>
      <c r="GE132" s="274"/>
      <c r="GF132" s="274"/>
      <c r="GG132" s="274"/>
      <c r="GH132" s="274"/>
      <c r="GI132" s="275"/>
      <c r="GJ132" s="273"/>
      <c r="GK132" s="274"/>
      <c r="GL132" s="274"/>
      <c r="GM132" s="274"/>
      <c r="GN132" s="275"/>
      <c r="GQ132" s="273"/>
      <c r="GR132" s="274"/>
      <c r="GS132" s="274"/>
      <c r="GT132" s="274"/>
      <c r="GU132" s="274"/>
      <c r="GV132" s="274"/>
      <c r="GW132" s="274"/>
      <c r="GX132" s="274"/>
      <c r="GY132" s="274"/>
      <c r="GZ132" s="274"/>
      <c r="HA132" s="274"/>
      <c r="HB132" s="274"/>
      <c r="HC132" s="274"/>
      <c r="HD132" s="274"/>
      <c r="HE132" s="274"/>
      <c r="HF132" s="274"/>
      <c r="HG132" s="274"/>
      <c r="HH132" s="274"/>
      <c r="HI132" s="274"/>
      <c r="HJ132" s="274"/>
      <c r="HK132" s="274"/>
      <c r="HL132" s="274"/>
      <c r="HM132" s="274"/>
      <c r="HN132" s="274"/>
      <c r="HO132" s="274"/>
      <c r="HP132" s="274"/>
      <c r="HQ132" s="274"/>
      <c r="HR132" s="274"/>
      <c r="HS132" s="274"/>
      <c r="HT132" s="274"/>
      <c r="HU132" s="274"/>
      <c r="HV132" s="274"/>
      <c r="HW132" s="274"/>
      <c r="HX132" s="274"/>
      <c r="HY132" s="274"/>
      <c r="HZ132" s="274"/>
      <c r="IA132" s="274"/>
      <c r="IB132" s="274"/>
      <c r="IC132" s="274"/>
      <c r="ID132" s="274"/>
      <c r="IE132" s="275"/>
      <c r="IF132" s="273"/>
      <c r="IG132" s="274"/>
      <c r="IH132" s="274"/>
      <c r="II132" s="274"/>
      <c r="IJ132" s="275"/>
      <c r="KP132" s="326"/>
      <c r="KQ132" s="327"/>
      <c r="KR132" s="327"/>
      <c r="KS132" s="327"/>
      <c r="KT132" s="327"/>
      <c r="KU132" s="327"/>
      <c r="KV132" s="327"/>
      <c r="KW132" s="327"/>
      <c r="KX132" s="327"/>
      <c r="KY132" s="327"/>
      <c r="KZ132" s="327"/>
      <c r="LA132" s="327"/>
      <c r="LB132" s="327"/>
      <c r="LC132" s="327"/>
      <c r="LD132" s="327"/>
      <c r="LE132" s="327"/>
      <c r="LF132" s="327"/>
      <c r="LG132" s="327"/>
      <c r="LH132" s="327"/>
      <c r="LI132" s="327"/>
      <c r="LJ132" s="327"/>
      <c r="LK132" s="327"/>
      <c r="LL132" s="327"/>
      <c r="LM132" s="327"/>
      <c r="LN132" s="327"/>
      <c r="LO132" s="327"/>
      <c r="LP132" s="327"/>
      <c r="LQ132" s="327"/>
      <c r="LR132" s="327"/>
      <c r="LS132" s="327"/>
      <c r="LT132" s="327"/>
      <c r="LU132" s="327"/>
      <c r="LV132" s="327"/>
      <c r="LW132" s="327"/>
      <c r="LX132" s="327"/>
      <c r="LY132" s="327"/>
      <c r="LZ132" s="327"/>
      <c r="MA132" s="327"/>
      <c r="MB132" s="327"/>
      <c r="MC132" s="328"/>
      <c r="MD132" s="273"/>
      <c r="ME132" s="274"/>
      <c r="MF132" s="274"/>
      <c r="MG132" s="274"/>
      <c r="MH132" s="275"/>
      <c r="MM132" s="273"/>
      <c r="MN132" s="274"/>
      <c r="MO132" s="274"/>
      <c r="MP132" s="274"/>
      <c r="MQ132" s="274"/>
      <c r="MR132" s="274"/>
      <c r="MS132" s="274"/>
      <c r="MT132" s="274"/>
      <c r="MU132" s="274"/>
      <c r="MV132" s="274"/>
      <c r="MW132" s="274"/>
      <c r="MX132" s="274"/>
      <c r="MY132" s="274"/>
      <c r="MZ132" s="274"/>
      <c r="NA132" s="274"/>
      <c r="NB132" s="274"/>
      <c r="NC132" s="274"/>
      <c r="ND132" s="274"/>
      <c r="NE132" s="274"/>
      <c r="NF132" s="274"/>
      <c r="NG132" s="274"/>
      <c r="NH132" s="274"/>
      <c r="NI132" s="274"/>
      <c r="NJ132" s="274"/>
      <c r="NK132" s="274"/>
      <c r="NL132" s="274"/>
      <c r="NM132" s="274"/>
      <c r="NN132" s="274"/>
      <c r="NO132" s="274"/>
      <c r="NP132" s="274"/>
      <c r="NQ132" s="274"/>
      <c r="NR132" s="274"/>
      <c r="NS132" s="274"/>
      <c r="NT132" s="274"/>
      <c r="NU132" s="274"/>
      <c r="NV132" s="274"/>
      <c r="NW132" s="274"/>
      <c r="NX132" s="274"/>
      <c r="NY132" s="274"/>
      <c r="NZ132" s="275"/>
      <c r="OA132" s="273"/>
      <c r="OB132" s="274"/>
      <c r="OC132" s="274"/>
      <c r="OD132" s="274"/>
      <c r="OE132" s="275"/>
      <c r="QQ132" s="152"/>
      <c r="QR132" s="153"/>
      <c r="QS132" s="176"/>
      <c r="QT132" s="176"/>
      <c r="QU132" s="176"/>
      <c r="QV132" s="176"/>
      <c r="QW132" s="177"/>
    </row>
    <row r="133" spans="3:465" ht="5.0999999999999996" customHeight="1" x14ac:dyDescent="0.3">
      <c r="C133" s="149"/>
      <c r="D133" s="150"/>
      <c r="G133" s="273"/>
      <c r="H133" s="274"/>
      <c r="I133" s="274"/>
      <c r="J133" s="274"/>
      <c r="K133" s="274"/>
      <c r="L133" s="274"/>
      <c r="M133" s="274"/>
      <c r="N133" s="274"/>
      <c r="O133" s="274"/>
      <c r="P133" s="274"/>
      <c r="Q133" s="274"/>
      <c r="R133" s="274"/>
      <c r="S133" s="274"/>
      <c r="T133" s="274"/>
      <c r="U133" s="274"/>
      <c r="V133" s="274"/>
      <c r="W133" s="274"/>
      <c r="X133" s="274"/>
      <c r="Y133" s="274"/>
      <c r="Z133" s="274"/>
      <c r="AA133" s="274"/>
      <c r="AB133" s="274"/>
      <c r="AC133" s="274"/>
      <c r="AD133" s="274"/>
      <c r="AE133" s="274"/>
      <c r="AF133" s="274"/>
      <c r="AG133" s="274"/>
      <c r="AH133" s="274"/>
      <c r="AI133" s="274"/>
      <c r="AJ133" s="274"/>
      <c r="AK133" s="274"/>
      <c r="AL133" s="274"/>
      <c r="AM133" s="274"/>
      <c r="AN133" s="274"/>
      <c r="AO133" s="274"/>
      <c r="AP133" s="274"/>
      <c r="AQ133" s="274"/>
      <c r="AR133" s="274"/>
      <c r="AS133" s="274"/>
      <c r="AT133" s="274"/>
      <c r="AU133" s="275"/>
      <c r="AV133" s="273"/>
      <c r="AW133" s="274"/>
      <c r="AX133" s="274"/>
      <c r="AY133" s="274"/>
      <c r="AZ133" s="275"/>
      <c r="BC133" s="273"/>
      <c r="BD133" s="274"/>
      <c r="BE133" s="274"/>
      <c r="BF133" s="274"/>
      <c r="BG133" s="274"/>
      <c r="BH133" s="274"/>
      <c r="BI133" s="274"/>
      <c r="BJ133" s="274"/>
      <c r="BK133" s="274"/>
      <c r="BL133" s="274"/>
      <c r="BM133" s="274"/>
      <c r="BN133" s="274"/>
      <c r="BO133" s="274"/>
      <c r="BP133" s="274"/>
      <c r="BQ133" s="274"/>
      <c r="BR133" s="274"/>
      <c r="BS133" s="274"/>
      <c r="BT133" s="274"/>
      <c r="BU133" s="274"/>
      <c r="BV133" s="274"/>
      <c r="BW133" s="274"/>
      <c r="BX133" s="274"/>
      <c r="BY133" s="274"/>
      <c r="BZ133" s="274"/>
      <c r="CA133" s="274"/>
      <c r="CB133" s="274"/>
      <c r="CC133" s="274"/>
      <c r="CD133" s="274"/>
      <c r="CE133" s="274"/>
      <c r="CF133" s="274"/>
      <c r="CG133" s="274"/>
      <c r="CH133" s="274"/>
      <c r="CI133" s="274"/>
      <c r="CJ133" s="274"/>
      <c r="CK133" s="274"/>
      <c r="CL133" s="274"/>
      <c r="CM133" s="274"/>
      <c r="CN133" s="274"/>
      <c r="CO133" s="274"/>
      <c r="CP133" s="274"/>
      <c r="CQ133" s="275"/>
      <c r="CR133" s="273"/>
      <c r="CS133" s="274"/>
      <c r="CT133" s="274"/>
      <c r="CU133" s="274"/>
      <c r="CV133" s="275"/>
      <c r="CY133" s="273"/>
      <c r="CZ133" s="274"/>
      <c r="DA133" s="274"/>
      <c r="DB133" s="274"/>
      <c r="DC133" s="274"/>
      <c r="DD133" s="274"/>
      <c r="DE133" s="274"/>
      <c r="DF133" s="274"/>
      <c r="DG133" s="274"/>
      <c r="DH133" s="274"/>
      <c r="DI133" s="274"/>
      <c r="DJ133" s="274"/>
      <c r="DK133" s="274"/>
      <c r="DL133" s="274"/>
      <c r="DM133" s="274"/>
      <c r="DN133" s="274"/>
      <c r="DO133" s="274"/>
      <c r="DP133" s="274"/>
      <c r="DQ133" s="274"/>
      <c r="DR133" s="274"/>
      <c r="DS133" s="274"/>
      <c r="DT133" s="274"/>
      <c r="DU133" s="274"/>
      <c r="DV133" s="274"/>
      <c r="DW133" s="274"/>
      <c r="DX133" s="274"/>
      <c r="DY133" s="274"/>
      <c r="DZ133" s="274"/>
      <c r="EA133" s="274"/>
      <c r="EB133" s="274"/>
      <c r="EC133" s="274"/>
      <c r="ED133" s="274"/>
      <c r="EE133" s="274"/>
      <c r="EF133" s="274"/>
      <c r="EG133" s="274"/>
      <c r="EH133" s="274"/>
      <c r="EI133" s="274"/>
      <c r="EJ133" s="274"/>
      <c r="EK133" s="274"/>
      <c r="EL133" s="274"/>
      <c r="EM133" s="275"/>
      <c r="EN133" s="273"/>
      <c r="EO133" s="274"/>
      <c r="EP133" s="274"/>
      <c r="EQ133" s="274"/>
      <c r="ER133" s="275"/>
      <c r="EU133" s="273"/>
      <c r="EV133" s="274"/>
      <c r="EW133" s="274"/>
      <c r="EX133" s="274"/>
      <c r="EY133" s="274"/>
      <c r="EZ133" s="274"/>
      <c r="FA133" s="274"/>
      <c r="FB133" s="274"/>
      <c r="FC133" s="274"/>
      <c r="FD133" s="274"/>
      <c r="FE133" s="274"/>
      <c r="FF133" s="274"/>
      <c r="FG133" s="274"/>
      <c r="FH133" s="274"/>
      <c r="FI133" s="274"/>
      <c r="FJ133" s="274"/>
      <c r="FK133" s="274"/>
      <c r="FL133" s="274"/>
      <c r="FM133" s="274"/>
      <c r="FN133" s="274"/>
      <c r="FO133" s="274"/>
      <c r="FP133" s="274"/>
      <c r="FQ133" s="274"/>
      <c r="FR133" s="274"/>
      <c r="FS133" s="274"/>
      <c r="FT133" s="274"/>
      <c r="FU133" s="274"/>
      <c r="FV133" s="274"/>
      <c r="FW133" s="274"/>
      <c r="FX133" s="274"/>
      <c r="FY133" s="274"/>
      <c r="FZ133" s="274"/>
      <c r="GA133" s="274"/>
      <c r="GB133" s="274"/>
      <c r="GC133" s="274"/>
      <c r="GD133" s="274"/>
      <c r="GE133" s="274"/>
      <c r="GF133" s="274"/>
      <c r="GG133" s="274"/>
      <c r="GH133" s="274"/>
      <c r="GI133" s="275"/>
      <c r="GJ133" s="273"/>
      <c r="GK133" s="274"/>
      <c r="GL133" s="274"/>
      <c r="GM133" s="274"/>
      <c r="GN133" s="275"/>
      <c r="GQ133" s="273"/>
      <c r="GR133" s="274"/>
      <c r="GS133" s="274"/>
      <c r="GT133" s="274"/>
      <c r="GU133" s="274"/>
      <c r="GV133" s="274"/>
      <c r="GW133" s="274"/>
      <c r="GX133" s="274"/>
      <c r="GY133" s="274"/>
      <c r="GZ133" s="274"/>
      <c r="HA133" s="274"/>
      <c r="HB133" s="274"/>
      <c r="HC133" s="274"/>
      <c r="HD133" s="274"/>
      <c r="HE133" s="274"/>
      <c r="HF133" s="274"/>
      <c r="HG133" s="274"/>
      <c r="HH133" s="274"/>
      <c r="HI133" s="274"/>
      <c r="HJ133" s="274"/>
      <c r="HK133" s="274"/>
      <c r="HL133" s="274"/>
      <c r="HM133" s="274"/>
      <c r="HN133" s="274"/>
      <c r="HO133" s="274"/>
      <c r="HP133" s="274"/>
      <c r="HQ133" s="274"/>
      <c r="HR133" s="274"/>
      <c r="HS133" s="274"/>
      <c r="HT133" s="274"/>
      <c r="HU133" s="274"/>
      <c r="HV133" s="274"/>
      <c r="HW133" s="274"/>
      <c r="HX133" s="274"/>
      <c r="HY133" s="274"/>
      <c r="HZ133" s="274"/>
      <c r="IA133" s="274"/>
      <c r="IB133" s="274"/>
      <c r="IC133" s="274"/>
      <c r="ID133" s="274"/>
      <c r="IE133" s="275"/>
      <c r="IF133" s="273"/>
      <c r="IG133" s="274"/>
      <c r="IH133" s="274"/>
      <c r="II133" s="274"/>
      <c r="IJ133" s="275"/>
      <c r="KP133" s="326"/>
      <c r="KQ133" s="327"/>
      <c r="KR133" s="327"/>
      <c r="KS133" s="327"/>
      <c r="KT133" s="327"/>
      <c r="KU133" s="327"/>
      <c r="KV133" s="327"/>
      <c r="KW133" s="327"/>
      <c r="KX133" s="327"/>
      <c r="KY133" s="327"/>
      <c r="KZ133" s="327"/>
      <c r="LA133" s="327"/>
      <c r="LB133" s="327"/>
      <c r="LC133" s="327"/>
      <c r="LD133" s="327"/>
      <c r="LE133" s="327"/>
      <c r="LF133" s="327"/>
      <c r="LG133" s="327"/>
      <c r="LH133" s="327"/>
      <c r="LI133" s="327"/>
      <c r="LJ133" s="327"/>
      <c r="LK133" s="327"/>
      <c r="LL133" s="327"/>
      <c r="LM133" s="327"/>
      <c r="LN133" s="327"/>
      <c r="LO133" s="327"/>
      <c r="LP133" s="327"/>
      <c r="LQ133" s="327"/>
      <c r="LR133" s="327"/>
      <c r="LS133" s="327"/>
      <c r="LT133" s="327"/>
      <c r="LU133" s="327"/>
      <c r="LV133" s="327"/>
      <c r="LW133" s="327"/>
      <c r="LX133" s="327"/>
      <c r="LY133" s="327"/>
      <c r="LZ133" s="327"/>
      <c r="MA133" s="327"/>
      <c r="MB133" s="327"/>
      <c r="MC133" s="328"/>
      <c r="MD133" s="273"/>
      <c r="ME133" s="274"/>
      <c r="MF133" s="274"/>
      <c r="MG133" s="274"/>
      <c r="MH133" s="275"/>
      <c r="MM133" s="273"/>
      <c r="MN133" s="274"/>
      <c r="MO133" s="274"/>
      <c r="MP133" s="274"/>
      <c r="MQ133" s="274"/>
      <c r="MR133" s="274"/>
      <c r="MS133" s="274"/>
      <c r="MT133" s="274"/>
      <c r="MU133" s="274"/>
      <c r="MV133" s="274"/>
      <c r="MW133" s="274"/>
      <c r="MX133" s="274"/>
      <c r="MY133" s="274"/>
      <c r="MZ133" s="274"/>
      <c r="NA133" s="274"/>
      <c r="NB133" s="274"/>
      <c r="NC133" s="274"/>
      <c r="ND133" s="274"/>
      <c r="NE133" s="274"/>
      <c r="NF133" s="274"/>
      <c r="NG133" s="274"/>
      <c r="NH133" s="274"/>
      <c r="NI133" s="274"/>
      <c r="NJ133" s="274"/>
      <c r="NK133" s="274"/>
      <c r="NL133" s="274"/>
      <c r="NM133" s="274"/>
      <c r="NN133" s="274"/>
      <c r="NO133" s="274"/>
      <c r="NP133" s="274"/>
      <c r="NQ133" s="274"/>
      <c r="NR133" s="274"/>
      <c r="NS133" s="274"/>
      <c r="NT133" s="274"/>
      <c r="NU133" s="274"/>
      <c r="NV133" s="274"/>
      <c r="NW133" s="274"/>
      <c r="NX133" s="274"/>
      <c r="NY133" s="274"/>
      <c r="NZ133" s="275"/>
      <c r="OA133" s="273"/>
      <c r="OB133" s="274"/>
      <c r="OC133" s="274"/>
      <c r="OD133" s="274"/>
      <c r="OE133" s="275"/>
      <c r="QQ133" s="152"/>
      <c r="QR133" s="153"/>
      <c r="QS133" s="176"/>
      <c r="QT133" s="176"/>
      <c r="QU133" s="176"/>
      <c r="QV133" s="176"/>
      <c r="QW133" s="177"/>
    </row>
    <row r="134" spans="3:465" ht="5.0999999999999996" customHeight="1" x14ac:dyDescent="0.3">
      <c r="C134" s="149"/>
      <c r="D134" s="150"/>
      <c r="G134" s="273"/>
      <c r="H134" s="274"/>
      <c r="I134" s="274"/>
      <c r="J134" s="274"/>
      <c r="K134" s="274"/>
      <c r="L134" s="274"/>
      <c r="M134" s="274"/>
      <c r="N134" s="274"/>
      <c r="O134" s="274"/>
      <c r="P134" s="274"/>
      <c r="Q134" s="274"/>
      <c r="R134" s="274"/>
      <c r="S134" s="274"/>
      <c r="T134" s="274"/>
      <c r="U134" s="274"/>
      <c r="V134" s="274"/>
      <c r="W134" s="274"/>
      <c r="X134" s="274"/>
      <c r="Y134" s="274"/>
      <c r="Z134" s="274"/>
      <c r="AA134" s="274"/>
      <c r="AB134" s="274"/>
      <c r="AC134" s="274"/>
      <c r="AD134" s="274"/>
      <c r="AE134" s="274"/>
      <c r="AF134" s="274"/>
      <c r="AG134" s="274"/>
      <c r="AH134" s="274"/>
      <c r="AI134" s="274"/>
      <c r="AJ134" s="274"/>
      <c r="AK134" s="274"/>
      <c r="AL134" s="274"/>
      <c r="AM134" s="274"/>
      <c r="AN134" s="274"/>
      <c r="AO134" s="274"/>
      <c r="AP134" s="274"/>
      <c r="AQ134" s="274"/>
      <c r="AR134" s="274"/>
      <c r="AS134" s="274"/>
      <c r="AT134" s="274"/>
      <c r="AU134" s="275"/>
      <c r="AV134" s="273"/>
      <c r="AW134" s="274"/>
      <c r="AX134" s="274"/>
      <c r="AY134" s="274"/>
      <c r="AZ134" s="275"/>
      <c r="BC134" s="273"/>
      <c r="BD134" s="274"/>
      <c r="BE134" s="274"/>
      <c r="BF134" s="274"/>
      <c r="BG134" s="274"/>
      <c r="BH134" s="274"/>
      <c r="BI134" s="274"/>
      <c r="BJ134" s="274"/>
      <c r="BK134" s="274"/>
      <c r="BL134" s="274"/>
      <c r="BM134" s="274"/>
      <c r="BN134" s="274"/>
      <c r="BO134" s="274"/>
      <c r="BP134" s="274"/>
      <c r="BQ134" s="274"/>
      <c r="BR134" s="274"/>
      <c r="BS134" s="274"/>
      <c r="BT134" s="274"/>
      <c r="BU134" s="274"/>
      <c r="BV134" s="274"/>
      <c r="BW134" s="274"/>
      <c r="BX134" s="274"/>
      <c r="BY134" s="274"/>
      <c r="BZ134" s="274"/>
      <c r="CA134" s="274"/>
      <c r="CB134" s="274"/>
      <c r="CC134" s="274"/>
      <c r="CD134" s="274"/>
      <c r="CE134" s="274"/>
      <c r="CF134" s="274"/>
      <c r="CG134" s="274"/>
      <c r="CH134" s="274"/>
      <c r="CI134" s="274"/>
      <c r="CJ134" s="274"/>
      <c r="CK134" s="274"/>
      <c r="CL134" s="274"/>
      <c r="CM134" s="274"/>
      <c r="CN134" s="274"/>
      <c r="CO134" s="274"/>
      <c r="CP134" s="274"/>
      <c r="CQ134" s="275"/>
      <c r="CR134" s="273"/>
      <c r="CS134" s="274"/>
      <c r="CT134" s="274"/>
      <c r="CU134" s="274"/>
      <c r="CV134" s="275"/>
      <c r="CY134" s="273"/>
      <c r="CZ134" s="274"/>
      <c r="DA134" s="274"/>
      <c r="DB134" s="274"/>
      <c r="DC134" s="274"/>
      <c r="DD134" s="274"/>
      <c r="DE134" s="274"/>
      <c r="DF134" s="274"/>
      <c r="DG134" s="274"/>
      <c r="DH134" s="274"/>
      <c r="DI134" s="274"/>
      <c r="DJ134" s="274"/>
      <c r="DK134" s="274"/>
      <c r="DL134" s="274"/>
      <c r="DM134" s="274"/>
      <c r="DN134" s="274"/>
      <c r="DO134" s="274"/>
      <c r="DP134" s="274"/>
      <c r="DQ134" s="274"/>
      <c r="DR134" s="274"/>
      <c r="DS134" s="274"/>
      <c r="DT134" s="274"/>
      <c r="DU134" s="274"/>
      <c r="DV134" s="274"/>
      <c r="DW134" s="274"/>
      <c r="DX134" s="274"/>
      <c r="DY134" s="274"/>
      <c r="DZ134" s="274"/>
      <c r="EA134" s="274"/>
      <c r="EB134" s="274"/>
      <c r="EC134" s="274"/>
      <c r="ED134" s="274"/>
      <c r="EE134" s="274"/>
      <c r="EF134" s="274"/>
      <c r="EG134" s="274"/>
      <c r="EH134" s="274"/>
      <c r="EI134" s="274"/>
      <c r="EJ134" s="274"/>
      <c r="EK134" s="274"/>
      <c r="EL134" s="274"/>
      <c r="EM134" s="275"/>
      <c r="EN134" s="273"/>
      <c r="EO134" s="274"/>
      <c r="EP134" s="274"/>
      <c r="EQ134" s="274"/>
      <c r="ER134" s="275"/>
      <c r="EU134" s="273"/>
      <c r="EV134" s="274"/>
      <c r="EW134" s="274"/>
      <c r="EX134" s="274"/>
      <c r="EY134" s="274"/>
      <c r="EZ134" s="274"/>
      <c r="FA134" s="274"/>
      <c r="FB134" s="274"/>
      <c r="FC134" s="274"/>
      <c r="FD134" s="274"/>
      <c r="FE134" s="274"/>
      <c r="FF134" s="274"/>
      <c r="FG134" s="274"/>
      <c r="FH134" s="274"/>
      <c r="FI134" s="274"/>
      <c r="FJ134" s="274"/>
      <c r="FK134" s="274"/>
      <c r="FL134" s="274"/>
      <c r="FM134" s="274"/>
      <c r="FN134" s="274"/>
      <c r="FO134" s="274"/>
      <c r="FP134" s="274"/>
      <c r="FQ134" s="274"/>
      <c r="FR134" s="274"/>
      <c r="FS134" s="274"/>
      <c r="FT134" s="274"/>
      <c r="FU134" s="274"/>
      <c r="FV134" s="274"/>
      <c r="FW134" s="274"/>
      <c r="FX134" s="274"/>
      <c r="FY134" s="274"/>
      <c r="FZ134" s="274"/>
      <c r="GA134" s="274"/>
      <c r="GB134" s="274"/>
      <c r="GC134" s="274"/>
      <c r="GD134" s="274"/>
      <c r="GE134" s="274"/>
      <c r="GF134" s="274"/>
      <c r="GG134" s="274"/>
      <c r="GH134" s="274"/>
      <c r="GI134" s="275"/>
      <c r="GJ134" s="273"/>
      <c r="GK134" s="274"/>
      <c r="GL134" s="274"/>
      <c r="GM134" s="274"/>
      <c r="GN134" s="275"/>
      <c r="GQ134" s="273"/>
      <c r="GR134" s="274"/>
      <c r="GS134" s="274"/>
      <c r="GT134" s="274"/>
      <c r="GU134" s="274"/>
      <c r="GV134" s="274"/>
      <c r="GW134" s="274"/>
      <c r="GX134" s="274"/>
      <c r="GY134" s="274"/>
      <c r="GZ134" s="274"/>
      <c r="HA134" s="274"/>
      <c r="HB134" s="274"/>
      <c r="HC134" s="274"/>
      <c r="HD134" s="274"/>
      <c r="HE134" s="274"/>
      <c r="HF134" s="274"/>
      <c r="HG134" s="274"/>
      <c r="HH134" s="274"/>
      <c r="HI134" s="274"/>
      <c r="HJ134" s="274"/>
      <c r="HK134" s="274"/>
      <c r="HL134" s="274"/>
      <c r="HM134" s="274"/>
      <c r="HN134" s="274"/>
      <c r="HO134" s="274"/>
      <c r="HP134" s="274"/>
      <c r="HQ134" s="274"/>
      <c r="HR134" s="274"/>
      <c r="HS134" s="274"/>
      <c r="HT134" s="274"/>
      <c r="HU134" s="274"/>
      <c r="HV134" s="274"/>
      <c r="HW134" s="274"/>
      <c r="HX134" s="274"/>
      <c r="HY134" s="274"/>
      <c r="HZ134" s="274"/>
      <c r="IA134" s="274"/>
      <c r="IB134" s="274"/>
      <c r="IC134" s="274"/>
      <c r="ID134" s="274"/>
      <c r="IE134" s="275"/>
      <c r="IF134" s="273"/>
      <c r="IG134" s="274"/>
      <c r="IH134" s="274"/>
      <c r="II134" s="274"/>
      <c r="IJ134" s="275"/>
      <c r="KP134" s="329"/>
      <c r="KQ134" s="330"/>
      <c r="KR134" s="330"/>
      <c r="KS134" s="330"/>
      <c r="KT134" s="330"/>
      <c r="KU134" s="330"/>
      <c r="KV134" s="330"/>
      <c r="KW134" s="330"/>
      <c r="KX134" s="330"/>
      <c r="KY134" s="330"/>
      <c r="KZ134" s="330"/>
      <c r="LA134" s="330"/>
      <c r="LB134" s="330"/>
      <c r="LC134" s="330"/>
      <c r="LD134" s="330"/>
      <c r="LE134" s="330"/>
      <c r="LF134" s="330"/>
      <c r="LG134" s="330"/>
      <c r="LH134" s="330"/>
      <c r="LI134" s="330"/>
      <c r="LJ134" s="330"/>
      <c r="LK134" s="330"/>
      <c r="LL134" s="330"/>
      <c r="LM134" s="330"/>
      <c r="LN134" s="330"/>
      <c r="LO134" s="330"/>
      <c r="LP134" s="330"/>
      <c r="LQ134" s="330"/>
      <c r="LR134" s="330"/>
      <c r="LS134" s="330"/>
      <c r="LT134" s="330"/>
      <c r="LU134" s="330"/>
      <c r="LV134" s="330"/>
      <c r="LW134" s="330"/>
      <c r="LX134" s="330"/>
      <c r="LY134" s="330"/>
      <c r="LZ134" s="330"/>
      <c r="MA134" s="330"/>
      <c r="MB134" s="330"/>
      <c r="MC134" s="331"/>
      <c r="MD134" s="276"/>
      <c r="ME134" s="277"/>
      <c r="MF134" s="277"/>
      <c r="MG134" s="277"/>
      <c r="MH134" s="278"/>
      <c r="MM134" s="276"/>
      <c r="MN134" s="277"/>
      <c r="MO134" s="277"/>
      <c r="MP134" s="277"/>
      <c r="MQ134" s="277"/>
      <c r="MR134" s="277"/>
      <c r="MS134" s="277"/>
      <c r="MT134" s="277"/>
      <c r="MU134" s="277"/>
      <c r="MV134" s="277"/>
      <c r="MW134" s="277"/>
      <c r="MX134" s="277"/>
      <c r="MY134" s="277"/>
      <c r="MZ134" s="277"/>
      <c r="NA134" s="277"/>
      <c r="NB134" s="277"/>
      <c r="NC134" s="277"/>
      <c r="ND134" s="277"/>
      <c r="NE134" s="277"/>
      <c r="NF134" s="277"/>
      <c r="NG134" s="277"/>
      <c r="NH134" s="277"/>
      <c r="NI134" s="277"/>
      <c r="NJ134" s="277"/>
      <c r="NK134" s="277"/>
      <c r="NL134" s="277"/>
      <c r="NM134" s="277"/>
      <c r="NN134" s="277"/>
      <c r="NO134" s="277"/>
      <c r="NP134" s="277"/>
      <c r="NQ134" s="277"/>
      <c r="NR134" s="277"/>
      <c r="NS134" s="277"/>
      <c r="NT134" s="277"/>
      <c r="NU134" s="277"/>
      <c r="NV134" s="277"/>
      <c r="NW134" s="277"/>
      <c r="NX134" s="277"/>
      <c r="NY134" s="277"/>
      <c r="NZ134" s="278"/>
      <c r="OA134" s="276"/>
      <c r="OB134" s="277"/>
      <c r="OC134" s="277"/>
      <c r="OD134" s="277"/>
      <c r="OE134" s="278"/>
      <c r="QQ134" s="152"/>
      <c r="QR134" s="153"/>
      <c r="QS134" s="176"/>
      <c r="QT134" s="176"/>
      <c r="QU134" s="176"/>
      <c r="QV134" s="176"/>
      <c r="QW134" s="177"/>
    </row>
    <row r="135" spans="3:465" ht="5.0999999999999996" customHeight="1" x14ac:dyDescent="0.3">
      <c r="C135" s="149"/>
      <c r="D135" s="150"/>
      <c r="G135" s="273"/>
      <c r="H135" s="274"/>
      <c r="I135" s="274"/>
      <c r="J135" s="274"/>
      <c r="K135" s="274"/>
      <c r="L135" s="274"/>
      <c r="M135" s="274"/>
      <c r="N135" s="274"/>
      <c r="O135" s="274"/>
      <c r="P135" s="274"/>
      <c r="Q135" s="274"/>
      <c r="R135" s="274"/>
      <c r="S135" s="274"/>
      <c r="T135" s="274"/>
      <c r="U135" s="274"/>
      <c r="V135" s="274"/>
      <c r="W135" s="274"/>
      <c r="X135" s="274"/>
      <c r="Y135" s="274"/>
      <c r="Z135" s="274"/>
      <c r="AA135" s="274"/>
      <c r="AB135" s="274"/>
      <c r="AC135" s="274"/>
      <c r="AD135" s="274"/>
      <c r="AE135" s="274"/>
      <c r="AF135" s="274"/>
      <c r="AG135" s="274"/>
      <c r="AH135" s="274"/>
      <c r="AI135" s="274"/>
      <c r="AJ135" s="274"/>
      <c r="AK135" s="274"/>
      <c r="AL135" s="274"/>
      <c r="AM135" s="274"/>
      <c r="AN135" s="274"/>
      <c r="AO135" s="274"/>
      <c r="AP135" s="274"/>
      <c r="AQ135" s="274"/>
      <c r="AR135" s="274"/>
      <c r="AS135" s="274"/>
      <c r="AT135" s="274"/>
      <c r="AU135" s="275"/>
      <c r="AV135" s="273"/>
      <c r="AW135" s="274"/>
      <c r="AX135" s="274"/>
      <c r="AY135" s="274"/>
      <c r="AZ135" s="275"/>
      <c r="BC135" s="273"/>
      <c r="BD135" s="274"/>
      <c r="BE135" s="274"/>
      <c r="BF135" s="274"/>
      <c r="BG135" s="274"/>
      <c r="BH135" s="274"/>
      <c r="BI135" s="274"/>
      <c r="BJ135" s="274"/>
      <c r="BK135" s="274"/>
      <c r="BL135" s="274"/>
      <c r="BM135" s="274"/>
      <c r="BN135" s="274"/>
      <c r="BO135" s="274"/>
      <c r="BP135" s="274"/>
      <c r="BQ135" s="274"/>
      <c r="BR135" s="274"/>
      <c r="BS135" s="274"/>
      <c r="BT135" s="274"/>
      <c r="BU135" s="274"/>
      <c r="BV135" s="274"/>
      <c r="BW135" s="274"/>
      <c r="BX135" s="274"/>
      <c r="BY135" s="274"/>
      <c r="BZ135" s="274"/>
      <c r="CA135" s="274"/>
      <c r="CB135" s="274"/>
      <c r="CC135" s="274"/>
      <c r="CD135" s="274"/>
      <c r="CE135" s="274"/>
      <c r="CF135" s="274"/>
      <c r="CG135" s="274"/>
      <c r="CH135" s="274"/>
      <c r="CI135" s="274"/>
      <c r="CJ135" s="274"/>
      <c r="CK135" s="274"/>
      <c r="CL135" s="274"/>
      <c r="CM135" s="274"/>
      <c r="CN135" s="274"/>
      <c r="CO135" s="274"/>
      <c r="CP135" s="274"/>
      <c r="CQ135" s="275"/>
      <c r="CR135" s="273"/>
      <c r="CS135" s="274"/>
      <c r="CT135" s="274"/>
      <c r="CU135" s="274"/>
      <c r="CV135" s="275"/>
      <c r="CY135" s="273"/>
      <c r="CZ135" s="274"/>
      <c r="DA135" s="274"/>
      <c r="DB135" s="274"/>
      <c r="DC135" s="274"/>
      <c r="DD135" s="274"/>
      <c r="DE135" s="274"/>
      <c r="DF135" s="274"/>
      <c r="DG135" s="274"/>
      <c r="DH135" s="274"/>
      <c r="DI135" s="274"/>
      <c r="DJ135" s="274"/>
      <c r="DK135" s="274"/>
      <c r="DL135" s="274"/>
      <c r="DM135" s="274"/>
      <c r="DN135" s="274"/>
      <c r="DO135" s="274"/>
      <c r="DP135" s="274"/>
      <c r="DQ135" s="274"/>
      <c r="DR135" s="274"/>
      <c r="DS135" s="274"/>
      <c r="DT135" s="274"/>
      <c r="DU135" s="274"/>
      <c r="DV135" s="274"/>
      <c r="DW135" s="274"/>
      <c r="DX135" s="274"/>
      <c r="DY135" s="274"/>
      <c r="DZ135" s="274"/>
      <c r="EA135" s="274"/>
      <c r="EB135" s="274"/>
      <c r="EC135" s="274"/>
      <c r="ED135" s="274"/>
      <c r="EE135" s="274"/>
      <c r="EF135" s="274"/>
      <c r="EG135" s="274"/>
      <c r="EH135" s="274"/>
      <c r="EI135" s="274"/>
      <c r="EJ135" s="274"/>
      <c r="EK135" s="274"/>
      <c r="EL135" s="274"/>
      <c r="EM135" s="275"/>
      <c r="EN135" s="273"/>
      <c r="EO135" s="274"/>
      <c r="EP135" s="274"/>
      <c r="EQ135" s="274"/>
      <c r="ER135" s="275"/>
      <c r="EU135" s="273"/>
      <c r="EV135" s="274"/>
      <c r="EW135" s="274"/>
      <c r="EX135" s="274"/>
      <c r="EY135" s="274"/>
      <c r="EZ135" s="274"/>
      <c r="FA135" s="274"/>
      <c r="FB135" s="274"/>
      <c r="FC135" s="274"/>
      <c r="FD135" s="274"/>
      <c r="FE135" s="274"/>
      <c r="FF135" s="274"/>
      <c r="FG135" s="274"/>
      <c r="FH135" s="274"/>
      <c r="FI135" s="274"/>
      <c r="FJ135" s="274"/>
      <c r="FK135" s="274"/>
      <c r="FL135" s="274"/>
      <c r="FM135" s="274"/>
      <c r="FN135" s="274"/>
      <c r="FO135" s="274"/>
      <c r="FP135" s="274"/>
      <c r="FQ135" s="274"/>
      <c r="FR135" s="274"/>
      <c r="FS135" s="274"/>
      <c r="FT135" s="274"/>
      <c r="FU135" s="274"/>
      <c r="FV135" s="274"/>
      <c r="FW135" s="274"/>
      <c r="FX135" s="274"/>
      <c r="FY135" s="274"/>
      <c r="FZ135" s="274"/>
      <c r="GA135" s="274"/>
      <c r="GB135" s="274"/>
      <c r="GC135" s="274"/>
      <c r="GD135" s="274"/>
      <c r="GE135" s="274"/>
      <c r="GF135" s="274"/>
      <c r="GG135" s="274"/>
      <c r="GH135" s="274"/>
      <c r="GI135" s="275"/>
      <c r="GJ135" s="273"/>
      <c r="GK135" s="274"/>
      <c r="GL135" s="274"/>
      <c r="GM135" s="274"/>
      <c r="GN135" s="275"/>
      <c r="GQ135" s="273"/>
      <c r="GR135" s="274"/>
      <c r="GS135" s="274"/>
      <c r="GT135" s="274"/>
      <c r="GU135" s="274"/>
      <c r="GV135" s="274"/>
      <c r="GW135" s="274"/>
      <c r="GX135" s="274"/>
      <c r="GY135" s="274"/>
      <c r="GZ135" s="274"/>
      <c r="HA135" s="274"/>
      <c r="HB135" s="274"/>
      <c r="HC135" s="274"/>
      <c r="HD135" s="274"/>
      <c r="HE135" s="274"/>
      <c r="HF135" s="274"/>
      <c r="HG135" s="274"/>
      <c r="HH135" s="274"/>
      <c r="HI135" s="274"/>
      <c r="HJ135" s="274"/>
      <c r="HK135" s="274"/>
      <c r="HL135" s="274"/>
      <c r="HM135" s="274"/>
      <c r="HN135" s="274"/>
      <c r="HO135" s="274"/>
      <c r="HP135" s="274"/>
      <c r="HQ135" s="274"/>
      <c r="HR135" s="274"/>
      <c r="HS135" s="274"/>
      <c r="HT135" s="274"/>
      <c r="HU135" s="274"/>
      <c r="HV135" s="274"/>
      <c r="HW135" s="274"/>
      <c r="HX135" s="274"/>
      <c r="HY135" s="274"/>
      <c r="HZ135" s="274"/>
      <c r="IA135" s="274"/>
      <c r="IB135" s="274"/>
      <c r="IC135" s="274"/>
      <c r="ID135" s="274"/>
      <c r="IE135" s="275"/>
      <c r="IF135" s="273"/>
      <c r="IG135" s="274"/>
      <c r="IH135" s="274"/>
      <c r="II135" s="274"/>
      <c r="IJ135" s="275"/>
      <c r="KP135" s="323" t="s">
        <v>304</v>
      </c>
      <c r="KQ135" s="324"/>
      <c r="KR135" s="324"/>
      <c r="KS135" s="324"/>
      <c r="KT135" s="324"/>
      <c r="KU135" s="324"/>
      <c r="KV135" s="324"/>
      <c r="KW135" s="324"/>
      <c r="KX135" s="324"/>
      <c r="KY135" s="324"/>
      <c r="KZ135" s="324"/>
      <c r="LA135" s="324"/>
      <c r="LB135" s="324"/>
      <c r="LC135" s="324"/>
      <c r="LD135" s="324"/>
      <c r="LE135" s="324"/>
      <c r="LF135" s="324"/>
      <c r="LG135" s="324"/>
      <c r="LH135" s="324"/>
      <c r="LI135" s="324"/>
      <c r="LJ135" s="324"/>
      <c r="LK135" s="324"/>
      <c r="LL135" s="324"/>
      <c r="LM135" s="324"/>
      <c r="LN135" s="324"/>
      <c r="LO135" s="324"/>
      <c r="LP135" s="324"/>
      <c r="LQ135" s="324"/>
      <c r="LR135" s="324"/>
      <c r="LS135" s="324"/>
      <c r="LT135" s="324"/>
      <c r="LU135" s="324"/>
      <c r="LV135" s="324"/>
      <c r="LW135" s="324"/>
      <c r="LX135" s="324"/>
      <c r="LY135" s="324"/>
      <c r="LZ135" s="324"/>
      <c r="MA135" s="324"/>
      <c r="MB135" s="324"/>
      <c r="MC135" s="325"/>
      <c r="MD135" s="270"/>
      <c r="ME135" s="271"/>
      <c r="MF135" s="271"/>
      <c r="MG135" s="271"/>
      <c r="MH135" s="272"/>
      <c r="QQ135" s="152"/>
      <c r="QR135" s="153"/>
      <c r="QS135" s="176"/>
      <c r="QT135" s="176"/>
      <c r="QU135" s="176"/>
      <c r="QV135" s="176"/>
      <c r="QW135" s="177"/>
    </row>
    <row r="136" spans="3:465" ht="5.0999999999999996" customHeight="1" x14ac:dyDescent="0.3">
      <c r="C136" s="149"/>
      <c r="D136" s="150"/>
      <c r="G136" s="273"/>
      <c r="H136" s="274"/>
      <c r="I136" s="274"/>
      <c r="J136" s="274"/>
      <c r="K136" s="274"/>
      <c r="L136" s="274"/>
      <c r="M136" s="274"/>
      <c r="N136" s="274"/>
      <c r="O136" s="274"/>
      <c r="P136" s="274"/>
      <c r="Q136" s="274"/>
      <c r="R136" s="274"/>
      <c r="S136" s="274"/>
      <c r="T136" s="274"/>
      <c r="U136" s="274"/>
      <c r="V136" s="274"/>
      <c r="W136" s="274"/>
      <c r="X136" s="274"/>
      <c r="Y136" s="274"/>
      <c r="Z136" s="274"/>
      <c r="AA136" s="274"/>
      <c r="AB136" s="274"/>
      <c r="AC136" s="274"/>
      <c r="AD136" s="274"/>
      <c r="AE136" s="274"/>
      <c r="AF136" s="274"/>
      <c r="AG136" s="274"/>
      <c r="AH136" s="274"/>
      <c r="AI136" s="274"/>
      <c r="AJ136" s="274"/>
      <c r="AK136" s="274"/>
      <c r="AL136" s="274"/>
      <c r="AM136" s="274"/>
      <c r="AN136" s="274"/>
      <c r="AO136" s="274"/>
      <c r="AP136" s="274"/>
      <c r="AQ136" s="274"/>
      <c r="AR136" s="274"/>
      <c r="AS136" s="274"/>
      <c r="AT136" s="274"/>
      <c r="AU136" s="275"/>
      <c r="AV136" s="273"/>
      <c r="AW136" s="274"/>
      <c r="AX136" s="274"/>
      <c r="AY136" s="274"/>
      <c r="AZ136" s="275"/>
      <c r="BC136" s="273"/>
      <c r="BD136" s="274"/>
      <c r="BE136" s="274"/>
      <c r="BF136" s="274"/>
      <c r="BG136" s="274"/>
      <c r="BH136" s="274"/>
      <c r="BI136" s="274"/>
      <c r="BJ136" s="274"/>
      <c r="BK136" s="274"/>
      <c r="BL136" s="274"/>
      <c r="BM136" s="274"/>
      <c r="BN136" s="274"/>
      <c r="BO136" s="274"/>
      <c r="BP136" s="274"/>
      <c r="BQ136" s="274"/>
      <c r="BR136" s="274"/>
      <c r="BS136" s="274"/>
      <c r="BT136" s="274"/>
      <c r="BU136" s="274"/>
      <c r="BV136" s="274"/>
      <c r="BW136" s="274"/>
      <c r="BX136" s="274"/>
      <c r="BY136" s="274"/>
      <c r="BZ136" s="274"/>
      <c r="CA136" s="274"/>
      <c r="CB136" s="274"/>
      <c r="CC136" s="274"/>
      <c r="CD136" s="274"/>
      <c r="CE136" s="274"/>
      <c r="CF136" s="274"/>
      <c r="CG136" s="274"/>
      <c r="CH136" s="274"/>
      <c r="CI136" s="274"/>
      <c r="CJ136" s="274"/>
      <c r="CK136" s="274"/>
      <c r="CL136" s="274"/>
      <c r="CM136" s="274"/>
      <c r="CN136" s="274"/>
      <c r="CO136" s="274"/>
      <c r="CP136" s="274"/>
      <c r="CQ136" s="275"/>
      <c r="CR136" s="273"/>
      <c r="CS136" s="274"/>
      <c r="CT136" s="274"/>
      <c r="CU136" s="274"/>
      <c r="CV136" s="275"/>
      <c r="CY136" s="273"/>
      <c r="CZ136" s="274"/>
      <c r="DA136" s="274"/>
      <c r="DB136" s="274"/>
      <c r="DC136" s="274"/>
      <c r="DD136" s="274"/>
      <c r="DE136" s="274"/>
      <c r="DF136" s="274"/>
      <c r="DG136" s="274"/>
      <c r="DH136" s="274"/>
      <c r="DI136" s="274"/>
      <c r="DJ136" s="274"/>
      <c r="DK136" s="274"/>
      <c r="DL136" s="274"/>
      <c r="DM136" s="274"/>
      <c r="DN136" s="274"/>
      <c r="DO136" s="274"/>
      <c r="DP136" s="274"/>
      <c r="DQ136" s="274"/>
      <c r="DR136" s="274"/>
      <c r="DS136" s="274"/>
      <c r="DT136" s="274"/>
      <c r="DU136" s="274"/>
      <c r="DV136" s="274"/>
      <c r="DW136" s="274"/>
      <c r="DX136" s="274"/>
      <c r="DY136" s="274"/>
      <c r="DZ136" s="274"/>
      <c r="EA136" s="274"/>
      <c r="EB136" s="274"/>
      <c r="EC136" s="274"/>
      <c r="ED136" s="274"/>
      <c r="EE136" s="274"/>
      <c r="EF136" s="274"/>
      <c r="EG136" s="274"/>
      <c r="EH136" s="274"/>
      <c r="EI136" s="274"/>
      <c r="EJ136" s="274"/>
      <c r="EK136" s="274"/>
      <c r="EL136" s="274"/>
      <c r="EM136" s="275"/>
      <c r="EN136" s="273"/>
      <c r="EO136" s="274"/>
      <c r="EP136" s="274"/>
      <c r="EQ136" s="274"/>
      <c r="ER136" s="275"/>
      <c r="EU136" s="273"/>
      <c r="EV136" s="274"/>
      <c r="EW136" s="274"/>
      <c r="EX136" s="274"/>
      <c r="EY136" s="274"/>
      <c r="EZ136" s="274"/>
      <c r="FA136" s="274"/>
      <c r="FB136" s="274"/>
      <c r="FC136" s="274"/>
      <c r="FD136" s="274"/>
      <c r="FE136" s="274"/>
      <c r="FF136" s="274"/>
      <c r="FG136" s="274"/>
      <c r="FH136" s="274"/>
      <c r="FI136" s="274"/>
      <c r="FJ136" s="274"/>
      <c r="FK136" s="274"/>
      <c r="FL136" s="274"/>
      <c r="FM136" s="274"/>
      <c r="FN136" s="274"/>
      <c r="FO136" s="274"/>
      <c r="FP136" s="274"/>
      <c r="FQ136" s="274"/>
      <c r="FR136" s="274"/>
      <c r="FS136" s="274"/>
      <c r="FT136" s="274"/>
      <c r="FU136" s="274"/>
      <c r="FV136" s="274"/>
      <c r="FW136" s="274"/>
      <c r="FX136" s="274"/>
      <c r="FY136" s="274"/>
      <c r="FZ136" s="274"/>
      <c r="GA136" s="274"/>
      <c r="GB136" s="274"/>
      <c r="GC136" s="274"/>
      <c r="GD136" s="274"/>
      <c r="GE136" s="274"/>
      <c r="GF136" s="274"/>
      <c r="GG136" s="274"/>
      <c r="GH136" s="274"/>
      <c r="GI136" s="275"/>
      <c r="GJ136" s="273"/>
      <c r="GK136" s="274"/>
      <c r="GL136" s="274"/>
      <c r="GM136" s="274"/>
      <c r="GN136" s="275"/>
      <c r="GQ136" s="273"/>
      <c r="GR136" s="274"/>
      <c r="GS136" s="274"/>
      <c r="GT136" s="274"/>
      <c r="GU136" s="274"/>
      <c r="GV136" s="274"/>
      <c r="GW136" s="274"/>
      <c r="GX136" s="274"/>
      <c r="GY136" s="274"/>
      <c r="GZ136" s="274"/>
      <c r="HA136" s="274"/>
      <c r="HB136" s="274"/>
      <c r="HC136" s="274"/>
      <c r="HD136" s="274"/>
      <c r="HE136" s="274"/>
      <c r="HF136" s="274"/>
      <c r="HG136" s="274"/>
      <c r="HH136" s="274"/>
      <c r="HI136" s="274"/>
      <c r="HJ136" s="274"/>
      <c r="HK136" s="274"/>
      <c r="HL136" s="274"/>
      <c r="HM136" s="274"/>
      <c r="HN136" s="274"/>
      <c r="HO136" s="274"/>
      <c r="HP136" s="274"/>
      <c r="HQ136" s="274"/>
      <c r="HR136" s="274"/>
      <c r="HS136" s="274"/>
      <c r="HT136" s="274"/>
      <c r="HU136" s="274"/>
      <c r="HV136" s="274"/>
      <c r="HW136" s="274"/>
      <c r="HX136" s="274"/>
      <c r="HY136" s="274"/>
      <c r="HZ136" s="274"/>
      <c r="IA136" s="274"/>
      <c r="IB136" s="274"/>
      <c r="IC136" s="274"/>
      <c r="ID136" s="274"/>
      <c r="IE136" s="275"/>
      <c r="IF136" s="273"/>
      <c r="IG136" s="274"/>
      <c r="IH136" s="274"/>
      <c r="II136" s="274"/>
      <c r="IJ136" s="275"/>
      <c r="KP136" s="326"/>
      <c r="KQ136" s="327"/>
      <c r="KR136" s="327"/>
      <c r="KS136" s="327"/>
      <c r="KT136" s="327"/>
      <c r="KU136" s="327"/>
      <c r="KV136" s="327"/>
      <c r="KW136" s="327"/>
      <c r="KX136" s="327"/>
      <c r="KY136" s="327"/>
      <c r="KZ136" s="327"/>
      <c r="LA136" s="327"/>
      <c r="LB136" s="327"/>
      <c r="LC136" s="327"/>
      <c r="LD136" s="327"/>
      <c r="LE136" s="327"/>
      <c r="LF136" s="327"/>
      <c r="LG136" s="327"/>
      <c r="LH136" s="327"/>
      <c r="LI136" s="327"/>
      <c r="LJ136" s="327"/>
      <c r="LK136" s="327"/>
      <c r="LL136" s="327"/>
      <c r="LM136" s="327"/>
      <c r="LN136" s="327"/>
      <c r="LO136" s="327"/>
      <c r="LP136" s="327"/>
      <c r="LQ136" s="327"/>
      <c r="LR136" s="327"/>
      <c r="LS136" s="327"/>
      <c r="LT136" s="327"/>
      <c r="LU136" s="327"/>
      <c r="LV136" s="327"/>
      <c r="LW136" s="327"/>
      <c r="LX136" s="327"/>
      <c r="LY136" s="327"/>
      <c r="LZ136" s="327"/>
      <c r="MA136" s="327"/>
      <c r="MB136" s="327"/>
      <c r="MC136" s="328"/>
      <c r="MD136" s="273"/>
      <c r="ME136" s="274"/>
      <c r="MF136" s="274"/>
      <c r="MG136" s="274"/>
      <c r="MH136" s="275"/>
      <c r="QQ136" s="152"/>
      <c r="QR136" s="153"/>
      <c r="QS136" s="176"/>
      <c r="QT136" s="176"/>
      <c r="QU136" s="176"/>
      <c r="QV136" s="176"/>
      <c r="QW136" s="177"/>
    </row>
    <row r="137" spans="3:465" ht="5.0999999999999996" customHeight="1" x14ac:dyDescent="0.3">
      <c r="C137" s="149"/>
      <c r="D137" s="150"/>
      <c r="G137" s="273"/>
      <c r="H137" s="274"/>
      <c r="I137" s="274"/>
      <c r="J137" s="274"/>
      <c r="K137" s="274"/>
      <c r="L137" s="274"/>
      <c r="M137" s="274"/>
      <c r="N137" s="274"/>
      <c r="O137" s="274"/>
      <c r="P137" s="274"/>
      <c r="Q137" s="274"/>
      <c r="R137" s="274"/>
      <c r="S137" s="274"/>
      <c r="T137" s="274"/>
      <c r="U137" s="274"/>
      <c r="V137" s="274"/>
      <c r="W137" s="274"/>
      <c r="X137" s="274"/>
      <c r="Y137" s="274"/>
      <c r="Z137" s="274"/>
      <c r="AA137" s="274"/>
      <c r="AB137" s="274"/>
      <c r="AC137" s="274"/>
      <c r="AD137" s="274"/>
      <c r="AE137" s="274"/>
      <c r="AF137" s="274"/>
      <c r="AG137" s="274"/>
      <c r="AH137" s="274"/>
      <c r="AI137" s="274"/>
      <c r="AJ137" s="274"/>
      <c r="AK137" s="274"/>
      <c r="AL137" s="274"/>
      <c r="AM137" s="274"/>
      <c r="AN137" s="274"/>
      <c r="AO137" s="274"/>
      <c r="AP137" s="274"/>
      <c r="AQ137" s="274"/>
      <c r="AR137" s="274"/>
      <c r="AS137" s="274"/>
      <c r="AT137" s="274"/>
      <c r="AU137" s="275"/>
      <c r="AV137" s="273"/>
      <c r="AW137" s="274"/>
      <c r="AX137" s="274"/>
      <c r="AY137" s="274"/>
      <c r="AZ137" s="275"/>
      <c r="BC137" s="273"/>
      <c r="BD137" s="274"/>
      <c r="BE137" s="274"/>
      <c r="BF137" s="274"/>
      <c r="BG137" s="274"/>
      <c r="BH137" s="274"/>
      <c r="BI137" s="274"/>
      <c r="BJ137" s="274"/>
      <c r="BK137" s="274"/>
      <c r="BL137" s="274"/>
      <c r="BM137" s="274"/>
      <c r="BN137" s="274"/>
      <c r="BO137" s="274"/>
      <c r="BP137" s="274"/>
      <c r="BQ137" s="274"/>
      <c r="BR137" s="274"/>
      <c r="BS137" s="274"/>
      <c r="BT137" s="274"/>
      <c r="BU137" s="274"/>
      <c r="BV137" s="274"/>
      <c r="BW137" s="274"/>
      <c r="BX137" s="274"/>
      <c r="BY137" s="274"/>
      <c r="BZ137" s="274"/>
      <c r="CA137" s="274"/>
      <c r="CB137" s="274"/>
      <c r="CC137" s="274"/>
      <c r="CD137" s="274"/>
      <c r="CE137" s="274"/>
      <c r="CF137" s="274"/>
      <c r="CG137" s="274"/>
      <c r="CH137" s="274"/>
      <c r="CI137" s="274"/>
      <c r="CJ137" s="274"/>
      <c r="CK137" s="274"/>
      <c r="CL137" s="274"/>
      <c r="CM137" s="274"/>
      <c r="CN137" s="274"/>
      <c r="CO137" s="274"/>
      <c r="CP137" s="274"/>
      <c r="CQ137" s="275"/>
      <c r="CR137" s="273"/>
      <c r="CS137" s="274"/>
      <c r="CT137" s="274"/>
      <c r="CU137" s="274"/>
      <c r="CV137" s="275"/>
      <c r="CY137" s="273"/>
      <c r="CZ137" s="274"/>
      <c r="DA137" s="274"/>
      <c r="DB137" s="274"/>
      <c r="DC137" s="274"/>
      <c r="DD137" s="274"/>
      <c r="DE137" s="274"/>
      <c r="DF137" s="274"/>
      <c r="DG137" s="274"/>
      <c r="DH137" s="274"/>
      <c r="DI137" s="274"/>
      <c r="DJ137" s="274"/>
      <c r="DK137" s="274"/>
      <c r="DL137" s="274"/>
      <c r="DM137" s="274"/>
      <c r="DN137" s="274"/>
      <c r="DO137" s="274"/>
      <c r="DP137" s="274"/>
      <c r="DQ137" s="274"/>
      <c r="DR137" s="274"/>
      <c r="DS137" s="274"/>
      <c r="DT137" s="274"/>
      <c r="DU137" s="274"/>
      <c r="DV137" s="274"/>
      <c r="DW137" s="274"/>
      <c r="DX137" s="274"/>
      <c r="DY137" s="274"/>
      <c r="DZ137" s="274"/>
      <c r="EA137" s="274"/>
      <c r="EB137" s="274"/>
      <c r="EC137" s="274"/>
      <c r="ED137" s="274"/>
      <c r="EE137" s="274"/>
      <c r="EF137" s="274"/>
      <c r="EG137" s="274"/>
      <c r="EH137" s="274"/>
      <c r="EI137" s="274"/>
      <c r="EJ137" s="274"/>
      <c r="EK137" s="274"/>
      <c r="EL137" s="274"/>
      <c r="EM137" s="275"/>
      <c r="EN137" s="273"/>
      <c r="EO137" s="274"/>
      <c r="EP137" s="274"/>
      <c r="EQ137" s="274"/>
      <c r="ER137" s="275"/>
      <c r="EU137" s="273"/>
      <c r="EV137" s="274"/>
      <c r="EW137" s="274"/>
      <c r="EX137" s="274"/>
      <c r="EY137" s="274"/>
      <c r="EZ137" s="274"/>
      <c r="FA137" s="274"/>
      <c r="FB137" s="274"/>
      <c r="FC137" s="274"/>
      <c r="FD137" s="274"/>
      <c r="FE137" s="274"/>
      <c r="FF137" s="274"/>
      <c r="FG137" s="274"/>
      <c r="FH137" s="274"/>
      <c r="FI137" s="274"/>
      <c r="FJ137" s="274"/>
      <c r="FK137" s="274"/>
      <c r="FL137" s="274"/>
      <c r="FM137" s="274"/>
      <c r="FN137" s="274"/>
      <c r="FO137" s="274"/>
      <c r="FP137" s="274"/>
      <c r="FQ137" s="274"/>
      <c r="FR137" s="274"/>
      <c r="FS137" s="274"/>
      <c r="FT137" s="274"/>
      <c r="FU137" s="274"/>
      <c r="FV137" s="274"/>
      <c r="FW137" s="274"/>
      <c r="FX137" s="274"/>
      <c r="FY137" s="274"/>
      <c r="FZ137" s="274"/>
      <c r="GA137" s="274"/>
      <c r="GB137" s="274"/>
      <c r="GC137" s="274"/>
      <c r="GD137" s="274"/>
      <c r="GE137" s="274"/>
      <c r="GF137" s="274"/>
      <c r="GG137" s="274"/>
      <c r="GH137" s="274"/>
      <c r="GI137" s="275"/>
      <c r="GJ137" s="273"/>
      <c r="GK137" s="274"/>
      <c r="GL137" s="274"/>
      <c r="GM137" s="274"/>
      <c r="GN137" s="275"/>
      <c r="GQ137" s="273"/>
      <c r="GR137" s="274"/>
      <c r="GS137" s="274"/>
      <c r="GT137" s="274"/>
      <c r="GU137" s="274"/>
      <c r="GV137" s="274"/>
      <c r="GW137" s="274"/>
      <c r="GX137" s="274"/>
      <c r="GY137" s="274"/>
      <c r="GZ137" s="274"/>
      <c r="HA137" s="274"/>
      <c r="HB137" s="274"/>
      <c r="HC137" s="274"/>
      <c r="HD137" s="274"/>
      <c r="HE137" s="274"/>
      <c r="HF137" s="274"/>
      <c r="HG137" s="274"/>
      <c r="HH137" s="274"/>
      <c r="HI137" s="274"/>
      <c r="HJ137" s="274"/>
      <c r="HK137" s="274"/>
      <c r="HL137" s="274"/>
      <c r="HM137" s="274"/>
      <c r="HN137" s="274"/>
      <c r="HO137" s="274"/>
      <c r="HP137" s="274"/>
      <c r="HQ137" s="274"/>
      <c r="HR137" s="274"/>
      <c r="HS137" s="274"/>
      <c r="HT137" s="274"/>
      <c r="HU137" s="274"/>
      <c r="HV137" s="274"/>
      <c r="HW137" s="274"/>
      <c r="HX137" s="274"/>
      <c r="HY137" s="274"/>
      <c r="HZ137" s="274"/>
      <c r="IA137" s="274"/>
      <c r="IB137" s="274"/>
      <c r="IC137" s="274"/>
      <c r="ID137" s="274"/>
      <c r="IE137" s="275"/>
      <c r="IF137" s="273"/>
      <c r="IG137" s="274"/>
      <c r="IH137" s="274"/>
      <c r="II137" s="274"/>
      <c r="IJ137" s="275"/>
      <c r="KP137" s="326"/>
      <c r="KQ137" s="327"/>
      <c r="KR137" s="327"/>
      <c r="KS137" s="327"/>
      <c r="KT137" s="327"/>
      <c r="KU137" s="327"/>
      <c r="KV137" s="327"/>
      <c r="KW137" s="327"/>
      <c r="KX137" s="327"/>
      <c r="KY137" s="327"/>
      <c r="KZ137" s="327"/>
      <c r="LA137" s="327"/>
      <c r="LB137" s="327"/>
      <c r="LC137" s="327"/>
      <c r="LD137" s="327"/>
      <c r="LE137" s="327"/>
      <c r="LF137" s="327"/>
      <c r="LG137" s="327"/>
      <c r="LH137" s="327"/>
      <c r="LI137" s="327"/>
      <c r="LJ137" s="327"/>
      <c r="LK137" s="327"/>
      <c r="LL137" s="327"/>
      <c r="LM137" s="327"/>
      <c r="LN137" s="327"/>
      <c r="LO137" s="327"/>
      <c r="LP137" s="327"/>
      <c r="LQ137" s="327"/>
      <c r="LR137" s="327"/>
      <c r="LS137" s="327"/>
      <c r="LT137" s="327"/>
      <c r="LU137" s="327"/>
      <c r="LV137" s="327"/>
      <c r="LW137" s="327"/>
      <c r="LX137" s="327"/>
      <c r="LY137" s="327"/>
      <c r="LZ137" s="327"/>
      <c r="MA137" s="327"/>
      <c r="MB137" s="327"/>
      <c r="MC137" s="328"/>
      <c r="MD137" s="273"/>
      <c r="ME137" s="274"/>
      <c r="MF137" s="274"/>
      <c r="MG137" s="274"/>
      <c r="MH137" s="275"/>
      <c r="QQ137" s="152"/>
      <c r="QR137" s="153"/>
      <c r="QS137" s="176"/>
      <c r="QT137" s="176"/>
      <c r="QU137" s="176"/>
      <c r="QV137" s="176"/>
      <c r="QW137" s="177"/>
    </row>
    <row r="138" spans="3:465" ht="5.0999999999999996" customHeight="1" x14ac:dyDescent="0.3">
      <c r="C138" s="149"/>
      <c r="D138" s="150"/>
      <c r="G138" s="273"/>
      <c r="H138" s="274"/>
      <c r="I138" s="274"/>
      <c r="J138" s="274"/>
      <c r="K138" s="274"/>
      <c r="L138" s="274"/>
      <c r="M138" s="274"/>
      <c r="N138" s="274"/>
      <c r="O138" s="274"/>
      <c r="P138" s="274"/>
      <c r="Q138" s="274"/>
      <c r="R138" s="274"/>
      <c r="S138" s="274"/>
      <c r="T138" s="274"/>
      <c r="U138" s="274"/>
      <c r="V138" s="274"/>
      <c r="W138" s="274"/>
      <c r="X138" s="274"/>
      <c r="Y138" s="274"/>
      <c r="Z138" s="274"/>
      <c r="AA138" s="274"/>
      <c r="AB138" s="274"/>
      <c r="AC138" s="274"/>
      <c r="AD138" s="274"/>
      <c r="AE138" s="274"/>
      <c r="AF138" s="274"/>
      <c r="AG138" s="274"/>
      <c r="AH138" s="274"/>
      <c r="AI138" s="274"/>
      <c r="AJ138" s="274"/>
      <c r="AK138" s="274"/>
      <c r="AL138" s="274"/>
      <c r="AM138" s="274"/>
      <c r="AN138" s="274"/>
      <c r="AO138" s="274"/>
      <c r="AP138" s="274"/>
      <c r="AQ138" s="274"/>
      <c r="AR138" s="274"/>
      <c r="AS138" s="274"/>
      <c r="AT138" s="274"/>
      <c r="AU138" s="275"/>
      <c r="AV138" s="273"/>
      <c r="AW138" s="274"/>
      <c r="AX138" s="274"/>
      <c r="AY138" s="274"/>
      <c r="AZ138" s="275"/>
      <c r="BC138" s="273"/>
      <c r="BD138" s="274"/>
      <c r="BE138" s="274"/>
      <c r="BF138" s="274"/>
      <c r="BG138" s="274"/>
      <c r="BH138" s="274"/>
      <c r="BI138" s="274"/>
      <c r="BJ138" s="274"/>
      <c r="BK138" s="274"/>
      <c r="BL138" s="274"/>
      <c r="BM138" s="274"/>
      <c r="BN138" s="274"/>
      <c r="BO138" s="274"/>
      <c r="BP138" s="274"/>
      <c r="BQ138" s="274"/>
      <c r="BR138" s="274"/>
      <c r="BS138" s="274"/>
      <c r="BT138" s="274"/>
      <c r="BU138" s="274"/>
      <c r="BV138" s="274"/>
      <c r="BW138" s="274"/>
      <c r="BX138" s="274"/>
      <c r="BY138" s="274"/>
      <c r="BZ138" s="274"/>
      <c r="CA138" s="274"/>
      <c r="CB138" s="274"/>
      <c r="CC138" s="274"/>
      <c r="CD138" s="274"/>
      <c r="CE138" s="274"/>
      <c r="CF138" s="274"/>
      <c r="CG138" s="274"/>
      <c r="CH138" s="274"/>
      <c r="CI138" s="274"/>
      <c r="CJ138" s="274"/>
      <c r="CK138" s="274"/>
      <c r="CL138" s="274"/>
      <c r="CM138" s="274"/>
      <c r="CN138" s="274"/>
      <c r="CO138" s="274"/>
      <c r="CP138" s="274"/>
      <c r="CQ138" s="275"/>
      <c r="CR138" s="273"/>
      <c r="CS138" s="274"/>
      <c r="CT138" s="274"/>
      <c r="CU138" s="274"/>
      <c r="CV138" s="275"/>
      <c r="CY138" s="273"/>
      <c r="CZ138" s="274"/>
      <c r="DA138" s="274"/>
      <c r="DB138" s="274"/>
      <c r="DC138" s="274"/>
      <c r="DD138" s="274"/>
      <c r="DE138" s="274"/>
      <c r="DF138" s="274"/>
      <c r="DG138" s="274"/>
      <c r="DH138" s="274"/>
      <c r="DI138" s="274"/>
      <c r="DJ138" s="274"/>
      <c r="DK138" s="274"/>
      <c r="DL138" s="274"/>
      <c r="DM138" s="274"/>
      <c r="DN138" s="274"/>
      <c r="DO138" s="274"/>
      <c r="DP138" s="274"/>
      <c r="DQ138" s="274"/>
      <c r="DR138" s="274"/>
      <c r="DS138" s="274"/>
      <c r="DT138" s="274"/>
      <c r="DU138" s="274"/>
      <c r="DV138" s="274"/>
      <c r="DW138" s="274"/>
      <c r="DX138" s="274"/>
      <c r="DY138" s="274"/>
      <c r="DZ138" s="274"/>
      <c r="EA138" s="274"/>
      <c r="EB138" s="274"/>
      <c r="EC138" s="274"/>
      <c r="ED138" s="274"/>
      <c r="EE138" s="274"/>
      <c r="EF138" s="274"/>
      <c r="EG138" s="274"/>
      <c r="EH138" s="274"/>
      <c r="EI138" s="274"/>
      <c r="EJ138" s="274"/>
      <c r="EK138" s="274"/>
      <c r="EL138" s="274"/>
      <c r="EM138" s="275"/>
      <c r="EN138" s="273"/>
      <c r="EO138" s="274"/>
      <c r="EP138" s="274"/>
      <c r="EQ138" s="274"/>
      <c r="ER138" s="275"/>
      <c r="EU138" s="273"/>
      <c r="EV138" s="274"/>
      <c r="EW138" s="274"/>
      <c r="EX138" s="274"/>
      <c r="EY138" s="274"/>
      <c r="EZ138" s="274"/>
      <c r="FA138" s="274"/>
      <c r="FB138" s="274"/>
      <c r="FC138" s="274"/>
      <c r="FD138" s="274"/>
      <c r="FE138" s="274"/>
      <c r="FF138" s="274"/>
      <c r="FG138" s="274"/>
      <c r="FH138" s="274"/>
      <c r="FI138" s="274"/>
      <c r="FJ138" s="274"/>
      <c r="FK138" s="274"/>
      <c r="FL138" s="274"/>
      <c r="FM138" s="274"/>
      <c r="FN138" s="274"/>
      <c r="FO138" s="274"/>
      <c r="FP138" s="274"/>
      <c r="FQ138" s="274"/>
      <c r="FR138" s="274"/>
      <c r="FS138" s="274"/>
      <c r="FT138" s="274"/>
      <c r="FU138" s="274"/>
      <c r="FV138" s="274"/>
      <c r="FW138" s="274"/>
      <c r="FX138" s="274"/>
      <c r="FY138" s="274"/>
      <c r="FZ138" s="274"/>
      <c r="GA138" s="274"/>
      <c r="GB138" s="274"/>
      <c r="GC138" s="274"/>
      <c r="GD138" s="274"/>
      <c r="GE138" s="274"/>
      <c r="GF138" s="274"/>
      <c r="GG138" s="274"/>
      <c r="GH138" s="274"/>
      <c r="GI138" s="275"/>
      <c r="GJ138" s="273"/>
      <c r="GK138" s="274"/>
      <c r="GL138" s="274"/>
      <c r="GM138" s="274"/>
      <c r="GN138" s="275"/>
      <c r="GQ138" s="273"/>
      <c r="GR138" s="274"/>
      <c r="GS138" s="274"/>
      <c r="GT138" s="274"/>
      <c r="GU138" s="274"/>
      <c r="GV138" s="274"/>
      <c r="GW138" s="274"/>
      <c r="GX138" s="274"/>
      <c r="GY138" s="274"/>
      <c r="GZ138" s="274"/>
      <c r="HA138" s="274"/>
      <c r="HB138" s="274"/>
      <c r="HC138" s="274"/>
      <c r="HD138" s="274"/>
      <c r="HE138" s="274"/>
      <c r="HF138" s="274"/>
      <c r="HG138" s="274"/>
      <c r="HH138" s="274"/>
      <c r="HI138" s="274"/>
      <c r="HJ138" s="274"/>
      <c r="HK138" s="274"/>
      <c r="HL138" s="274"/>
      <c r="HM138" s="274"/>
      <c r="HN138" s="274"/>
      <c r="HO138" s="274"/>
      <c r="HP138" s="274"/>
      <c r="HQ138" s="274"/>
      <c r="HR138" s="274"/>
      <c r="HS138" s="274"/>
      <c r="HT138" s="274"/>
      <c r="HU138" s="274"/>
      <c r="HV138" s="274"/>
      <c r="HW138" s="274"/>
      <c r="HX138" s="274"/>
      <c r="HY138" s="274"/>
      <c r="HZ138" s="274"/>
      <c r="IA138" s="274"/>
      <c r="IB138" s="274"/>
      <c r="IC138" s="274"/>
      <c r="ID138" s="274"/>
      <c r="IE138" s="275"/>
      <c r="IF138" s="273"/>
      <c r="IG138" s="274"/>
      <c r="IH138" s="274"/>
      <c r="II138" s="274"/>
      <c r="IJ138" s="275"/>
      <c r="KP138" s="326"/>
      <c r="KQ138" s="327"/>
      <c r="KR138" s="327"/>
      <c r="KS138" s="327"/>
      <c r="KT138" s="327"/>
      <c r="KU138" s="327"/>
      <c r="KV138" s="327"/>
      <c r="KW138" s="327"/>
      <c r="KX138" s="327"/>
      <c r="KY138" s="327"/>
      <c r="KZ138" s="327"/>
      <c r="LA138" s="327"/>
      <c r="LB138" s="327"/>
      <c r="LC138" s="327"/>
      <c r="LD138" s="327"/>
      <c r="LE138" s="327"/>
      <c r="LF138" s="327"/>
      <c r="LG138" s="327"/>
      <c r="LH138" s="327"/>
      <c r="LI138" s="327"/>
      <c r="LJ138" s="327"/>
      <c r="LK138" s="327"/>
      <c r="LL138" s="327"/>
      <c r="LM138" s="327"/>
      <c r="LN138" s="327"/>
      <c r="LO138" s="327"/>
      <c r="LP138" s="327"/>
      <c r="LQ138" s="327"/>
      <c r="LR138" s="327"/>
      <c r="LS138" s="327"/>
      <c r="LT138" s="327"/>
      <c r="LU138" s="327"/>
      <c r="LV138" s="327"/>
      <c r="LW138" s="327"/>
      <c r="LX138" s="327"/>
      <c r="LY138" s="327"/>
      <c r="LZ138" s="327"/>
      <c r="MA138" s="327"/>
      <c r="MB138" s="327"/>
      <c r="MC138" s="328"/>
      <c r="MD138" s="273"/>
      <c r="ME138" s="274"/>
      <c r="MF138" s="274"/>
      <c r="MG138" s="274"/>
      <c r="MH138" s="275"/>
      <c r="QQ138" s="152"/>
      <c r="QR138" s="153"/>
      <c r="QS138" s="176"/>
      <c r="QT138" s="176"/>
      <c r="QU138" s="176"/>
      <c r="QV138" s="176"/>
      <c r="QW138" s="177"/>
    </row>
    <row r="139" spans="3:465" ht="5.0999999999999996" customHeight="1" x14ac:dyDescent="0.3">
      <c r="C139" s="149"/>
      <c r="D139" s="150"/>
      <c r="G139" s="273"/>
      <c r="H139" s="274"/>
      <c r="I139" s="274"/>
      <c r="J139" s="274"/>
      <c r="K139" s="274"/>
      <c r="L139" s="274"/>
      <c r="M139" s="274"/>
      <c r="N139" s="274"/>
      <c r="O139" s="274"/>
      <c r="P139" s="274"/>
      <c r="Q139" s="274"/>
      <c r="R139" s="274"/>
      <c r="S139" s="274"/>
      <c r="T139" s="274"/>
      <c r="U139" s="274"/>
      <c r="V139" s="274"/>
      <c r="W139" s="274"/>
      <c r="X139" s="274"/>
      <c r="Y139" s="274"/>
      <c r="Z139" s="274"/>
      <c r="AA139" s="274"/>
      <c r="AB139" s="274"/>
      <c r="AC139" s="274"/>
      <c r="AD139" s="274"/>
      <c r="AE139" s="274"/>
      <c r="AF139" s="274"/>
      <c r="AG139" s="274"/>
      <c r="AH139" s="274"/>
      <c r="AI139" s="274"/>
      <c r="AJ139" s="274"/>
      <c r="AK139" s="274"/>
      <c r="AL139" s="274"/>
      <c r="AM139" s="274"/>
      <c r="AN139" s="274"/>
      <c r="AO139" s="274"/>
      <c r="AP139" s="274"/>
      <c r="AQ139" s="274"/>
      <c r="AR139" s="274"/>
      <c r="AS139" s="274"/>
      <c r="AT139" s="274"/>
      <c r="AU139" s="275"/>
      <c r="AV139" s="273"/>
      <c r="AW139" s="274"/>
      <c r="AX139" s="274"/>
      <c r="AY139" s="274"/>
      <c r="AZ139" s="275"/>
      <c r="BC139" s="273"/>
      <c r="BD139" s="274"/>
      <c r="BE139" s="274"/>
      <c r="BF139" s="274"/>
      <c r="BG139" s="274"/>
      <c r="BH139" s="274"/>
      <c r="BI139" s="274"/>
      <c r="BJ139" s="274"/>
      <c r="BK139" s="274"/>
      <c r="BL139" s="274"/>
      <c r="BM139" s="274"/>
      <c r="BN139" s="274"/>
      <c r="BO139" s="274"/>
      <c r="BP139" s="274"/>
      <c r="BQ139" s="274"/>
      <c r="BR139" s="274"/>
      <c r="BS139" s="274"/>
      <c r="BT139" s="274"/>
      <c r="BU139" s="274"/>
      <c r="BV139" s="274"/>
      <c r="BW139" s="274"/>
      <c r="BX139" s="274"/>
      <c r="BY139" s="274"/>
      <c r="BZ139" s="274"/>
      <c r="CA139" s="274"/>
      <c r="CB139" s="274"/>
      <c r="CC139" s="274"/>
      <c r="CD139" s="274"/>
      <c r="CE139" s="274"/>
      <c r="CF139" s="274"/>
      <c r="CG139" s="274"/>
      <c r="CH139" s="274"/>
      <c r="CI139" s="274"/>
      <c r="CJ139" s="274"/>
      <c r="CK139" s="274"/>
      <c r="CL139" s="274"/>
      <c r="CM139" s="274"/>
      <c r="CN139" s="274"/>
      <c r="CO139" s="274"/>
      <c r="CP139" s="274"/>
      <c r="CQ139" s="275"/>
      <c r="CR139" s="273"/>
      <c r="CS139" s="274"/>
      <c r="CT139" s="274"/>
      <c r="CU139" s="274"/>
      <c r="CV139" s="275"/>
      <c r="CY139" s="273"/>
      <c r="CZ139" s="274"/>
      <c r="DA139" s="274"/>
      <c r="DB139" s="274"/>
      <c r="DC139" s="274"/>
      <c r="DD139" s="274"/>
      <c r="DE139" s="274"/>
      <c r="DF139" s="274"/>
      <c r="DG139" s="274"/>
      <c r="DH139" s="274"/>
      <c r="DI139" s="274"/>
      <c r="DJ139" s="274"/>
      <c r="DK139" s="274"/>
      <c r="DL139" s="274"/>
      <c r="DM139" s="274"/>
      <c r="DN139" s="274"/>
      <c r="DO139" s="274"/>
      <c r="DP139" s="274"/>
      <c r="DQ139" s="274"/>
      <c r="DR139" s="274"/>
      <c r="DS139" s="274"/>
      <c r="DT139" s="274"/>
      <c r="DU139" s="274"/>
      <c r="DV139" s="274"/>
      <c r="DW139" s="274"/>
      <c r="DX139" s="274"/>
      <c r="DY139" s="274"/>
      <c r="DZ139" s="274"/>
      <c r="EA139" s="274"/>
      <c r="EB139" s="274"/>
      <c r="EC139" s="274"/>
      <c r="ED139" s="274"/>
      <c r="EE139" s="274"/>
      <c r="EF139" s="274"/>
      <c r="EG139" s="274"/>
      <c r="EH139" s="274"/>
      <c r="EI139" s="274"/>
      <c r="EJ139" s="274"/>
      <c r="EK139" s="274"/>
      <c r="EL139" s="274"/>
      <c r="EM139" s="275"/>
      <c r="EN139" s="273"/>
      <c r="EO139" s="274"/>
      <c r="EP139" s="274"/>
      <c r="EQ139" s="274"/>
      <c r="ER139" s="275"/>
      <c r="EU139" s="273"/>
      <c r="EV139" s="274"/>
      <c r="EW139" s="274"/>
      <c r="EX139" s="274"/>
      <c r="EY139" s="274"/>
      <c r="EZ139" s="274"/>
      <c r="FA139" s="274"/>
      <c r="FB139" s="274"/>
      <c r="FC139" s="274"/>
      <c r="FD139" s="274"/>
      <c r="FE139" s="274"/>
      <c r="FF139" s="274"/>
      <c r="FG139" s="274"/>
      <c r="FH139" s="274"/>
      <c r="FI139" s="274"/>
      <c r="FJ139" s="274"/>
      <c r="FK139" s="274"/>
      <c r="FL139" s="274"/>
      <c r="FM139" s="274"/>
      <c r="FN139" s="274"/>
      <c r="FO139" s="274"/>
      <c r="FP139" s="274"/>
      <c r="FQ139" s="274"/>
      <c r="FR139" s="274"/>
      <c r="FS139" s="274"/>
      <c r="FT139" s="274"/>
      <c r="FU139" s="274"/>
      <c r="FV139" s="274"/>
      <c r="FW139" s="274"/>
      <c r="FX139" s="274"/>
      <c r="FY139" s="274"/>
      <c r="FZ139" s="274"/>
      <c r="GA139" s="274"/>
      <c r="GB139" s="274"/>
      <c r="GC139" s="274"/>
      <c r="GD139" s="274"/>
      <c r="GE139" s="274"/>
      <c r="GF139" s="274"/>
      <c r="GG139" s="274"/>
      <c r="GH139" s="274"/>
      <c r="GI139" s="275"/>
      <c r="GJ139" s="273"/>
      <c r="GK139" s="274"/>
      <c r="GL139" s="274"/>
      <c r="GM139" s="274"/>
      <c r="GN139" s="275"/>
      <c r="GQ139" s="273"/>
      <c r="GR139" s="274"/>
      <c r="GS139" s="274"/>
      <c r="GT139" s="274"/>
      <c r="GU139" s="274"/>
      <c r="GV139" s="274"/>
      <c r="GW139" s="274"/>
      <c r="GX139" s="274"/>
      <c r="GY139" s="274"/>
      <c r="GZ139" s="274"/>
      <c r="HA139" s="274"/>
      <c r="HB139" s="274"/>
      <c r="HC139" s="274"/>
      <c r="HD139" s="274"/>
      <c r="HE139" s="274"/>
      <c r="HF139" s="274"/>
      <c r="HG139" s="274"/>
      <c r="HH139" s="274"/>
      <c r="HI139" s="274"/>
      <c r="HJ139" s="274"/>
      <c r="HK139" s="274"/>
      <c r="HL139" s="274"/>
      <c r="HM139" s="274"/>
      <c r="HN139" s="274"/>
      <c r="HO139" s="274"/>
      <c r="HP139" s="274"/>
      <c r="HQ139" s="274"/>
      <c r="HR139" s="274"/>
      <c r="HS139" s="274"/>
      <c r="HT139" s="274"/>
      <c r="HU139" s="274"/>
      <c r="HV139" s="274"/>
      <c r="HW139" s="274"/>
      <c r="HX139" s="274"/>
      <c r="HY139" s="274"/>
      <c r="HZ139" s="274"/>
      <c r="IA139" s="274"/>
      <c r="IB139" s="274"/>
      <c r="IC139" s="274"/>
      <c r="ID139" s="274"/>
      <c r="IE139" s="275"/>
      <c r="IF139" s="273"/>
      <c r="IG139" s="274"/>
      <c r="IH139" s="274"/>
      <c r="II139" s="274"/>
      <c r="IJ139" s="275"/>
      <c r="KP139" s="326"/>
      <c r="KQ139" s="327"/>
      <c r="KR139" s="327"/>
      <c r="KS139" s="327"/>
      <c r="KT139" s="327"/>
      <c r="KU139" s="327"/>
      <c r="KV139" s="327"/>
      <c r="KW139" s="327"/>
      <c r="KX139" s="327"/>
      <c r="KY139" s="327"/>
      <c r="KZ139" s="327"/>
      <c r="LA139" s="327"/>
      <c r="LB139" s="327"/>
      <c r="LC139" s="327"/>
      <c r="LD139" s="327"/>
      <c r="LE139" s="327"/>
      <c r="LF139" s="327"/>
      <c r="LG139" s="327"/>
      <c r="LH139" s="327"/>
      <c r="LI139" s="327"/>
      <c r="LJ139" s="327"/>
      <c r="LK139" s="327"/>
      <c r="LL139" s="327"/>
      <c r="LM139" s="327"/>
      <c r="LN139" s="327"/>
      <c r="LO139" s="327"/>
      <c r="LP139" s="327"/>
      <c r="LQ139" s="327"/>
      <c r="LR139" s="327"/>
      <c r="LS139" s="327"/>
      <c r="LT139" s="327"/>
      <c r="LU139" s="327"/>
      <c r="LV139" s="327"/>
      <c r="LW139" s="327"/>
      <c r="LX139" s="327"/>
      <c r="LY139" s="327"/>
      <c r="LZ139" s="327"/>
      <c r="MA139" s="327"/>
      <c r="MB139" s="327"/>
      <c r="MC139" s="328"/>
      <c r="MD139" s="273"/>
      <c r="ME139" s="274"/>
      <c r="MF139" s="274"/>
      <c r="MG139" s="274"/>
      <c r="MH139" s="275"/>
      <c r="QQ139" s="152"/>
      <c r="QR139" s="153"/>
      <c r="QS139" s="176"/>
      <c r="QT139" s="176"/>
      <c r="QU139" s="176"/>
      <c r="QV139" s="176"/>
      <c r="QW139" s="177"/>
    </row>
    <row r="140" spans="3:465" ht="5.0999999999999996" customHeight="1" x14ac:dyDescent="0.3">
      <c r="C140" s="149"/>
      <c r="D140" s="150"/>
      <c r="G140" s="276"/>
      <c r="H140" s="277"/>
      <c r="I140" s="277"/>
      <c r="J140" s="277"/>
      <c r="K140" s="277"/>
      <c r="L140" s="277"/>
      <c r="M140" s="277"/>
      <c r="N140" s="277"/>
      <c r="O140" s="277"/>
      <c r="P140" s="277"/>
      <c r="Q140" s="277"/>
      <c r="R140" s="277"/>
      <c r="S140" s="277"/>
      <c r="T140" s="277"/>
      <c r="U140" s="277"/>
      <c r="V140" s="277"/>
      <c r="W140" s="277"/>
      <c r="X140" s="277"/>
      <c r="Y140" s="277"/>
      <c r="Z140" s="277"/>
      <c r="AA140" s="277"/>
      <c r="AB140" s="277"/>
      <c r="AC140" s="277"/>
      <c r="AD140" s="277"/>
      <c r="AE140" s="277"/>
      <c r="AF140" s="277"/>
      <c r="AG140" s="277"/>
      <c r="AH140" s="277"/>
      <c r="AI140" s="277"/>
      <c r="AJ140" s="277"/>
      <c r="AK140" s="277"/>
      <c r="AL140" s="277"/>
      <c r="AM140" s="277"/>
      <c r="AN140" s="277"/>
      <c r="AO140" s="277"/>
      <c r="AP140" s="277"/>
      <c r="AQ140" s="277"/>
      <c r="AR140" s="277"/>
      <c r="AS140" s="277"/>
      <c r="AT140" s="277"/>
      <c r="AU140" s="278"/>
      <c r="AV140" s="276"/>
      <c r="AW140" s="277"/>
      <c r="AX140" s="277"/>
      <c r="AY140" s="277"/>
      <c r="AZ140" s="278"/>
      <c r="BC140" s="276"/>
      <c r="BD140" s="277"/>
      <c r="BE140" s="277"/>
      <c r="BF140" s="277"/>
      <c r="BG140" s="277"/>
      <c r="BH140" s="277"/>
      <c r="BI140" s="277"/>
      <c r="BJ140" s="277"/>
      <c r="BK140" s="277"/>
      <c r="BL140" s="277"/>
      <c r="BM140" s="277"/>
      <c r="BN140" s="277"/>
      <c r="BO140" s="277"/>
      <c r="BP140" s="277"/>
      <c r="BQ140" s="277"/>
      <c r="BR140" s="277"/>
      <c r="BS140" s="277"/>
      <c r="BT140" s="277"/>
      <c r="BU140" s="277"/>
      <c r="BV140" s="277"/>
      <c r="BW140" s="277"/>
      <c r="BX140" s="277"/>
      <c r="BY140" s="277"/>
      <c r="BZ140" s="277"/>
      <c r="CA140" s="277"/>
      <c r="CB140" s="277"/>
      <c r="CC140" s="277"/>
      <c r="CD140" s="277"/>
      <c r="CE140" s="277"/>
      <c r="CF140" s="277"/>
      <c r="CG140" s="277"/>
      <c r="CH140" s="277"/>
      <c r="CI140" s="277"/>
      <c r="CJ140" s="277"/>
      <c r="CK140" s="277"/>
      <c r="CL140" s="277"/>
      <c r="CM140" s="277"/>
      <c r="CN140" s="277"/>
      <c r="CO140" s="277"/>
      <c r="CP140" s="277"/>
      <c r="CQ140" s="278"/>
      <c r="CR140" s="276"/>
      <c r="CS140" s="277"/>
      <c r="CT140" s="277"/>
      <c r="CU140" s="277"/>
      <c r="CV140" s="278"/>
      <c r="CY140" s="276"/>
      <c r="CZ140" s="277"/>
      <c r="DA140" s="277"/>
      <c r="DB140" s="277"/>
      <c r="DC140" s="277"/>
      <c r="DD140" s="277"/>
      <c r="DE140" s="277"/>
      <c r="DF140" s="277"/>
      <c r="DG140" s="277"/>
      <c r="DH140" s="277"/>
      <c r="DI140" s="277"/>
      <c r="DJ140" s="277"/>
      <c r="DK140" s="277"/>
      <c r="DL140" s="277"/>
      <c r="DM140" s="277"/>
      <c r="DN140" s="277"/>
      <c r="DO140" s="277"/>
      <c r="DP140" s="277"/>
      <c r="DQ140" s="277"/>
      <c r="DR140" s="277"/>
      <c r="DS140" s="277"/>
      <c r="DT140" s="277"/>
      <c r="DU140" s="277"/>
      <c r="DV140" s="277"/>
      <c r="DW140" s="277"/>
      <c r="DX140" s="277"/>
      <c r="DY140" s="277"/>
      <c r="DZ140" s="277"/>
      <c r="EA140" s="277"/>
      <c r="EB140" s="277"/>
      <c r="EC140" s="277"/>
      <c r="ED140" s="277"/>
      <c r="EE140" s="277"/>
      <c r="EF140" s="277"/>
      <c r="EG140" s="277"/>
      <c r="EH140" s="277"/>
      <c r="EI140" s="277"/>
      <c r="EJ140" s="277"/>
      <c r="EK140" s="277"/>
      <c r="EL140" s="277"/>
      <c r="EM140" s="278"/>
      <c r="EN140" s="276"/>
      <c r="EO140" s="277"/>
      <c r="EP140" s="277"/>
      <c r="EQ140" s="277"/>
      <c r="ER140" s="278"/>
      <c r="EU140" s="276"/>
      <c r="EV140" s="277"/>
      <c r="EW140" s="277"/>
      <c r="EX140" s="277"/>
      <c r="EY140" s="277"/>
      <c r="EZ140" s="277"/>
      <c r="FA140" s="277"/>
      <c r="FB140" s="277"/>
      <c r="FC140" s="277"/>
      <c r="FD140" s="277"/>
      <c r="FE140" s="277"/>
      <c r="FF140" s="277"/>
      <c r="FG140" s="277"/>
      <c r="FH140" s="277"/>
      <c r="FI140" s="277"/>
      <c r="FJ140" s="277"/>
      <c r="FK140" s="277"/>
      <c r="FL140" s="277"/>
      <c r="FM140" s="277"/>
      <c r="FN140" s="277"/>
      <c r="FO140" s="277"/>
      <c r="FP140" s="277"/>
      <c r="FQ140" s="277"/>
      <c r="FR140" s="277"/>
      <c r="FS140" s="277"/>
      <c r="FT140" s="277"/>
      <c r="FU140" s="277"/>
      <c r="FV140" s="277"/>
      <c r="FW140" s="277"/>
      <c r="FX140" s="277"/>
      <c r="FY140" s="277"/>
      <c r="FZ140" s="277"/>
      <c r="GA140" s="277"/>
      <c r="GB140" s="277"/>
      <c r="GC140" s="277"/>
      <c r="GD140" s="277"/>
      <c r="GE140" s="277"/>
      <c r="GF140" s="277"/>
      <c r="GG140" s="277"/>
      <c r="GH140" s="277"/>
      <c r="GI140" s="278"/>
      <c r="GJ140" s="276"/>
      <c r="GK140" s="277"/>
      <c r="GL140" s="277"/>
      <c r="GM140" s="277"/>
      <c r="GN140" s="278"/>
      <c r="GQ140" s="276"/>
      <c r="GR140" s="277"/>
      <c r="GS140" s="277"/>
      <c r="GT140" s="277"/>
      <c r="GU140" s="277"/>
      <c r="GV140" s="277"/>
      <c r="GW140" s="277"/>
      <c r="GX140" s="277"/>
      <c r="GY140" s="277"/>
      <c r="GZ140" s="277"/>
      <c r="HA140" s="277"/>
      <c r="HB140" s="277"/>
      <c r="HC140" s="277"/>
      <c r="HD140" s="277"/>
      <c r="HE140" s="277"/>
      <c r="HF140" s="277"/>
      <c r="HG140" s="277"/>
      <c r="HH140" s="277"/>
      <c r="HI140" s="277"/>
      <c r="HJ140" s="277"/>
      <c r="HK140" s="277"/>
      <c r="HL140" s="277"/>
      <c r="HM140" s="277"/>
      <c r="HN140" s="277"/>
      <c r="HO140" s="277"/>
      <c r="HP140" s="277"/>
      <c r="HQ140" s="277"/>
      <c r="HR140" s="277"/>
      <c r="HS140" s="277"/>
      <c r="HT140" s="277"/>
      <c r="HU140" s="277"/>
      <c r="HV140" s="277"/>
      <c r="HW140" s="277"/>
      <c r="HX140" s="277"/>
      <c r="HY140" s="277"/>
      <c r="HZ140" s="277"/>
      <c r="IA140" s="277"/>
      <c r="IB140" s="277"/>
      <c r="IC140" s="277"/>
      <c r="ID140" s="277"/>
      <c r="IE140" s="278"/>
      <c r="IF140" s="276"/>
      <c r="IG140" s="277"/>
      <c r="IH140" s="277"/>
      <c r="II140" s="277"/>
      <c r="IJ140" s="278"/>
      <c r="KP140" s="326"/>
      <c r="KQ140" s="327"/>
      <c r="KR140" s="327"/>
      <c r="KS140" s="327"/>
      <c r="KT140" s="327"/>
      <c r="KU140" s="327"/>
      <c r="KV140" s="327"/>
      <c r="KW140" s="327"/>
      <c r="KX140" s="327"/>
      <c r="KY140" s="327"/>
      <c r="KZ140" s="327"/>
      <c r="LA140" s="327"/>
      <c r="LB140" s="327"/>
      <c r="LC140" s="327"/>
      <c r="LD140" s="327"/>
      <c r="LE140" s="327"/>
      <c r="LF140" s="327"/>
      <c r="LG140" s="327"/>
      <c r="LH140" s="327"/>
      <c r="LI140" s="327"/>
      <c r="LJ140" s="327"/>
      <c r="LK140" s="327"/>
      <c r="LL140" s="327"/>
      <c r="LM140" s="327"/>
      <c r="LN140" s="327"/>
      <c r="LO140" s="327"/>
      <c r="LP140" s="327"/>
      <c r="LQ140" s="327"/>
      <c r="LR140" s="327"/>
      <c r="LS140" s="327"/>
      <c r="LT140" s="327"/>
      <c r="LU140" s="327"/>
      <c r="LV140" s="327"/>
      <c r="LW140" s="327"/>
      <c r="LX140" s="327"/>
      <c r="LY140" s="327"/>
      <c r="LZ140" s="327"/>
      <c r="MA140" s="327"/>
      <c r="MB140" s="327"/>
      <c r="MC140" s="328"/>
      <c r="MD140" s="273"/>
      <c r="ME140" s="274"/>
      <c r="MF140" s="274"/>
      <c r="MG140" s="274"/>
      <c r="MH140" s="275"/>
      <c r="QQ140" s="152"/>
      <c r="QR140" s="153"/>
      <c r="QS140" s="176"/>
      <c r="QT140" s="176"/>
      <c r="QU140" s="176"/>
      <c r="QV140" s="176"/>
      <c r="QW140" s="177"/>
    </row>
    <row r="141" spans="3:465" ht="5.0999999999999996" customHeight="1" x14ac:dyDescent="0.3">
      <c r="C141" s="149"/>
      <c r="D141" s="150"/>
      <c r="G141" s="270" t="s">
        <v>305</v>
      </c>
      <c r="H141" s="271"/>
      <c r="I141" s="271"/>
      <c r="J141" s="271"/>
      <c r="K141" s="271"/>
      <c r="L141" s="271"/>
      <c r="M141" s="271"/>
      <c r="N141" s="271"/>
      <c r="O141" s="271"/>
      <c r="P141" s="271"/>
      <c r="Q141" s="271"/>
      <c r="R141" s="271"/>
      <c r="S141" s="271"/>
      <c r="T141" s="271"/>
      <c r="U141" s="271"/>
      <c r="V141" s="271"/>
      <c r="W141" s="271"/>
      <c r="X141" s="271"/>
      <c r="Y141" s="271"/>
      <c r="Z141" s="271"/>
      <c r="AA141" s="271"/>
      <c r="AB141" s="271"/>
      <c r="AC141" s="271"/>
      <c r="AD141" s="271"/>
      <c r="AE141" s="271"/>
      <c r="AF141" s="271"/>
      <c r="AG141" s="271"/>
      <c r="AH141" s="271"/>
      <c r="AI141" s="271"/>
      <c r="AJ141" s="271"/>
      <c r="AK141" s="271"/>
      <c r="AL141" s="271"/>
      <c r="AM141" s="271"/>
      <c r="AN141" s="271"/>
      <c r="AO141" s="271"/>
      <c r="AP141" s="271"/>
      <c r="AQ141" s="271"/>
      <c r="AR141" s="271"/>
      <c r="AS141" s="271"/>
      <c r="AT141" s="271"/>
      <c r="AU141" s="272"/>
      <c r="AV141" s="270">
        <v>2</v>
      </c>
      <c r="AW141" s="271"/>
      <c r="AX141" s="271"/>
      <c r="AY141" s="271"/>
      <c r="AZ141" s="272"/>
      <c r="CY141" s="270" t="s">
        <v>306</v>
      </c>
      <c r="CZ141" s="271"/>
      <c r="DA141" s="271"/>
      <c r="DB141" s="271"/>
      <c r="DC141" s="271"/>
      <c r="DD141" s="271"/>
      <c r="DE141" s="271"/>
      <c r="DF141" s="271"/>
      <c r="DG141" s="271"/>
      <c r="DH141" s="271"/>
      <c r="DI141" s="271"/>
      <c r="DJ141" s="271"/>
      <c r="DK141" s="271"/>
      <c r="DL141" s="271"/>
      <c r="DM141" s="271"/>
      <c r="DN141" s="271"/>
      <c r="DO141" s="271"/>
      <c r="DP141" s="271"/>
      <c r="DQ141" s="271"/>
      <c r="DR141" s="271"/>
      <c r="DS141" s="271"/>
      <c r="DT141" s="271"/>
      <c r="DU141" s="271"/>
      <c r="DV141" s="271"/>
      <c r="DW141" s="271"/>
      <c r="DX141" s="271"/>
      <c r="DY141" s="271"/>
      <c r="DZ141" s="271"/>
      <c r="EA141" s="271"/>
      <c r="EB141" s="271"/>
      <c r="EC141" s="271"/>
      <c r="ED141" s="271"/>
      <c r="EE141" s="271"/>
      <c r="EF141" s="271"/>
      <c r="EG141" s="271"/>
      <c r="EH141" s="271"/>
      <c r="EI141" s="271"/>
      <c r="EJ141" s="271"/>
      <c r="EK141" s="271"/>
      <c r="EL141" s="271"/>
      <c r="EM141" s="272"/>
      <c r="EN141" s="270">
        <v>2</v>
      </c>
      <c r="EO141" s="271"/>
      <c r="EP141" s="271"/>
      <c r="EQ141" s="271"/>
      <c r="ER141" s="272"/>
      <c r="KP141" s="326"/>
      <c r="KQ141" s="327"/>
      <c r="KR141" s="327"/>
      <c r="KS141" s="327"/>
      <c r="KT141" s="327"/>
      <c r="KU141" s="327"/>
      <c r="KV141" s="327"/>
      <c r="KW141" s="327"/>
      <c r="KX141" s="327"/>
      <c r="KY141" s="327"/>
      <c r="KZ141" s="327"/>
      <c r="LA141" s="327"/>
      <c r="LB141" s="327"/>
      <c r="LC141" s="327"/>
      <c r="LD141" s="327"/>
      <c r="LE141" s="327"/>
      <c r="LF141" s="327"/>
      <c r="LG141" s="327"/>
      <c r="LH141" s="327"/>
      <c r="LI141" s="327"/>
      <c r="LJ141" s="327"/>
      <c r="LK141" s="327"/>
      <c r="LL141" s="327"/>
      <c r="LM141" s="327"/>
      <c r="LN141" s="327"/>
      <c r="LO141" s="327"/>
      <c r="LP141" s="327"/>
      <c r="LQ141" s="327"/>
      <c r="LR141" s="327"/>
      <c r="LS141" s="327"/>
      <c r="LT141" s="327"/>
      <c r="LU141" s="327"/>
      <c r="LV141" s="327"/>
      <c r="LW141" s="327"/>
      <c r="LX141" s="327"/>
      <c r="LY141" s="327"/>
      <c r="LZ141" s="327"/>
      <c r="MA141" s="327"/>
      <c r="MB141" s="327"/>
      <c r="MC141" s="328"/>
      <c r="MD141" s="273"/>
      <c r="ME141" s="274"/>
      <c r="MF141" s="274"/>
      <c r="MG141" s="274"/>
      <c r="MH141" s="275"/>
      <c r="QQ141" s="152"/>
      <c r="QR141" s="153"/>
      <c r="QS141" s="176"/>
      <c r="QT141" s="176"/>
      <c r="QU141" s="176"/>
      <c r="QV141" s="176"/>
      <c r="QW141" s="177"/>
    </row>
    <row r="142" spans="3:465" ht="5.0999999999999996" customHeight="1" x14ac:dyDescent="0.3">
      <c r="C142" s="149"/>
      <c r="D142" s="150"/>
      <c r="G142" s="273"/>
      <c r="H142" s="274"/>
      <c r="I142" s="274"/>
      <c r="J142" s="274"/>
      <c r="K142" s="274"/>
      <c r="L142" s="274"/>
      <c r="M142" s="274"/>
      <c r="N142" s="274"/>
      <c r="O142" s="274"/>
      <c r="P142" s="274"/>
      <c r="Q142" s="274"/>
      <c r="R142" s="274"/>
      <c r="S142" s="274"/>
      <c r="T142" s="274"/>
      <c r="U142" s="274"/>
      <c r="V142" s="274"/>
      <c r="W142" s="274"/>
      <c r="X142" s="274"/>
      <c r="Y142" s="274"/>
      <c r="Z142" s="274"/>
      <c r="AA142" s="274"/>
      <c r="AB142" s="274"/>
      <c r="AC142" s="274"/>
      <c r="AD142" s="274"/>
      <c r="AE142" s="274"/>
      <c r="AF142" s="274"/>
      <c r="AG142" s="274"/>
      <c r="AH142" s="274"/>
      <c r="AI142" s="274"/>
      <c r="AJ142" s="274"/>
      <c r="AK142" s="274"/>
      <c r="AL142" s="274"/>
      <c r="AM142" s="274"/>
      <c r="AN142" s="274"/>
      <c r="AO142" s="274"/>
      <c r="AP142" s="274"/>
      <c r="AQ142" s="274"/>
      <c r="AR142" s="274"/>
      <c r="AS142" s="274"/>
      <c r="AT142" s="274"/>
      <c r="AU142" s="275"/>
      <c r="AV142" s="273"/>
      <c r="AW142" s="274"/>
      <c r="AX142" s="274"/>
      <c r="AY142" s="274"/>
      <c r="AZ142" s="275"/>
      <c r="CY142" s="273"/>
      <c r="CZ142" s="274"/>
      <c r="DA142" s="274"/>
      <c r="DB142" s="274"/>
      <c r="DC142" s="274"/>
      <c r="DD142" s="274"/>
      <c r="DE142" s="274"/>
      <c r="DF142" s="274"/>
      <c r="DG142" s="274"/>
      <c r="DH142" s="274"/>
      <c r="DI142" s="274"/>
      <c r="DJ142" s="274"/>
      <c r="DK142" s="274"/>
      <c r="DL142" s="274"/>
      <c r="DM142" s="274"/>
      <c r="DN142" s="274"/>
      <c r="DO142" s="274"/>
      <c r="DP142" s="274"/>
      <c r="DQ142" s="274"/>
      <c r="DR142" s="274"/>
      <c r="DS142" s="274"/>
      <c r="DT142" s="274"/>
      <c r="DU142" s="274"/>
      <c r="DV142" s="274"/>
      <c r="DW142" s="274"/>
      <c r="DX142" s="274"/>
      <c r="DY142" s="274"/>
      <c r="DZ142" s="274"/>
      <c r="EA142" s="274"/>
      <c r="EB142" s="274"/>
      <c r="EC142" s="274"/>
      <c r="ED142" s="274"/>
      <c r="EE142" s="274"/>
      <c r="EF142" s="274"/>
      <c r="EG142" s="274"/>
      <c r="EH142" s="274"/>
      <c r="EI142" s="274"/>
      <c r="EJ142" s="274"/>
      <c r="EK142" s="274"/>
      <c r="EL142" s="274"/>
      <c r="EM142" s="275"/>
      <c r="EN142" s="273"/>
      <c r="EO142" s="274"/>
      <c r="EP142" s="274"/>
      <c r="EQ142" s="274"/>
      <c r="ER142" s="275"/>
      <c r="KP142" s="326"/>
      <c r="KQ142" s="327"/>
      <c r="KR142" s="327"/>
      <c r="KS142" s="327"/>
      <c r="KT142" s="327"/>
      <c r="KU142" s="327"/>
      <c r="KV142" s="327"/>
      <c r="KW142" s="327"/>
      <c r="KX142" s="327"/>
      <c r="KY142" s="327"/>
      <c r="KZ142" s="327"/>
      <c r="LA142" s="327"/>
      <c r="LB142" s="327"/>
      <c r="LC142" s="327"/>
      <c r="LD142" s="327"/>
      <c r="LE142" s="327"/>
      <c r="LF142" s="327"/>
      <c r="LG142" s="327"/>
      <c r="LH142" s="327"/>
      <c r="LI142" s="327"/>
      <c r="LJ142" s="327"/>
      <c r="LK142" s="327"/>
      <c r="LL142" s="327"/>
      <c r="LM142" s="327"/>
      <c r="LN142" s="327"/>
      <c r="LO142" s="327"/>
      <c r="LP142" s="327"/>
      <c r="LQ142" s="327"/>
      <c r="LR142" s="327"/>
      <c r="LS142" s="327"/>
      <c r="LT142" s="327"/>
      <c r="LU142" s="327"/>
      <c r="LV142" s="327"/>
      <c r="LW142" s="327"/>
      <c r="LX142" s="327"/>
      <c r="LY142" s="327"/>
      <c r="LZ142" s="327"/>
      <c r="MA142" s="327"/>
      <c r="MB142" s="327"/>
      <c r="MC142" s="328"/>
      <c r="MD142" s="273"/>
      <c r="ME142" s="274"/>
      <c r="MF142" s="274"/>
      <c r="MG142" s="274"/>
      <c r="MH142" s="275"/>
      <c r="QQ142" s="152"/>
      <c r="QR142" s="153"/>
      <c r="QS142" s="176"/>
      <c r="QT142" s="176"/>
      <c r="QU142" s="176"/>
      <c r="QV142" s="176"/>
      <c r="QW142" s="177"/>
    </row>
    <row r="143" spans="3:465" ht="5.0999999999999996" customHeight="1" x14ac:dyDescent="0.3">
      <c r="C143" s="149"/>
      <c r="D143" s="150"/>
      <c r="G143" s="273"/>
      <c r="H143" s="274"/>
      <c r="I143" s="274"/>
      <c r="J143" s="274"/>
      <c r="K143" s="274"/>
      <c r="L143" s="274"/>
      <c r="M143" s="274"/>
      <c r="N143" s="274"/>
      <c r="O143" s="274"/>
      <c r="P143" s="274"/>
      <c r="Q143" s="274"/>
      <c r="R143" s="274"/>
      <c r="S143" s="274"/>
      <c r="T143" s="274"/>
      <c r="U143" s="274"/>
      <c r="V143" s="274"/>
      <c r="W143" s="274"/>
      <c r="X143" s="274"/>
      <c r="Y143" s="274"/>
      <c r="Z143" s="274"/>
      <c r="AA143" s="274"/>
      <c r="AB143" s="274"/>
      <c r="AC143" s="274"/>
      <c r="AD143" s="274"/>
      <c r="AE143" s="274"/>
      <c r="AF143" s="274"/>
      <c r="AG143" s="274"/>
      <c r="AH143" s="274"/>
      <c r="AI143" s="274"/>
      <c r="AJ143" s="274"/>
      <c r="AK143" s="274"/>
      <c r="AL143" s="274"/>
      <c r="AM143" s="274"/>
      <c r="AN143" s="274"/>
      <c r="AO143" s="274"/>
      <c r="AP143" s="274"/>
      <c r="AQ143" s="274"/>
      <c r="AR143" s="274"/>
      <c r="AS143" s="274"/>
      <c r="AT143" s="274"/>
      <c r="AU143" s="275"/>
      <c r="AV143" s="273"/>
      <c r="AW143" s="274"/>
      <c r="AX143" s="274"/>
      <c r="AY143" s="274"/>
      <c r="AZ143" s="275"/>
      <c r="CY143" s="273"/>
      <c r="CZ143" s="274"/>
      <c r="DA143" s="274"/>
      <c r="DB143" s="274"/>
      <c r="DC143" s="274"/>
      <c r="DD143" s="274"/>
      <c r="DE143" s="274"/>
      <c r="DF143" s="274"/>
      <c r="DG143" s="274"/>
      <c r="DH143" s="274"/>
      <c r="DI143" s="274"/>
      <c r="DJ143" s="274"/>
      <c r="DK143" s="274"/>
      <c r="DL143" s="274"/>
      <c r="DM143" s="274"/>
      <c r="DN143" s="274"/>
      <c r="DO143" s="274"/>
      <c r="DP143" s="274"/>
      <c r="DQ143" s="274"/>
      <c r="DR143" s="274"/>
      <c r="DS143" s="274"/>
      <c r="DT143" s="274"/>
      <c r="DU143" s="274"/>
      <c r="DV143" s="274"/>
      <c r="DW143" s="274"/>
      <c r="DX143" s="274"/>
      <c r="DY143" s="274"/>
      <c r="DZ143" s="274"/>
      <c r="EA143" s="274"/>
      <c r="EB143" s="274"/>
      <c r="EC143" s="274"/>
      <c r="ED143" s="274"/>
      <c r="EE143" s="274"/>
      <c r="EF143" s="274"/>
      <c r="EG143" s="274"/>
      <c r="EH143" s="274"/>
      <c r="EI143" s="274"/>
      <c r="EJ143" s="274"/>
      <c r="EK143" s="274"/>
      <c r="EL143" s="274"/>
      <c r="EM143" s="275"/>
      <c r="EN143" s="273"/>
      <c r="EO143" s="274"/>
      <c r="EP143" s="274"/>
      <c r="EQ143" s="274"/>
      <c r="ER143" s="275"/>
      <c r="KP143" s="326"/>
      <c r="KQ143" s="327"/>
      <c r="KR143" s="327"/>
      <c r="KS143" s="327"/>
      <c r="KT143" s="327"/>
      <c r="KU143" s="327"/>
      <c r="KV143" s="327"/>
      <c r="KW143" s="327"/>
      <c r="KX143" s="327"/>
      <c r="KY143" s="327"/>
      <c r="KZ143" s="327"/>
      <c r="LA143" s="327"/>
      <c r="LB143" s="327"/>
      <c r="LC143" s="327"/>
      <c r="LD143" s="327"/>
      <c r="LE143" s="327"/>
      <c r="LF143" s="327"/>
      <c r="LG143" s="327"/>
      <c r="LH143" s="327"/>
      <c r="LI143" s="327"/>
      <c r="LJ143" s="327"/>
      <c r="LK143" s="327"/>
      <c r="LL143" s="327"/>
      <c r="LM143" s="327"/>
      <c r="LN143" s="327"/>
      <c r="LO143" s="327"/>
      <c r="LP143" s="327"/>
      <c r="LQ143" s="327"/>
      <c r="LR143" s="327"/>
      <c r="LS143" s="327"/>
      <c r="LT143" s="327"/>
      <c r="LU143" s="327"/>
      <c r="LV143" s="327"/>
      <c r="LW143" s="327"/>
      <c r="LX143" s="327"/>
      <c r="LY143" s="327"/>
      <c r="LZ143" s="327"/>
      <c r="MA143" s="327"/>
      <c r="MB143" s="327"/>
      <c r="MC143" s="328"/>
      <c r="MD143" s="273"/>
      <c r="ME143" s="274"/>
      <c r="MF143" s="274"/>
      <c r="MG143" s="274"/>
      <c r="MH143" s="275"/>
      <c r="QQ143" s="152"/>
      <c r="QR143" s="153"/>
      <c r="QS143" s="176"/>
      <c r="QT143" s="176"/>
      <c r="QU143" s="176"/>
      <c r="QV143" s="176"/>
      <c r="QW143" s="177"/>
    </row>
    <row r="144" spans="3:465" ht="5.0999999999999996" customHeight="1" x14ac:dyDescent="0.3">
      <c r="C144" s="149"/>
      <c r="D144" s="150"/>
      <c r="G144" s="273"/>
      <c r="H144" s="274"/>
      <c r="I144" s="274"/>
      <c r="J144" s="274"/>
      <c r="K144" s="274"/>
      <c r="L144" s="274"/>
      <c r="M144" s="274"/>
      <c r="N144" s="274"/>
      <c r="O144" s="274"/>
      <c r="P144" s="274"/>
      <c r="Q144" s="274"/>
      <c r="R144" s="274"/>
      <c r="S144" s="274"/>
      <c r="T144" s="274"/>
      <c r="U144" s="274"/>
      <c r="V144" s="274"/>
      <c r="W144" s="274"/>
      <c r="X144" s="274"/>
      <c r="Y144" s="274"/>
      <c r="Z144" s="274"/>
      <c r="AA144" s="274"/>
      <c r="AB144" s="274"/>
      <c r="AC144" s="274"/>
      <c r="AD144" s="274"/>
      <c r="AE144" s="274"/>
      <c r="AF144" s="274"/>
      <c r="AG144" s="274"/>
      <c r="AH144" s="274"/>
      <c r="AI144" s="274"/>
      <c r="AJ144" s="274"/>
      <c r="AK144" s="274"/>
      <c r="AL144" s="274"/>
      <c r="AM144" s="274"/>
      <c r="AN144" s="274"/>
      <c r="AO144" s="274"/>
      <c r="AP144" s="274"/>
      <c r="AQ144" s="274"/>
      <c r="AR144" s="274"/>
      <c r="AS144" s="274"/>
      <c r="AT144" s="274"/>
      <c r="AU144" s="275"/>
      <c r="AV144" s="273"/>
      <c r="AW144" s="274"/>
      <c r="AX144" s="274"/>
      <c r="AY144" s="274"/>
      <c r="AZ144" s="275"/>
      <c r="CY144" s="273"/>
      <c r="CZ144" s="274"/>
      <c r="DA144" s="274"/>
      <c r="DB144" s="274"/>
      <c r="DC144" s="274"/>
      <c r="DD144" s="274"/>
      <c r="DE144" s="274"/>
      <c r="DF144" s="274"/>
      <c r="DG144" s="274"/>
      <c r="DH144" s="274"/>
      <c r="DI144" s="274"/>
      <c r="DJ144" s="274"/>
      <c r="DK144" s="274"/>
      <c r="DL144" s="274"/>
      <c r="DM144" s="274"/>
      <c r="DN144" s="274"/>
      <c r="DO144" s="274"/>
      <c r="DP144" s="274"/>
      <c r="DQ144" s="274"/>
      <c r="DR144" s="274"/>
      <c r="DS144" s="274"/>
      <c r="DT144" s="274"/>
      <c r="DU144" s="274"/>
      <c r="DV144" s="274"/>
      <c r="DW144" s="274"/>
      <c r="DX144" s="274"/>
      <c r="DY144" s="274"/>
      <c r="DZ144" s="274"/>
      <c r="EA144" s="274"/>
      <c r="EB144" s="274"/>
      <c r="EC144" s="274"/>
      <c r="ED144" s="274"/>
      <c r="EE144" s="274"/>
      <c r="EF144" s="274"/>
      <c r="EG144" s="274"/>
      <c r="EH144" s="274"/>
      <c r="EI144" s="274"/>
      <c r="EJ144" s="274"/>
      <c r="EK144" s="274"/>
      <c r="EL144" s="274"/>
      <c r="EM144" s="275"/>
      <c r="EN144" s="273"/>
      <c r="EO144" s="274"/>
      <c r="EP144" s="274"/>
      <c r="EQ144" s="274"/>
      <c r="ER144" s="275"/>
      <c r="KP144" s="329"/>
      <c r="KQ144" s="330"/>
      <c r="KR144" s="330"/>
      <c r="KS144" s="330"/>
      <c r="KT144" s="330"/>
      <c r="KU144" s="330"/>
      <c r="KV144" s="330"/>
      <c r="KW144" s="330"/>
      <c r="KX144" s="330"/>
      <c r="KY144" s="330"/>
      <c r="KZ144" s="330"/>
      <c r="LA144" s="330"/>
      <c r="LB144" s="330"/>
      <c r="LC144" s="330"/>
      <c r="LD144" s="330"/>
      <c r="LE144" s="330"/>
      <c r="LF144" s="330"/>
      <c r="LG144" s="330"/>
      <c r="LH144" s="330"/>
      <c r="LI144" s="330"/>
      <c r="LJ144" s="330"/>
      <c r="LK144" s="330"/>
      <c r="LL144" s="330"/>
      <c r="LM144" s="330"/>
      <c r="LN144" s="330"/>
      <c r="LO144" s="330"/>
      <c r="LP144" s="330"/>
      <c r="LQ144" s="330"/>
      <c r="LR144" s="330"/>
      <c r="LS144" s="330"/>
      <c r="LT144" s="330"/>
      <c r="LU144" s="330"/>
      <c r="LV144" s="330"/>
      <c r="LW144" s="330"/>
      <c r="LX144" s="330"/>
      <c r="LY144" s="330"/>
      <c r="LZ144" s="330"/>
      <c r="MA144" s="330"/>
      <c r="MB144" s="330"/>
      <c r="MC144" s="331"/>
      <c r="MD144" s="276"/>
      <c r="ME144" s="277"/>
      <c r="MF144" s="277"/>
      <c r="MG144" s="277"/>
      <c r="MH144" s="278"/>
      <c r="QQ144" s="152"/>
      <c r="QR144" s="153"/>
      <c r="QS144" s="176"/>
      <c r="QT144" s="176"/>
      <c r="QU144" s="176"/>
      <c r="QV144" s="176"/>
      <c r="QW144" s="177"/>
    </row>
    <row r="145" spans="3:465" ht="5.0999999999999996" customHeight="1" x14ac:dyDescent="0.3">
      <c r="C145" s="149"/>
      <c r="D145" s="150"/>
      <c r="G145" s="273"/>
      <c r="H145" s="274"/>
      <c r="I145" s="274"/>
      <c r="J145" s="274"/>
      <c r="K145" s="274"/>
      <c r="L145" s="274"/>
      <c r="M145" s="274"/>
      <c r="N145" s="274"/>
      <c r="O145" s="274"/>
      <c r="P145" s="274"/>
      <c r="Q145" s="274"/>
      <c r="R145" s="274"/>
      <c r="S145" s="274"/>
      <c r="T145" s="274"/>
      <c r="U145" s="274"/>
      <c r="V145" s="274"/>
      <c r="W145" s="274"/>
      <c r="X145" s="274"/>
      <c r="Y145" s="274"/>
      <c r="Z145" s="274"/>
      <c r="AA145" s="274"/>
      <c r="AB145" s="274"/>
      <c r="AC145" s="274"/>
      <c r="AD145" s="274"/>
      <c r="AE145" s="274"/>
      <c r="AF145" s="274"/>
      <c r="AG145" s="274"/>
      <c r="AH145" s="274"/>
      <c r="AI145" s="274"/>
      <c r="AJ145" s="274"/>
      <c r="AK145" s="274"/>
      <c r="AL145" s="274"/>
      <c r="AM145" s="274"/>
      <c r="AN145" s="274"/>
      <c r="AO145" s="274"/>
      <c r="AP145" s="274"/>
      <c r="AQ145" s="274"/>
      <c r="AR145" s="274"/>
      <c r="AS145" s="274"/>
      <c r="AT145" s="274"/>
      <c r="AU145" s="275"/>
      <c r="AV145" s="273"/>
      <c r="AW145" s="274"/>
      <c r="AX145" s="274"/>
      <c r="AY145" s="274"/>
      <c r="AZ145" s="275"/>
      <c r="CY145" s="273"/>
      <c r="CZ145" s="274"/>
      <c r="DA145" s="274"/>
      <c r="DB145" s="274"/>
      <c r="DC145" s="274"/>
      <c r="DD145" s="274"/>
      <c r="DE145" s="274"/>
      <c r="DF145" s="274"/>
      <c r="DG145" s="274"/>
      <c r="DH145" s="274"/>
      <c r="DI145" s="274"/>
      <c r="DJ145" s="274"/>
      <c r="DK145" s="274"/>
      <c r="DL145" s="274"/>
      <c r="DM145" s="274"/>
      <c r="DN145" s="274"/>
      <c r="DO145" s="274"/>
      <c r="DP145" s="274"/>
      <c r="DQ145" s="274"/>
      <c r="DR145" s="274"/>
      <c r="DS145" s="274"/>
      <c r="DT145" s="274"/>
      <c r="DU145" s="274"/>
      <c r="DV145" s="274"/>
      <c r="DW145" s="274"/>
      <c r="DX145" s="274"/>
      <c r="DY145" s="274"/>
      <c r="DZ145" s="274"/>
      <c r="EA145" s="274"/>
      <c r="EB145" s="274"/>
      <c r="EC145" s="274"/>
      <c r="ED145" s="274"/>
      <c r="EE145" s="274"/>
      <c r="EF145" s="274"/>
      <c r="EG145" s="274"/>
      <c r="EH145" s="274"/>
      <c r="EI145" s="274"/>
      <c r="EJ145" s="274"/>
      <c r="EK145" s="274"/>
      <c r="EL145" s="274"/>
      <c r="EM145" s="275"/>
      <c r="EN145" s="273"/>
      <c r="EO145" s="274"/>
      <c r="EP145" s="274"/>
      <c r="EQ145" s="274"/>
      <c r="ER145" s="275"/>
      <c r="QQ145" s="152"/>
      <c r="QR145" s="153"/>
      <c r="QS145" s="176"/>
      <c r="QT145" s="176"/>
      <c r="QU145" s="176"/>
      <c r="QV145" s="176"/>
      <c r="QW145" s="177"/>
    </row>
    <row r="146" spans="3:465" ht="5.0999999999999996" customHeight="1" x14ac:dyDescent="0.3">
      <c r="C146" s="149"/>
      <c r="D146" s="150"/>
      <c r="G146" s="273"/>
      <c r="H146" s="274"/>
      <c r="I146" s="274"/>
      <c r="J146" s="274"/>
      <c r="K146" s="274"/>
      <c r="L146" s="274"/>
      <c r="M146" s="274"/>
      <c r="N146" s="274"/>
      <c r="O146" s="274"/>
      <c r="P146" s="274"/>
      <c r="Q146" s="274"/>
      <c r="R146" s="274"/>
      <c r="S146" s="274"/>
      <c r="T146" s="274"/>
      <c r="U146" s="274"/>
      <c r="V146" s="274"/>
      <c r="W146" s="274"/>
      <c r="X146" s="274"/>
      <c r="Y146" s="274"/>
      <c r="Z146" s="274"/>
      <c r="AA146" s="274"/>
      <c r="AB146" s="274"/>
      <c r="AC146" s="274"/>
      <c r="AD146" s="274"/>
      <c r="AE146" s="274"/>
      <c r="AF146" s="274"/>
      <c r="AG146" s="274"/>
      <c r="AH146" s="274"/>
      <c r="AI146" s="274"/>
      <c r="AJ146" s="274"/>
      <c r="AK146" s="274"/>
      <c r="AL146" s="274"/>
      <c r="AM146" s="274"/>
      <c r="AN146" s="274"/>
      <c r="AO146" s="274"/>
      <c r="AP146" s="274"/>
      <c r="AQ146" s="274"/>
      <c r="AR146" s="274"/>
      <c r="AS146" s="274"/>
      <c r="AT146" s="274"/>
      <c r="AU146" s="275"/>
      <c r="AV146" s="273"/>
      <c r="AW146" s="274"/>
      <c r="AX146" s="274"/>
      <c r="AY146" s="274"/>
      <c r="AZ146" s="275"/>
      <c r="CY146" s="273"/>
      <c r="CZ146" s="274"/>
      <c r="DA146" s="274"/>
      <c r="DB146" s="274"/>
      <c r="DC146" s="274"/>
      <c r="DD146" s="274"/>
      <c r="DE146" s="274"/>
      <c r="DF146" s="274"/>
      <c r="DG146" s="274"/>
      <c r="DH146" s="274"/>
      <c r="DI146" s="274"/>
      <c r="DJ146" s="274"/>
      <c r="DK146" s="274"/>
      <c r="DL146" s="274"/>
      <c r="DM146" s="274"/>
      <c r="DN146" s="274"/>
      <c r="DO146" s="274"/>
      <c r="DP146" s="274"/>
      <c r="DQ146" s="274"/>
      <c r="DR146" s="274"/>
      <c r="DS146" s="274"/>
      <c r="DT146" s="274"/>
      <c r="DU146" s="274"/>
      <c r="DV146" s="274"/>
      <c r="DW146" s="274"/>
      <c r="DX146" s="274"/>
      <c r="DY146" s="274"/>
      <c r="DZ146" s="274"/>
      <c r="EA146" s="274"/>
      <c r="EB146" s="274"/>
      <c r="EC146" s="274"/>
      <c r="ED146" s="274"/>
      <c r="EE146" s="274"/>
      <c r="EF146" s="274"/>
      <c r="EG146" s="274"/>
      <c r="EH146" s="274"/>
      <c r="EI146" s="274"/>
      <c r="EJ146" s="274"/>
      <c r="EK146" s="274"/>
      <c r="EL146" s="274"/>
      <c r="EM146" s="275"/>
      <c r="EN146" s="273"/>
      <c r="EO146" s="274"/>
      <c r="EP146" s="274"/>
      <c r="EQ146" s="274"/>
      <c r="ER146" s="275"/>
      <c r="QQ146" s="152"/>
      <c r="QR146" s="153"/>
      <c r="QS146" s="176"/>
      <c r="QT146" s="176"/>
      <c r="QU146" s="176"/>
      <c r="QV146" s="176"/>
      <c r="QW146" s="177"/>
    </row>
    <row r="147" spans="3:465" ht="5.0999999999999996" customHeight="1" x14ac:dyDescent="0.3">
      <c r="C147" s="149"/>
      <c r="D147" s="150"/>
      <c r="G147" s="273"/>
      <c r="H147" s="274"/>
      <c r="I147" s="274"/>
      <c r="J147" s="274"/>
      <c r="K147" s="274"/>
      <c r="L147" s="274"/>
      <c r="M147" s="274"/>
      <c r="N147" s="274"/>
      <c r="O147" s="274"/>
      <c r="P147" s="274"/>
      <c r="Q147" s="274"/>
      <c r="R147" s="274"/>
      <c r="S147" s="274"/>
      <c r="T147" s="274"/>
      <c r="U147" s="274"/>
      <c r="V147" s="274"/>
      <c r="W147" s="274"/>
      <c r="X147" s="274"/>
      <c r="Y147" s="274"/>
      <c r="Z147" s="274"/>
      <c r="AA147" s="274"/>
      <c r="AB147" s="274"/>
      <c r="AC147" s="274"/>
      <c r="AD147" s="274"/>
      <c r="AE147" s="274"/>
      <c r="AF147" s="274"/>
      <c r="AG147" s="274"/>
      <c r="AH147" s="274"/>
      <c r="AI147" s="274"/>
      <c r="AJ147" s="274"/>
      <c r="AK147" s="274"/>
      <c r="AL147" s="274"/>
      <c r="AM147" s="274"/>
      <c r="AN147" s="274"/>
      <c r="AO147" s="274"/>
      <c r="AP147" s="274"/>
      <c r="AQ147" s="274"/>
      <c r="AR147" s="274"/>
      <c r="AS147" s="274"/>
      <c r="AT147" s="274"/>
      <c r="AU147" s="275"/>
      <c r="AV147" s="273"/>
      <c r="AW147" s="274"/>
      <c r="AX147" s="274"/>
      <c r="AY147" s="274"/>
      <c r="AZ147" s="275"/>
      <c r="CY147" s="273"/>
      <c r="CZ147" s="274"/>
      <c r="DA147" s="274"/>
      <c r="DB147" s="274"/>
      <c r="DC147" s="274"/>
      <c r="DD147" s="274"/>
      <c r="DE147" s="274"/>
      <c r="DF147" s="274"/>
      <c r="DG147" s="274"/>
      <c r="DH147" s="274"/>
      <c r="DI147" s="274"/>
      <c r="DJ147" s="274"/>
      <c r="DK147" s="274"/>
      <c r="DL147" s="274"/>
      <c r="DM147" s="274"/>
      <c r="DN147" s="274"/>
      <c r="DO147" s="274"/>
      <c r="DP147" s="274"/>
      <c r="DQ147" s="274"/>
      <c r="DR147" s="274"/>
      <c r="DS147" s="274"/>
      <c r="DT147" s="274"/>
      <c r="DU147" s="274"/>
      <c r="DV147" s="274"/>
      <c r="DW147" s="274"/>
      <c r="DX147" s="274"/>
      <c r="DY147" s="274"/>
      <c r="DZ147" s="274"/>
      <c r="EA147" s="274"/>
      <c r="EB147" s="274"/>
      <c r="EC147" s="274"/>
      <c r="ED147" s="274"/>
      <c r="EE147" s="274"/>
      <c r="EF147" s="274"/>
      <c r="EG147" s="274"/>
      <c r="EH147" s="274"/>
      <c r="EI147" s="274"/>
      <c r="EJ147" s="274"/>
      <c r="EK147" s="274"/>
      <c r="EL147" s="274"/>
      <c r="EM147" s="275"/>
      <c r="EN147" s="273"/>
      <c r="EO147" s="274"/>
      <c r="EP147" s="274"/>
      <c r="EQ147" s="274"/>
      <c r="ER147" s="275"/>
      <c r="QQ147" s="152"/>
      <c r="QR147" s="153"/>
      <c r="QS147" s="176"/>
      <c r="QT147" s="176"/>
      <c r="QU147" s="176"/>
      <c r="QV147" s="176"/>
      <c r="QW147" s="177"/>
    </row>
    <row r="148" spans="3:465" ht="5.0999999999999996" customHeight="1" x14ac:dyDescent="0.3">
      <c r="C148" s="149"/>
      <c r="D148" s="150"/>
      <c r="G148" s="273"/>
      <c r="H148" s="274"/>
      <c r="I148" s="274"/>
      <c r="J148" s="274"/>
      <c r="K148" s="274"/>
      <c r="L148" s="274"/>
      <c r="M148" s="274"/>
      <c r="N148" s="274"/>
      <c r="O148" s="274"/>
      <c r="P148" s="274"/>
      <c r="Q148" s="274"/>
      <c r="R148" s="274"/>
      <c r="S148" s="274"/>
      <c r="T148" s="274"/>
      <c r="U148" s="274"/>
      <c r="V148" s="274"/>
      <c r="W148" s="274"/>
      <c r="X148" s="274"/>
      <c r="Y148" s="274"/>
      <c r="Z148" s="274"/>
      <c r="AA148" s="274"/>
      <c r="AB148" s="274"/>
      <c r="AC148" s="274"/>
      <c r="AD148" s="274"/>
      <c r="AE148" s="274"/>
      <c r="AF148" s="274"/>
      <c r="AG148" s="274"/>
      <c r="AH148" s="274"/>
      <c r="AI148" s="274"/>
      <c r="AJ148" s="274"/>
      <c r="AK148" s="274"/>
      <c r="AL148" s="274"/>
      <c r="AM148" s="274"/>
      <c r="AN148" s="274"/>
      <c r="AO148" s="274"/>
      <c r="AP148" s="274"/>
      <c r="AQ148" s="274"/>
      <c r="AR148" s="274"/>
      <c r="AS148" s="274"/>
      <c r="AT148" s="274"/>
      <c r="AU148" s="275"/>
      <c r="AV148" s="273"/>
      <c r="AW148" s="274"/>
      <c r="AX148" s="274"/>
      <c r="AY148" s="274"/>
      <c r="AZ148" s="275"/>
      <c r="CY148" s="273"/>
      <c r="CZ148" s="274"/>
      <c r="DA148" s="274"/>
      <c r="DB148" s="274"/>
      <c r="DC148" s="274"/>
      <c r="DD148" s="274"/>
      <c r="DE148" s="274"/>
      <c r="DF148" s="274"/>
      <c r="DG148" s="274"/>
      <c r="DH148" s="274"/>
      <c r="DI148" s="274"/>
      <c r="DJ148" s="274"/>
      <c r="DK148" s="274"/>
      <c r="DL148" s="274"/>
      <c r="DM148" s="274"/>
      <c r="DN148" s="274"/>
      <c r="DO148" s="274"/>
      <c r="DP148" s="274"/>
      <c r="DQ148" s="274"/>
      <c r="DR148" s="274"/>
      <c r="DS148" s="274"/>
      <c r="DT148" s="274"/>
      <c r="DU148" s="274"/>
      <c r="DV148" s="274"/>
      <c r="DW148" s="274"/>
      <c r="DX148" s="274"/>
      <c r="DY148" s="274"/>
      <c r="DZ148" s="274"/>
      <c r="EA148" s="274"/>
      <c r="EB148" s="274"/>
      <c r="EC148" s="274"/>
      <c r="ED148" s="274"/>
      <c r="EE148" s="274"/>
      <c r="EF148" s="274"/>
      <c r="EG148" s="274"/>
      <c r="EH148" s="274"/>
      <c r="EI148" s="274"/>
      <c r="EJ148" s="274"/>
      <c r="EK148" s="274"/>
      <c r="EL148" s="274"/>
      <c r="EM148" s="275"/>
      <c r="EN148" s="273"/>
      <c r="EO148" s="274"/>
      <c r="EP148" s="274"/>
      <c r="EQ148" s="274"/>
      <c r="ER148" s="275"/>
      <c r="QQ148" s="152"/>
      <c r="QR148" s="153"/>
      <c r="QS148" s="176"/>
      <c r="QT148" s="176"/>
      <c r="QU148" s="176"/>
      <c r="QV148" s="176"/>
      <c r="QW148" s="177"/>
    </row>
    <row r="149" spans="3:465" ht="5.0999999999999996" customHeight="1" x14ac:dyDescent="0.3">
      <c r="C149" s="149"/>
      <c r="D149" s="150"/>
      <c r="G149" s="273"/>
      <c r="H149" s="274"/>
      <c r="I149" s="274"/>
      <c r="J149" s="274"/>
      <c r="K149" s="274"/>
      <c r="L149" s="274"/>
      <c r="M149" s="274"/>
      <c r="N149" s="274"/>
      <c r="O149" s="274"/>
      <c r="P149" s="274"/>
      <c r="Q149" s="274"/>
      <c r="R149" s="274"/>
      <c r="S149" s="274"/>
      <c r="T149" s="274"/>
      <c r="U149" s="274"/>
      <c r="V149" s="274"/>
      <c r="W149" s="274"/>
      <c r="X149" s="274"/>
      <c r="Y149" s="274"/>
      <c r="Z149" s="274"/>
      <c r="AA149" s="274"/>
      <c r="AB149" s="274"/>
      <c r="AC149" s="274"/>
      <c r="AD149" s="274"/>
      <c r="AE149" s="274"/>
      <c r="AF149" s="274"/>
      <c r="AG149" s="274"/>
      <c r="AH149" s="274"/>
      <c r="AI149" s="274"/>
      <c r="AJ149" s="274"/>
      <c r="AK149" s="274"/>
      <c r="AL149" s="274"/>
      <c r="AM149" s="274"/>
      <c r="AN149" s="274"/>
      <c r="AO149" s="274"/>
      <c r="AP149" s="274"/>
      <c r="AQ149" s="274"/>
      <c r="AR149" s="274"/>
      <c r="AS149" s="274"/>
      <c r="AT149" s="274"/>
      <c r="AU149" s="275"/>
      <c r="AV149" s="273"/>
      <c r="AW149" s="274"/>
      <c r="AX149" s="274"/>
      <c r="AY149" s="274"/>
      <c r="AZ149" s="275"/>
      <c r="CY149" s="273"/>
      <c r="CZ149" s="274"/>
      <c r="DA149" s="274"/>
      <c r="DB149" s="274"/>
      <c r="DC149" s="274"/>
      <c r="DD149" s="274"/>
      <c r="DE149" s="274"/>
      <c r="DF149" s="274"/>
      <c r="DG149" s="274"/>
      <c r="DH149" s="274"/>
      <c r="DI149" s="274"/>
      <c r="DJ149" s="274"/>
      <c r="DK149" s="274"/>
      <c r="DL149" s="274"/>
      <c r="DM149" s="274"/>
      <c r="DN149" s="274"/>
      <c r="DO149" s="274"/>
      <c r="DP149" s="274"/>
      <c r="DQ149" s="274"/>
      <c r="DR149" s="274"/>
      <c r="DS149" s="274"/>
      <c r="DT149" s="274"/>
      <c r="DU149" s="274"/>
      <c r="DV149" s="274"/>
      <c r="DW149" s="274"/>
      <c r="DX149" s="274"/>
      <c r="DY149" s="274"/>
      <c r="DZ149" s="274"/>
      <c r="EA149" s="274"/>
      <c r="EB149" s="274"/>
      <c r="EC149" s="274"/>
      <c r="ED149" s="274"/>
      <c r="EE149" s="274"/>
      <c r="EF149" s="274"/>
      <c r="EG149" s="274"/>
      <c r="EH149" s="274"/>
      <c r="EI149" s="274"/>
      <c r="EJ149" s="274"/>
      <c r="EK149" s="274"/>
      <c r="EL149" s="274"/>
      <c r="EM149" s="275"/>
      <c r="EN149" s="273"/>
      <c r="EO149" s="274"/>
      <c r="EP149" s="274"/>
      <c r="EQ149" s="274"/>
      <c r="ER149" s="275"/>
      <c r="QQ149" s="152"/>
      <c r="QR149" s="153"/>
      <c r="QS149" s="176"/>
      <c r="QT149" s="176"/>
      <c r="QU149" s="176"/>
      <c r="QV149" s="176"/>
      <c r="QW149" s="177"/>
    </row>
    <row r="150" spans="3:465" ht="5.0999999999999996" customHeight="1" x14ac:dyDescent="0.3">
      <c r="C150" s="149"/>
      <c r="D150" s="150"/>
      <c r="G150" s="276"/>
      <c r="H150" s="277"/>
      <c r="I150" s="277"/>
      <c r="J150" s="277"/>
      <c r="K150" s="277"/>
      <c r="L150" s="277"/>
      <c r="M150" s="277"/>
      <c r="N150" s="277"/>
      <c r="O150" s="277"/>
      <c r="P150" s="277"/>
      <c r="Q150" s="277"/>
      <c r="R150" s="277"/>
      <c r="S150" s="277"/>
      <c r="T150" s="277"/>
      <c r="U150" s="277"/>
      <c r="V150" s="277"/>
      <c r="W150" s="277"/>
      <c r="X150" s="277"/>
      <c r="Y150" s="277"/>
      <c r="Z150" s="277"/>
      <c r="AA150" s="277"/>
      <c r="AB150" s="277"/>
      <c r="AC150" s="277"/>
      <c r="AD150" s="277"/>
      <c r="AE150" s="277"/>
      <c r="AF150" s="277"/>
      <c r="AG150" s="277"/>
      <c r="AH150" s="277"/>
      <c r="AI150" s="277"/>
      <c r="AJ150" s="277"/>
      <c r="AK150" s="277"/>
      <c r="AL150" s="277"/>
      <c r="AM150" s="277"/>
      <c r="AN150" s="277"/>
      <c r="AO150" s="277"/>
      <c r="AP150" s="277"/>
      <c r="AQ150" s="277"/>
      <c r="AR150" s="277"/>
      <c r="AS150" s="277"/>
      <c r="AT150" s="277"/>
      <c r="AU150" s="278"/>
      <c r="AV150" s="276"/>
      <c r="AW150" s="277"/>
      <c r="AX150" s="277"/>
      <c r="AY150" s="277"/>
      <c r="AZ150" s="278"/>
      <c r="CY150" s="276"/>
      <c r="CZ150" s="277"/>
      <c r="DA150" s="277"/>
      <c r="DB150" s="277"/>
      <c r="DC150" s="277"/>
      <c r="DD150" s="277"/>
      <c r="DE150" s="277"/>
      <c r="DF150" s="277"/>
      <c r="DG150" s="277"/>
      <c r="DH150" s="277"/>
      <c r="DI150" s="277"/>
      <c r="DJ150" s="277"/>
      <c r="DK150" s="277"/>
      <c r="DL150" s="277"/>
      <c r="DM150" s="277"/>
      <c r="DN150" s="277"/>
      <c r="DO150" s="277"/>
      <c r="DP150" s="277"/>
      <c r="DQ150" s="277"/>
      <c r="DR150" s="277"/>
      <c r="DS150" s="277"/>
      <c r="DT150" s="277"/>
      <c r="DU150" s="277"/>
      <c r="DV150" s="277"/>
      <c r="DW150" s="277"/>
      <c r="DX150" s="277"/>
      <c r="DY150" s="277"/>
      <c r="DZ150" s="277"/>
      <c r="EA150" s="277"/>
      <c r="EB150" s="277"/>
      <c r="EC150" s="277"/>
      <c r="ED150" s="277"/>
      <c r="EE150" s="277"/>
      <c r="EF150" s="277"/>
      <c r="EG150" s="277"/>
      <c r="EH150" s="277"/>
      <c r="EI150" s="277"/>
      <c r="EJ150" s="277"/>
      <c r="EK150" s="277"/>
      <c r="EL150" s="277"/>
      <c r="EM150" s="278"/>
      <c r="EN150" s="276"/>
      <c r="EO150" s="277"/>
      <c r="EP150" s="277"/>
      <c r="EQ150" s="277"/>
      <c r="ER150" s="278"/>
      <c r="QQ150" s="152"/>
      <c r="QR150" s="153"/>
      <c r="QS150" s="176"/>
      <c r="QT150" s="176"/>
      <c r="QU150" s="176"/>
      <c r="QV150" s="176"/>
      <c r="QW150" s="177"/>
    </row>
    <row r="151" spans="3:465" ht="5.0999999999999996" customHeight="1" x14ac:dyDescent="0.3">
      <c r="C151" s="149"/>
      <c r="D151" s="150"/>
      <c r="G151" s="270" t="s">
        <v>307</v>
      </c>
      <c r="H151" s="271"/>
      <c r="I151" s="271"/>
      <c r="J151" s="271"/>
      <c r="K151" s="271"/>
      <c r="L151" s="271"/>
      <c r="M151" s="271"/>
      <c r="N151" s="271"/>
      <c r="O151" s="271"/>
      <c r="P151" s="271"/>
      <c r="Q151" s="271"/>
      <c r="R151" s="271"/>
      <c r="S151" s="271"/>
      <c r="T151" s="271"/>
      <c r="U151" s="271"/>
      <c r="V151" s="271"/>
      <c r="W151" s="271"/>
      <c r="X151" s="271"/>
      <c r="Y151" s="271"/>
      <c r="Z151" s="271"/>
      <c r="AA151" s="271"/>
      <c r="AB151" s="271"/>
      <c r="AC151" s="271"/>
      <c r="AD151" s="271"/>
      <c r="AE151" s="271"/>
      <c r="AF151" s="271"/>
      <c r="AG151" s="271"/>
      <c r="AH151" s="271"/>
      <c r="AI151" s="271"/>
      <c r="AJ151" s="271"/>
      <c r="AK151" s="271"/>
      <c r="AL151" s="271"/>
      <c r="AM151" s="271"/>
      <c r="AN151" s="271"/>
      <c r="AO151" s="271"/>
      <c r="AP151" s="271"/>
      <c r="AQ151" s="271"/>
      <c r="AR151" s="271"/>
      <c r="AS151" s="271"/>
      <c r="AT151" s="271"/>
      <c r="AU151" s="272"/>
      <c r="AV151" s="270">
        <v>2</v>
      </c>
      <c r="AW151" s="271"/>
      <c r="AX151" s="271"/>
      <c r="AY151" s="271"/>
      <c r="AZ151" s="272"/>
      <c r="QQ151" s="152"/>
      <c r="QR151" s="153"/>
      <c r="QS151" s="176"/>
      <c r="QT151" s="176"/>
      <c r="QU151" s="176"/>
      <c r="QV151" s="176"/>
      <c r="QW151" s="177"/>
    </row>
    <row r="152" spans="3:465" ht="5.0999999999999996" customHeight="1" x14ac:dyDescent="0.3">
      <c r="C152" s="149"/>
      <c r="D152" s="150"/>
      <c r="G152" s="273"/>
      <c r="H152" s="274"/>
      <c r="I152" s="274"/>
      <c r="J152" s="274"/>
      <c r="K152" s="274"/>
      <c r="L152" s="274"/>
      <c r="M152" s="274"/>
      <c r="N152" s="274"/>
      <c r="O152" s="274"/>
      <c r="P152" s="274"/>
      <c r="Q152" s="274"/>
      <c r="R152" s="274"/>
      <c r="S152" s="274"/>
      <c r="T152" s="274"/>
      <c r="U152" s="274"/>
      <c r="V152" s="274"/>
      <c r="W152" s="274"/>
      <c r="X152" s="274"/>
      <c r="Y152" s="274"/>
      <c r="Z152" s="274"/>
      <c r="AA152" s="274"/>
      <c r="AB152" s="274"/>
      <c r="AC152" s="274"/>
      <c r="AD152" s="274"/>
      <c r="AE152" s="274"/>
      <c r="AF152" s="274"/>
      <c r="AG152" s="274"/>
      <c r="AH152" s="274"/>
      <c r="AI152" s="274"/>
      <c r="AJ152" s="274"/>
      <c r="AK152" s="274"/>
      <c r="AL152" s="274"/>
      <c r="AM152" s="274"/>
      <c r="AN152" s="274"/>
      <c r="AO152" s="274"/>
      <c r="AP152" s="274"/>
      <c r="AQ152" s="274"/>
      <c r="AR152" s="274"/>
      <c r="AS152" s="274"/>
      <c r="AT152" s="274"/>
      <c r="AU152" s="275"/>
      <c r="AV152" s="273"/>
      <c r="AW152" s="274"/>
      <c r="AX152" s="274"/>
      <c r="AY152" s="274"/>
      <c r="AZ152" s="275"/>
      <c r="QQ152" s="152"/>
      <c r="QR152" s="153"/>
      <c r="QS152" s="176"/>
      <c r="QT152" s="176"/>
      <c r="QU152" s="176"/>
      <c r="QV152" s="176"/>
      <c r="QW152" s="177"/>
    </row>
    <row r="153" spans="3:465" ht="5.0999999999999996" customHeight="1" x14ac:dyDescent="0.3">
      <c r="C153" s="149"/>
      <c r="D153" s="150"/>
      <c r="G153" s="273"/>
      <c r="H153" s="274"/>
      <c r="I153" s="274"/>
      <c r="J153" s="274"/>
      <c r="K153" s="274"/>
      <c r="L153" s="274"/>
      <c r="M153" s="274"/>
      <c r="N153" s="274"/>
      <c r="O153" s="274"/>
      <c r="P153" s="274"/>
      <c r="Q153" s="274"/>
      <c r="R153" s="274"/>
      <c r="S153" s="274"/>
      <c r="T153" s="274"/>
      <c r="U153" s="274"/>
      <c r="V153" s="274"/>
      <c r="W153" s="274"/>
      <c r="X153" s="274"/>
      <c r="Y153" s="274"/>
      <c r="Z153" s="274"/>
      <c r="AA153" s="274"/>
      <c r="AB153" s="274"/>
      <c r="AC153" s="274"/>
      <c r="AD153" s="274"/>
      <c r="AE153" s="274"/>
      <c r="AF153" s="274"/>
      <c r="AG153" s="274"/>
      <c r="AH153" s="274"/>
      <c r="AI153" s="274"/>
      <c r="AJ153" s="274"/>
      <c r="AK153" s="274"/>
      <c r="AL153" s="274"/>
      <c r="AM153" s="274"/>
      <c r="AN153" s="274"/>
      <c r="AO153" s="274"/>
      <c r="AP153" s="274"/>
      <c r="AQ153" s="274"/>
      <c r="AR153" s="274"/>
      <c r="AS153" s="274"/>
      <c r="AT153" s="274"/>
      <c r="AU153" s="275"/>
      <c r="AV153" s="273"/>
      <c r="AW153" s="274"/>
      <c r="AX153" s="274"/>
      <c r="AY153" s="274"/>
      <c r="AZ153" s="275"/>
      <c r="QQ153" s="152"/>
      <c r="QR153" s="153"/>
      <c r="QS153" s="176"/>
      <c r="QT153" s="176"/>
      <c r="QU153" s="176"/>
      <c r="QV153" s="176"/>
      <c r="QW153" s="177"/>
    </row>
    <row r="154" spans="3:465" ht="5.0999999999999996" customHeight="1" x14ac:dyDescent="0.3">
      <c r="C154" s="149"/>
      <c r="D154" s="150"/>
      <c r="G154" s="273"/>
      <c r="H154" s="274"/>
      <c r="I154" s="274"/>
      <c r="J154" s="274"/>
      <c r="K154" s="274"/>
      <c r="L154" s="274"/>
      <c r="M154" s="274"/>
      <c r="N154" s="274"/>
      <c r="O154" s="274"/>
      <c r="P154" s="274"/>
      <c r="Q154" s="274"/>
      <c r="R154" s="274"/>
      <c r="S154" s="274"/>
      <c r="T154" s="274"/>
      <c r="U154" s="274"/>
      <c r="V154" s="274"/>
      <c r="W154" s="274"/>
      <c r="X154" s="274"/>
      <c r="Y154" s="274"/>
      <c r="Z154" s="274"/>
      <c r="AA154" s="274"/>
      <c r="AB154" s="274"/>
      <c r="AC154" s="274"/>
      <c r="AD154" s="274"/>
      <c r="AE154" s="274"/>
      <c r="AF154" s="274"/>
      <c r="AG154" s="274"/>
      <c r="AH154" s="274"/>
      <c r="AI154" s="274"/>
      <c r="AJ154" s="274"/>
      <c r="AK154" s="274"/>
      <c r="AL154" s="274"/>
      <c r="AM154" s="274"/>
      <c r="AN154" s="274"/>
      <c r="AO154" s="274"/>
      <c r="AP154" s="274"/>
      <c r="AQ154" s="274"/>
      <c r="AR154" s="274"/>
      <c r="AS154" s="274"/>
      <c r="AT154" s="274"/>
      <c r="AU154" s="275"/>
      <c r="AV154" s="273"/>
      <c r="AW154" s="274"/>
      <c r="AX154" s="274"/>
      <c r="AY154" s="274"/>
      <c r="AZ154" s="275"/>
      <c r="QQ154" s="152"/>
      <c r="QR154" s="153"/>
      <c r="QS154" s="176"/>
      <c r="QT154" s="176"/>
      <c r="QU154" s="176"/>
      <c r="QV154" s="176"/>
      <c r="QW154" s="177"/>
    </row>
    <row r="155" spans="3:465" ht="5.0999999999999996" customHeight="1" x14ac:dyDescent="0.3">
      <c r="C155" s="149"/>
      <c r="D155" s="150"/>
      <c r="G155" s="273"/>
      <c r="H155" s="274"/>
      <c r="I155" s="274"/>
      <c r="J155" s="274"/>
      <c r="K155" s="274"/>
      <c r="L155" s="274"/>
      <c r="M155" s="274"/>
      <c r="N155" s="274"/>
      <c r="O155" s="274"/>
      <c r="P155" s="274"/>
      <c r="Q155" s="274"/>
      <c r="R155" s="274"/>
      <c r="S155" s="274"/>
      <c r="T155" s="274"/>
      <c r="U155" s="274"/>
      <c r="V155" s="274"/>
      <c r="W155" s="274"/>
      <c r="X155" s="274"/>
      <c r="Y155" s="274"/>
      <c r="Z155" s="274"/>
      <c r="AA155" s="274"/>
      <c r="AB155" s="274"/>
      <c r="AC155" s="274"/>
      <c r="AD155" s="274"/>
      <c r="AE155" s="274"/>
      <c r="AF155" s="274"/>
      <c r="AG155" s="274"/>
      <c r="AH155" s="274"/>
      <c r="AI155" s="274"/>
      <c r="AJ155" s="274"/>
      <c r="AK155" s="274"/>
      <c r="AL155" s="274"/>
      <c r="AM155" s="274"/>
      <c r="AN155" s="274"/>
      <c r="AO155" s="274"/>
      <c r="AP155" s="274"/>
      <c r="AQ155" s="274"/>
      <c r="AR155" s="274"/>
      <c r="AS155" s="274"/>
      <c r="AT155" s="274"/>
      <c r="AU155" s="275"/>
      <c r="AV155" s="273"/>
      <c r="AW155" s="274"/>
      <c r="AX155" s="274"/>
      <c r="AY155" s="274"/>
      <c r="AZ155" s="275"/>
      <c r="QQ155" s="152"/>
      <c r="QR155" s="153"/>
      <c r="QS155" s="176"/>
      <c r="QT155" s="176"/>
      <c r="QU155" s="176"/>
      <c r="QV155" s="176"/>
      <c r="QW155" s="177"/>
    </row>
    <row r="156" spans="3:465" ht="5.0999999999999996" customHeight="1" x14ac:dyDescent="0.3">
      <c r="C156" s="149"/>
      <c r="D156" s="150"/>
      <c r="G156" s="273"/>
      <c r="H156" s="274"/>
      <c r="I156" s="274"/>
      <c r="J156" s="274"/>
      <c r="K156" s="274"/>
      <c r="L156" s="274"/>
      <c r="M156" s="274"/>
      <c r="N156" s="274"/>
      <c r="O156" s="274"/>
      <c r="P156" s="274"/>
      <c r="Q156" s="274"/>
      <c r="R156" s="274"/>
      <c r="S156" s="274"/>
      <c r="T156" s="274"/>
      <c r="U156" s="274"/>
      <c r="V156" s="274"/>
      <c r="W156" s="274"/>
      <c r="X156" s="274"/>
      <c r="Y156" s="274"/>
      <c r="Z156" s="274"/>
      <c r="AA156" s="274"/>
      <c r="AB156" s="274"/>
      <c r="AC156" s="274"/>
      <c r="AD156" s="274"/>
      <c r="AE156" s="274"/>
      <c r="AF156" s="274"/>
      <c r="AG156" s="274"/>
      <c r="AH156" s="274"/>
      <c r="AI156" s="274"/>
      <c r="AJ156" s="274"/>
      <c r="AK156" s="274"/>
      <c r="AL156" s="274"/>
      <c r="AM156" s="274"/>
      <c r="AN156" s="274"/>
      <c r="AO156" s="274"/>
      <c r="AP156" s="274"/>
      <c r="AQ156" s="274"/>
      <c r="AR156" s="274"/>
      <c r="AS156" s="274"/>
      <c r="AT156" s="274"/>
      <c r="AU156" s="275"/>
      <c r="AV156" s="273"/>
      <c r="AW156" s="274"/>
      <c r="AX156" s="274"/>
      <c r="AY156" s="274"/>
      <c r="AZ156" s="275"/>
      <c r="QQ156" s="152"/>
      <c r="QR156" s="153"/>
      <c r="QS156" s="176"/>
      <c r="QT156" s="176"/>
      <c r="QU156" s="176"/>
      <c r="QV156" s="176"/>
      <c r="QW156" s="177"/>
    </row>
    <row r="157" spans="3:465" ht="5.0999999999999996" customHeight="1" x14ac:dyDescent="0.3">
      <c r="C157" s="149"/>
      <c r="D157" s="150"/>
      <c r="G157" s="273"/>
      <c r="H157" s="274"/>
      <c r="I157" s="274"/>
      <c r="J157" s="274"/>
      <c r="K157" s="274"/>
      <c r="L157" s="274"/>
      <c r="M157" s="274"/>
      <c r="N157" s="274"/>
      <c r="O157" s="274"/>
      <c r="P157" s="274"/>
      <c r="Q157" s="274"/>
      <c r="R157" s="274"/>
      <c r="S157" s="274"/>
      <c r="T157" s="274"/>
      <c r="U157" s="274"/>
      <c r="V157" s="274"/>
      <c r="W157" s="274"/>
      <c r="X157" s="274"/>
      <c r="Y157" s="274"/>
      <c r="Z157" s="274"/>
      <c r="AA157" s="274"/>
      <c r="AB157" s="274"/>
      <c r="AC157" s="274"/>
      <c r="AD157" s="274"/>
      <c r="AE157" s="274"/>
      <c r="AF157" s="274"/>
      <c r="AG157" s="274"/>
      <c r="AH157" s="274"/>
      <c r="AI157" s="274"/>
      <c r="AJ157" s="274"/>
      <c r="AK157" s="274"/>
      <c r="AL157" s="274"/>
      <c r="AM157" s="274"/>
      <c r="AN157" s="274"/>
      <c r="AO157" s="274"/>
      <c r="AP157" s="274"/>
      <c r="AQ157" s="274"/>
      <c r="AR157" s="274"/>
      <c r="AS157" s="274"/>
      <c r="AT157" s="274"/>
      <c r="AU157" s="275"/>
      <c r="AV157" s="273"/>
      <c r="AW157" s="274"/>
      <c r="AX157" s="274"/>
      <c r="AY157" s="274"/>
      <c r="AZ157" s="275"/>
      <c r="QQ157" s="152"/>
      <c r="QR157" s="153"/>
      <c r="QS157" s="176"/>
      <c r="QT157" s="176"/>
      <c r="QU157" s="176"/>
      <c r="QV157" s="176"/>
      <c r="QW157" s="177"/>
    </row>
    <row r="158" spans="3:465" ht="5.0999999999999996" customHeight="1" x14ac:dyDescent="0.3">
      <c r="C158" s="149"/>
      <c r="D158" s="150"/>
      <c r="G158" s="273"/>
      <c r="H158" s="274"/>
      <c r="I158" s="274"/>
      <c r="J158" s="274"/>
      <c r="K158" s="274"/>
      <c r="L158" s="274"/>
      <c r="M158" s="274"/>
      <c r="N158" s="274"/>
      <c r="O158" s="274"/>
      <c r="P158" s="274"/>
      <c r="Q158" s="274"/>
      <c r="R158" s="274"/>
      <c r="S158" s="274"/>
      <c r="T158" s="274"/>
      <c r="U158" s="274"/>
      <c r="V158" s="274"/>
      <c r="W158" s="274"/>
      <c r="X158" s="274"/>
      <c r="Y158" s="274"/>
      <c r="Z158" s="274"/>
      <c r="AA158" s="274"/>
      <c r="AB158" s="274"/>
      <c r="AC158" s="274"/>
      <c r="AD158" s="274"/>
      <c r="AE158" s="274"/>
      <c r="AF158" s="274"/>
      <c r="AG158" s="274"/>
      <c r="AH158" s="274"/>
      <c r="AI158" s="274"/>
      <c r="AJ158" s="274"/>
      <c r="AK158" s="274"/>
      <c r="AL158" s="274"/>
      <c r="AM158" s="274"/>
      <c r="AN158" s="274"/>
      <c r="AO158" s="274"/>
      <c r="AP158" s="274"/>
      <c r="AQ158" s="274"/>
      <c r="AR158" s="274"/>
      <c r="AS158" s="274"/>
      <c r="AT158" s="274"/>
      <c r="AU158" s="275"/>
      <c r="AV158" s="273"/>
      <c r="AW158" s="274"/>
      <c r="AX158" s="274"/>
      <c r="AY158" s="274"/>
      <c r="AZ158" s="275"/>
      <c r="QQ158" s="152"/>
      <c r="QR158" s="153"/>
      <c r="QS158" s="176"/>
      <c r="QT158" s="176"/>
      <c r="QU158" s="176"/>
      <c r="QV158" s="176"/>
      <c r="QW158" s="177"/>
    </row>
    <row r="159" spans="3:465" ht="5.0999999999999996" customHeight="1" x14ac:dyDescent="0.3">
      <c r="C159" s="149"/>
      <c r="D159" s="150"/>
      <c r="G159" s="273"/>
      <c r="H159" s="274"/>
      <c r="I159" s="274"/>
      <c r="J159" s="274"/>
      <c r="K159" s="274"/>
      <c r="L159" s="274"/>
      <c r="M159" s="274"/>
      <c r="N159" s="274"/>
      <c r="O159" s="274"/>
      <c r="P159" s="274"/>
      <c r="Q159" s="274"/>
      <c r="R159" s="274"/>
      <c r="S159" s="274"/>
      <c r="T159" s="274"/>
      <c r="U159" s="274"/>
      <c r="V159" s="274"/>
      <c r="W159" s="274"/>
      <c r="X159" s="274"/>
      <c r="Y159" s="274"/>
      <c r="Z159" s="274"/>
      <c r="AA159" s="274"/>
      <c r="AB159" s="274"/>
      <c r="AC159" s="274"/>
      <c r="AD159" s="274"/>
      <c r="AE159" s="274"/>
      <c r="AF159" s="274"/>
      <c r="AG159" s="274"/>
      <c r="AH159" s="274"/>
      <c r="AI159" s="274"/>
      <c r="AJ159" s="274"/>
      <c r="AK159" s="274"/>
      <c r="AL159" s="274"/>
      <c r="AM159" s="274"/>
      <c r="AN159" s="274"/>
      <c r="AO159" s="274"/>
      <c r="AP159" s="274"/>
      <c r="AQ159" s="274"/>
      <c r="AR159" s="274"/>
      <c r="AS159" s="274"/>
      <c r="AT159" s="274"/>
      <c r="AU159" s="275"/>
      <c r="AV159" s="273"/>
      <c r="AW159" s="274"/>
      <c r="AX159" s="274"/>
      <c r="AY159" s="274"/>
      <c r="AZ159" s="275"/>
      <c r="QQ159" s="152"/>
      <c r="QR159" s="153"/>
      <c r="QS159" s="176"/>
      <c r="QT159" s="176"/>
      <c r="QU159" s="176"/>
      <c r="QV159" s="176"/>
      <c r="QW159" s="177"/>
    </row>
    <row r="160" spans="3:465" ht="5.0999999999999996" customHeight="1" x14ac:dyDescent="0.3">
      <c r="C160" s="149"/>
      <c r="D160" s="150"/>
      <c r="G160" s="276"/>
      <c r="H160" s="277"/>
      <c r="I160" s="277"/>
      <c r="J160" s="277"/>
      <c r="K160" s="277"/>
      <c r="L160" s="277"/>
      <c r="M160" s="277"/>
      <c r="N160" s="277"/>
      <c r="O160" s="277"/>
      <c r="P160" s="277"/>
      <c r="Q160" s="277"/>
      <c r="R160" s="277"/>
      <c r="S160" s="277"/>
      <c r="T160" s="277"/>
      <c r="U160" s="277"/>
      <c r="V160" s="277"/>
      <c r="W160" s="277"/>
      <c r="X160" s="277"/>
      <c r="Y160" s="277"/>
      <c r="Z160" s="277"/>
      <c r="AA160" s="277"/>
      <c r="AB160" s="277"/>
      <c r="AC160" s="277"/>
      <c r="AD160" s="277"/>
      <c r="AE160" s="277"/>
      <c r="AF160" s="277"/>
      <c r="AG160" s="277"/>
      <c r="AH160" s="277"/>
      <c r="AI160" s="277"/>
      <c r="AJ160" s="277"/>
      <c r="AK160" s="277"/>
      <c r="AL160" s="277"/>
      <c r="AM160" s="277"/>
      <c r="AN160" s="277"/>
      <c r="AO160" s="277"/>
      <c r="AP160" s="277"/>
      <c r="AQ160" s="277"/>
      <c r="AR160" s="277"/>
      <c r="AS160" s="277"/>
      <c r="AT160" s="277"/>
      <c r="AU160" s="278"/>
      <c r="AV160" s="276"/>
      <c r="AW160" s="277"/>
      <c r="AX160" s="277"/>
      <c r="AY160" s="277"/>
      <c r="AZ160" s="278"/>
      <c r="QQ160" s="152"/>
      <c r="QR160" s="153"/>
      <c r="QS160" s="176"/>
      <c r="QT160" s="176"/>
      <c r="QU160" s="176"/>
      <c r="QV160" s="176"/>
      <c r="QW160" s="177"/>
    </row>
    <row r="161" spans="3:484" ht="5.0999999999999996" customHeight="1" x14ac:dyDescent="0.3">
      <c r="C161" s="149"/>
      <c r="D161" s="150"/>
      <c r="G161" s="270" t="s">
        <v>308</v>
      </c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271"/>
      <c r="S161" s="271"/>
      <c r="T161" s="271"/>
      <c r="U161" s="271"/>
      <c r="V161" s="271"/>
      <c r="W161" s="271"/>
      <c r="X161" s="271"/>
      <c r="Y161" s="271"/>
      <c r="Z161" s="271"/>
      <c r="AA161" s="271"/>
      <c r="AB161" s="271"/>
      <c r="AC161" s="271"/>
      <c r="AD161" s="271"/>
      <c r="AE161" s="271"/>
      <c r="AF161" s="271"/>
      <c r="AG161" s="271"/>
      <c r="AH161" s="271"/>
      <c r="AI161" s="271"/>
      <c r="AJ161" s="271"/>
      <c r="AK161" s="271"/>
      <c r="AL161" s="271"/>
      <c r="AM161" s="271"/>
      <c r="AN161" s="271"/>
      <c r="AO161" s="271"/>
      <c r="AP161" s="271"/>
      <c r="AQ161" s="271"/>
      <c r="AR161" s="271"/>
      <c r="AS161" s="271"/>
      <c r="AT161" s="271"/>
      <c r="AU161" s="272"/>
      <c r="AV161" s="270">
        <v>3</v>
      </c>
      <c r="AW161" s="271"/>
      <c r="AX161" s="271"/>
      <c r="AY161" s="271"/>
      <c r="AZ161" s="272"/>
      <c r="OQ161" s="135" t="s">
        <v>309</v>
      </c>
      <c r="QE161" s="135" t="e">
        <f>#REF!</f>
        <v>#REF!</v>
      </c>
      <c r="QQ161" s="152"/>
      <c r="QR161" s="153"/>
      <c r="QS161" s="176"/>
      <c r="QT161" s="176"/>
      <c r="QU161" s="176"/>
      <c r="QV161" s="176"/>
      <c r="QW161" s="177"/>
    </row>
    <row r="162" spans="3:484" ht="5.0999999999999996" customHeight="1" x14ac:dyDescent="0.3">
      <c r="C162" s="149"/>
      <c r="D162" s="150"/>
      <c r="G162" s="273"/>
      <c r="H162" s="274"/>
      <c r="I162" s="274"/>
      <c r="J162" s="274"/>
      <c r="K162" s="274"/>
      <c r="L162" s="274"/>
      <c r="M162" s="274"/>
      <c r="N162" s="274"/>
      <c r="O162" s="274"/>
      <c r="P162" s="274"/>
      <c r="Q162" s="274"/>
      <c r="R162" s="274"/>
      <c r="S162" s="274"/>
      <c r="T162" s="274"/>
      <c r="U162" s="274"/>
      <c r="V162" s="274"/>
      <c r="W162" s="274"/>
      <c r="X162" s="274"/>
      <c r="Y162" s="274"/>
      <c r="Z162" s="274"/>
      <c r="AA162" s="274"/>
      <c r="AB162" s="274"/>
      <c r="AC162" s="274"/>
      <c r="AD162" s="274"/>
      <c r="AE162" s="274"/>
      <c r="AF162" s="274"/>
      <c r="AG162" s="274"/>
      <c r="AH162" s="274"/>
      <c r="AI162" s="274"/>
      <c r="AJ162" s="274"/>
      <c r="AK162" s="274"/>
      <c r="AL162" s="274"/>
      <c r="AM162" s="274"/>
      <c r="AN162" s="274"/>
      <c r="AO162" s="274"/>
      <c r="AP162" s="274"/>
      <c r="AQ162" s="274"/>
      <c r="AR162" s="274"/>
      <c r="AS162" s="274"/>
      <c r="AT162" s="274"/>
      <c r="AU162" s="275"/>
      <c r="AV162" s="273"/>
      <c r="AW162" s="274"/>
      <c r="AX162" s="274"/>
      <c r="AY162" s="274"/>
      <c r="AZ162" s="275"/>
      <c r="QQ162" s="152"/>
      <c r="QR162" s="153"/>
      <c r="QS162" s="176"/>
      <c r="QT162" s="176"/>
      <c r="QU162" s="176"/>
      <c r="QV162" s="176"/>
      <c r="QW162" s="177"/>
      <c r="RK162" s="176"/>
      <c r="RL162" s="176"/>
      <c r="RM162" s="176"/>
      <c r="RN162" s="176"/>
      <c r="RO162" s="176"/>
      <c r="RP162" s="177"/>
    </row>
    <row r="163" spans="3:484" ht="5.0999999999999996" customHeight="1" x14ac:dyDescent="0.3">
      <c r="C163" s="149"/>
      <c r="D163" s="150"/>
      <c r="G163" s="273"/>
      <c r="H163" s="274"/>
      <c r="I163" s="274"/>
      <c r="J163" s="274"/>
      <c r="K163" s="274"/>
      <c r="L163" s="274"/>
      <c r="M163" s="274"/>
      <c r="N163" s="274"/>
      <c r="O163" s="274"/>
      <c r="P163" s="274"/>
      <c r="Q163" s="274"/>
      <c r="R163" s="274"/>
      <c r="S163" s="274"/>
      <c r="T163" s="274"/>
      <c r="U163" s="274"/>
      <c r="V163" s="274"/>
      <c r="W163" s="274"/>
      <c r="X163" s="274"/>
      <c r="Y163" s="274"/>
      <c r="Z163" s="274"/>
      <c r="AA163" s="274"/>
      <c r="AB163" s="274"/>
      <c r="AC163" s="274"/>
      <c r="AD163" s="274"/>
      <c r="AE163" s="274"/>
      <c r="AF163" s="274"/>
      <c r="AG163" s="274"/>
      <c r="AH163" s="274"/>
      <c r="AI163" s="274"/>
      <c r="AJ163" s="274"/>
      <c r="AK163" s="274"/>
      <c r="AL163" s="274"/>
      <c r="AM163" s="274"/>
      <c r="AN163" s="274"/>
      <c r="AO163" s="274"/>
      <c r="AP163" s="274"/>
      <c r="AQ163" s="274"/>
      <c r="AR163" s="274"/>
      <c r="AS163" s="274"/>
      <c r="AT163" s="274"/>
      <c r="AU163" s="275"/>
      <c r="AV163" s="273"/>
      <c r="AW163" s="274"/>
      <c r="AX163" s="274"/>
      <c r="AY163" s="274"/>
      <c r="AZ163" s="275"/>
      <c r="QQ163" s="152"/>
      <c r="QR163" s="153"/>
      <c r="QS163" s="176"/>
      <c r="QT163" s="176"/>
      <c r="QU163" s="176"/>
      <c r="QV163" s="176"/>
      <c r="QW163" s="177"/>
      <c r="RK163" s="176"/>
      <c r="RL163" s="176"/>
      <c r="RM163" s="176"/>
      <c r="RN163" s="176"/>
      <c r="RO163" s="176"/>
      <c r="RP163" s="177"/>
    </row>
    <row r="164" spans="3:484" ht="5.0999999999999996" customHeight="1" x14ac:dyDescent="0.3">
      <c r="C164" s="149"/>
      <c r="D164" s="150"/>
      <c r="G164" s="273"/>
      <c r="H164" s="274"/>
      <c r="I164" s="274"/>
      <c r="J164" s="274"/>
      <c r="K164" s="274"/>
      <c r="L164" s="274"/>
      <c r="M164" s="274"/>
      <c r="N164" s="274"/>
      <c r="O164" s="274"/>
      <c r="P164" s="274"/>
      <c r="Q164" s="274"/>
      <c r="R164" s="274"/>
      <c r="S164" s="274"/>
      <c r="T164" s="274"/>
      <c r="U164" s="274"/>
      <c r="V164" s="274"/>
      <c r="W164" s="274"/>
      <c r="X164" s="274"/>
      <c r="Y164" s="274"/>
      <c r="Z164" s="274"/>
      <c r="AA164" s="274"/>
      <c r="AB164" s="274"/>
      <c r="AC164" s="274"/>
      <c r="AD164" s="274"/>
      <c r="AE164" s="274"/>
      <c r="AF164" s="274"/>
      <c r="AG164" s="274"/>
      <c r="AH164" s="274"/>
      <c r="AI164" s="274"/>
      <c r="AJ164" s="274"/>
      <c r="AK164" s="274"/>
      <c r="AL164" s="274"/>
      <c r="AM164" s="274"/>
      <c r="AN164" s="274"/>
      <c r="AO164" s="274"/>
      <c r="AP164" s="274"/>
      <c r="AQ164" s="274"/>
      <c r="AR164" s="274"/>
      <c r="AS164" s="274"/>
      <c r="AT164" s="274"/>
      <c r="AU164" s="275"/>
      <c r="AV164" s="273"/>
      <c r="AW164" s="274"/>
      <c r="AX164" s="274"/>
      <c r="AY164" s="274"/>
      <c r="AZ164" s="275"/>
      <c r="QQ164" s="152"/>
      <c r="QR164" s="153"/>
      <c r="QS164" s="176"/>
      <c r="QT164" s="176"/>
      <c r="QU164" s="176"/>
      <c r="QV164" s="176"/>
      <c r="QW164" s="177"/>
      <c r="RK164" s="176"/>
      <c r="RL164" s="176"/>
      <c r="RM164" s="176"/>
      <c r="RN164" s="176"/>
      <c r="RO164" s="176"/>
      <c r="RP164" s="177"/>
    </row>
    <row r="165" spans="3:484" ht="5.0999999999999996" customHeight="1" x14ac:dyDescent="0.3">
      <c r="C165" s="149"/>
      <c r="D165" s="150"/>
      <c r="G165" s="273"/>
      <c r="H165" s="274"/>
      <c r="I165" s="274"/>
      <c r="J165" s="274"/>
      <c r="K165" s="274"/>
      <c r="L165" s="274"/>
      <c r="M165" s="274"/>
      <c r="N165" s="274"/>
      <c r="O165" s="274"/>
      <c r="P165" s="274"/>
      <c r="Q165" s="274"/>
      <c r="R165" s="274"/>
      <c r="S165" s="274"/>
      <c r="T165" s="274"/>
      <c r="U165" s="274"/>
      <c r="V165" s="274"/>
      <c r="W165" s="274"/>
      <c r="X165" s="274"/>
      <c r="Y165" s="274"/>
      <c r="Z165" s="274"/>
      <c r="AA165" s="274"/>
      <c r="AB165" s="274"/>
      <c r="AC165" s="274"/>
      <c r="AD165" s="274"/>
      <c r="AE165" s="274"/>
      <c r="AF165" s="274"/>
      <c r="AG165" s="274"/>
      <c r="AH165" s="274"/>
      <c r="AI165" s="274"/>
      <c r="AJ165" s="274"/>
      <c r="AK165" s="274"/>
      <c r="AL165" s="274"/>
      <c r="AM165" s="274"/>
      <c r="AN165" s="274"/>
      <c r="AO165" s="274"/>
      <c r="AP165" s="274"/>
      <c r="AQ165" s="274"/>
      <c r="AR165" s="274"/>
      <c r="AS165" s="274"/>
      <c r="AT165" s="274"/>
      <c r="AU165" s="275"/>
      <c r="AV165" s="273"/>
      <c r="AW165" s="274"/>
      <c r="AX165" s="274"/>
      <c r="AY165" s="274"/>
      <c r="AZ165" s="275"/>
      <c r="OS165" s="332" t="s">
        <v>310</v>
      </c>
      <c r="OT165" s="332"/>
      <c r="OU165" s="332"/>
      <c r="OV165" s="332"/>
      <c r="OW165" s="332"/>
      <c r="OX165" s="332"/>
      <c r="OY165" s="332"/>
      <c r="OZ165" s="332"/>
      <c r="PA165" s="332"/>
      <c r="PB165" s="332"/>
      <c r="PC165" s="332"/>
      <c r="PD165" s="332"/>
      <c r="PE165" s="332"/>
      <c r="PF165" s="332"/>
      <c r="PG165" s="332"/>
      <c r="PH165" s="332"/>
      <c r="PI165" s="332"/>
      <c r="PJ165" s="332"/>
      <c r="PK165" s="332"/>
      <c r="PL165" s="332"/>
      <c r="PM165" s="332"/>
      <c r="PN165" s="332"/>
      <c r="PO165" s="332"/>
      <c r="PP165" s="332"/>
      <c r="PQ165" s="332"/>
      <c r="PR165" s="332"/>
      <c r="PS165" s="332"/>
      <c r="PT165" s="332"/>
      <c r="PU165" s="332"/>
      <c r="PV165" s="332"/>
      <c r="PW165" s="332"/>
      <c r="PX165" s="332"/>
      <c r="PY165" s="332"/>
      <c r="PZ165" s="332"/>
      <c r="QA165" s="332"/>
      <c r="QB165" s="332"/>
      <c r="QC165" s="332"/>
      <c r="QD165" s="332"/>
      <c r="QE165" s="332"/>
      <c r="QF165" s="332"/>
      <c r="QG165" s="332">
        <f>QG175</f>
        <v>10</v>
      </c>
      <c r="QH165" s="332"/>
      <c r="QI165" s="332"/>
      <c r="QJ165" s="332"/>
      <c r="QK165" s="332"/>
      <c r="QL165" s="332"/>
      <c r="QQ165" s="152"/>
      <c r="QR165" s="153"/>
      <c r="QS165" s="176"/>
      <c r="QT165" s="176"/>
      <c r="QU165" s="176"/>
      <c r="QV165" s="176"/>
      <c r="QW165" s="177"/>
      <c r="RK165" s="176"/>
      <c r="RL165" s="176"/>
      <c r="RM165" s="176"/>
      <c r="RN165" s="176"/>
      <c r="RO165" s="176"/>
      <c r="RP165" s="177"/>
    </row>
    <row r="166" spans="3:484" ht="5.0999999999999996" customHeight="1" x14ac:dyDescent="0.3">
      <c r="C166" s="149"/>
      <c r="D166" s="150"/>
      <c r="G166" s="273"/>
      <c r="H166" s="274"/>
      <c r="I166" s="274"/>
      <c r="J166" s="274"/>
      <c r="K166" s="274"/>
      <c r="L166" s="274"/>
      <c r="M166" s="274"/>
      <c r="N166" s="274"/>
      <c r="O166" s="274"/>
      <c r="P166" s="274"/>
      <c r="Q166" s="274"/>
      <c r="R166" s="274"/>
      <c r="S166" s="274"/>
      <c r="T166" s="274"/>
      <c r="U166" s="274"/>
      <c r="V166" s="274"/>
      <c r="W166" s="274"/>
      <c r="X166" s="274"/>
      <c r="Y166" s="274"/>
      <c r="Z166" s="274"/>
      <c r="AA166" s="274"/>
      <c r="AB166" s="274"/>
      <c r="AC166" s="274"/>
      <c r="AD166" s="274"/>
      <c r="AE166" s="274"/>
      <c r="AF166" s="274"/>
      <c r="AG166" s="274"/>
      <c r="AH166" s="274"/>
      <c r="AI166" s="274"/>
      <c r="AJ166" s="274"/>
      <c r="AK166" s="274"/>
      <c r="AL166" s="274"/>
      <c r="AM166" s="274"/>
      <c r="AN166" s="274"/>
      <c r="AO166" s="274"/>
      <c r="AP166" s="274"/>
      <c r="AQ166" s="274"/>
      <c r="AR166" s="274"/>
      <c r="AS166" s="274"/>
      <c r="AT166" s="274"/>
      <c r="AU166" s="275"/>
      <c r="AV166" s="273"/>
      <c r="AW166" s="274"/>
      <c r="AX166" s="274"/>
      <c r="AY166" s="274"/>
      <c r="AZ166" s="275"/>
      <c r="OS166" s="332"/>
      <c r="OT166" s="332"/>
      <c r="OU166" s="332"/>
      <c r="OV166" s="332"/>
      <c r="OW166" s="332"/>
      <c r="OX166" s="332"/>
      <c r="OY166" s="332"/>
      <c r="OZ166" s="332"/>
      <c r="PA166" s="332"/>
      <c r="PB166" s="332"/>
      <c r="PC166" s="332"/>
      <c r="PD166" s="332"/>
      <c r="PE166" s="332"/>
      <c r="PF166" s="332"/>
      <c r="PG166" s="332"/>
      <c r="PH166" s="332"/>
      <c r="PI166" s="332"/>
      <c r="PJ166" s="332"/>
      <c r="PK166" s="332"/>
      <c r="PL166" s="332"/>
      <c r="PM166" s="332"/>
      <c r="PN166" s="332"/>
      <c r="PO166" s="332"/>
      <c r="PP166" s="332"/>
      <c r="PQ166" s="332"/>
      <c r="PR166" s="332"/>
      <c r="PS166" s="332"/>
      <c r="PT166" s="332"/>
      <c r="PU166" s="332"/>
      <c r="PV166" s="332"/>
      <c r="PW166" s="332"/>
      <c r="PX166" s="332"/>
      <c r="PY166" s="332"/>
      <c r="PZ166" s="332"/>
      <c r="QA166" s="332"/>
      <c r="QB166" s="332"/>
      <c r="QC166" s="332"/>
      <c r="QD166" s="332"/>
      <c r="QE166" s="332"/>
      <c r="QF166" s="332"/>
      <c r="QG166" s="332"/>
      <c r="QH166" s="332"/>
      <c r="QI166" s="332"/>
      <c r="QJ166" s="332"/>
      <c r="QK166" s="332"/>
      <c r="QL166" s="332"/>
      <c r="QQ166" s="152"/>
      <c r="QR166" s="153"/>
      <c r="QS166" s="176"/>
      <c r="QT166" s="176"/>
      <c r="QU166" s="176"/>
      <c r="QV166" s="176"/>
      <c r="QW166" s="177"/>
      <c r="RK166" s="176"/>
      <c r="RL166" s="176"/>
      <c r="RM166" s="176"/>
      <c r="RN166" s="176"/>
      <c r="RO166" s="176"/>
      <c r="RP166" s="177"/>
    </row>
    <row r="167" spans="3:484" ht="5.0999999999999996" customHeight="1" x14ac:dyDescent="0.3">
      <c r="C167" s="149"/>
      <c r="D167" s="150"/>
      <c r="G167" s="273"/>
      <c r="H167" s="274"/>
      <c r="I167" s="274"/>
      <c r="J167" s="274"/>
      <c r="K167" s="274"/>
      <c r="L167" s="274"/>
      <c r="M167" s="274"/>
      <c r="N167" s="274"/>
      <c r="O167" s="274"/>
      <c r="P167" s="274"/>
      <c r="Q167" s="274"/>
      <c r="R167" s="274"/>
      <c r="S167" s="274"/>
      <c r="T167" s="274"/>
      <c r="U167" s="274"/>
      <c r="V167" s="274"/>
      <c r="W167" s="274"/>
      <c r="X167" s="274"/>
      <c r="Y167" s="274"/>
      <c r="Z167" s="274"/>
      <c r="AA167" s="274"/>
      <c r="AB167" s="274"/>
      <c r="AC167" s="274"/>
      <c r="AD167" s="274"/>
      <c r="AE167" s="274"/>
      <c r="AF167" s="274"/>
      <c r="AG167" s="274"/>
      <c r="AH167" s="274"/>
      <c r="AI167" s="274"/>
      <c r="AJ167" s="274"/>
      <c r="AK167" s="274"/>
      <c r="AL167" s="274"/>
      <c r="AM167" s="274"/>
      <c r="AN167" s="274"/>
      <c r="AO167" s="274"/>
      <c r="AP167" s="274"/>
      <c r="AQ167" s="274"/>
      <c r="AR167" s="274"/>
      <c r="AS167" s="274"/>
      <c r="AT167" s="274"/>
      <c r="AU167" s="275"/>
      <c r="AV167" s="273"/>
      <c r="AW167" s="274"/>
      <c r="AX167" s="274"/>
      <c r="AY167" s="274"/>
      <c r="AZ167" s="275"/>
      <c r="OS167" s="332"/>
      <c r="OT167" s="332"/>
      <c r="OU167" s="332"/>
      <c r="OV167" s="332"/>
      <c r="OW167" s="332"/>
      <c r="OX167" s="332"/>
      <c r="OY167" s="332"/>
      <c r="OZ167" s="332"/>
      <c r="PA167" s="332"/>
      <c r="PB167" s="332"/>
      <c r="PC167" s="332"/>
      <c r="PD167" s="332"/>
      <c r="PE167" s="332"/>
      <c r="PF167" s="332"/>
      <c r="PG167" s="332"/>
      <c r="PH167" s="332"/>
      <c r="PI167" s="332"/>
      <c r="PJ167" s="332"/>
      <c r="PK167" s="332"/>
      <c r="PL167" s="332"/>
      <c r="PM167" s="332"/>
      <c r="PN167" s="332"/>
      <c r="PO167" s="332"/>
      <c r="PP167" s="332"/>
      <c r="PQ167" s="332"/>
      <c r="PR167" s="332"/>
      <c r="PS167" s="332"/>
      <c r="PT167" s="332"/>
      <c r="PU167" s="332"/>
      <c r="PV167" s="332"/>
      <c r="PW167" s="332"/>
      <c r="PX167" s="332"/>
      <c r="PY167" s="332"/>
      <c r="PZ167" s="332"/>
      <c r="QA167" s="332"/>
      <c r="QB167" s="332"/>
      <c r="QC167" s="332"/>
      <c r="QD167" s="332"/>
      <c r="QE167" s="332"/>
      <c r="QF167" s="332"/>
      <c r="QG167" s="332"/>
      <c r="QH167" s="332"/>
      <c r="QI167" s="332"/>
      <c r="QJ167" s="332"/>
      <c r="QK167" s="332"/>
      <c r="QL167" s="332"/>
      <c r="QQ167" s="152"/>
      <c r="QR167" s="153"/>
      <c r="QS167" s="176"/>
      <c r="QT167" s="176"/>
      <c r="QU167" s="176"/>
      <c r="QV167" s="176"/>
      <c r="QW167" s="177"/>
      <c r="RK167" s="176"/>
      <c r="RL167" s="176"/>
      <c r="RM167" s="176"/>
      <c r="RN167" s="176"/>
      <c r="RO167" s="176"/>
      <c r="RP167" s="177"/>
    </row>
    <row r="168" spans="3:484" ht="5.0999999999999996" customHeight="1" x14ac:dyDescent="0.3">
      <c r="C168" s="149"/>
      <c r="D168" s="150"/>
      <c r="G168" s="273"/>
      <c r="H168" s="274"/>
      <c r="I168" s="274"/>
      <c r="J168" s="274"/>
      <c r="K168" s="274"/>
      <c r="L168" s="274"/>
      <c r="M168" s="274"/>
      <c r="N168" s="274"/>
      <c r="O168" s="274"/>
      <c r="P168" s="274"/>
      <c r="Q168" s="274"/>
      <c r="R168" s="274"/>
      <c r="S168" s="274"/>
      <c r="T168" s="274"/>
      <c r="U168" s="274"/>
      <c r="V168" s="274"/>
      <c r="W168" s="274"/>
      <c r="X168" s="274"/>
      <c r="Y168" s="274"/>
      <c r="Z168" s="274"/>
      <c r="AA168" s="274"/>
      <c r="AB168" s="274"/>
      <c r="AC168" s="274"/>
      <c r="AD168" s="274"/>
      <c r="AE168" s="274"/>
      <c r="AF168" s="274"/>
      <c r="AG168" s="274"/>
      <c r="AH168" s="274"/>
      <c r="AI168" s="274"/>
      <c r="AJ168" s="274"/>
      <c r="AK168" s="274"/>
      <c r="AL168" s="274"/>
      <c r="AM168" s="274"/>
      <c r="AN168" s="274"/>
      <c r="AO168" s="274"/>
      <c r="AP168" s="274"/>
      <c r="AQ168" s="274"/>
      <c r="AR168" s="274"/>
      <c r="AS168" s="274"/>
      <c r="AT168" s="274"/>
      <c r="AU168" s="275"/>
      <c r="AV168" s="273"/>
      <c r="AW168" s="274"/>
      <c r="AX168" s="274"/>
      <c r="AY168" s="274"/>
      <c r="AZ168" s="275"/>
      <c r="OS168" s="332"/>
      <c r="OT168" s="332"/>
      <c r="OU168" s="332"/>
      <c r="OV168" s="332"/>
      <c r="OW168" s="332"/>
      <c r="OX168" s="332"/>
      <c r="OY168" s="332"/>
      <c r="OZ168" s="332"/>
      <c r="PA168" s="332"/>
      <c r="PB168" s="332"/>
      <c r="PC168" s="332"/>
      <c r="PD168" s="332"/>
      <c r="PE168" s="332"/>
      <c r="PF168" s="332"/>
      <c r="PG168" s="332"/>
      <c r="PH168" s="332"/>
      <c r="PI168" s="332"/>
      <c r="PJ168" s="332"/>
      <c r="PK168" s="332"/>
      <c r="PL168" s="332"/>
      <c r="PM168" s="332"/>
      <c r="PN168" s="332"/>
      <c r="PO168" s="332"/>
      <c r="PP168" s="332"/>
      <c r="PQ168" s="332"/>
      <c r="PR168" s="332"/>
      <c r="PS168" s="332"/>
      <c r="PT168" s="332"/>
      <c r="PU168" s="332"/>
      <c r="PV168" s="332"/>
      <c r="PW168" s="332"/>
      <c r="PX168" s="332"/>
      <c r="PY168" s="332"/>
      <c r="PZ168" s="332"/>
      <c r="QA168" s="332"/>
      <c r="QB168" s="332"/>
      <c r="QC168" s="332"/>
      <c r="QD168" s="332"/>
      <c r="QE168" s="332"/>
      <c r="QF168" s="332"/>
      <c r="QG168" s="332"/>
      <c r="QH168" s="332"/>
      <c r="QI168" s="332"/>
      <c r="QJ168" s="332"/>
      <c r="QK168" s="332"/>
      <c r="QL168" s="332"/>
      <c r="QQ168" s="152"/>
      <c r="QR168" s="153"/>
      <c r="QS168" s="176"/>
      <c r="QT168" s="176"/>
      <c r="QU168" s="176"/>
      <c r="QV168" s="176"/>
      <c r="QW168" s="177"/>
      <c r="RK168" s="176"/>
      <c r="RL168" s="176"/>
      <c r="RM168" s="176"/>
      <c r="RN168" s="176"/>
      <c r="RO168" s="176"/>
      <c r="RP168" s="177"/>
    </row>
    <row r="169" spans="3:484" ht="5.0999999999999996" customHeight="1" x14ac:dyDescent="0.3">
      <c r="C169" s="149"/>
      <c r="D169" s="150"/>
      <c r="G169" s="273"/>
      <c r="H169" s="274"/>
      <c r="I169" s="274"/>
      <c r="J169" s="274"/>
      <c r="K169" s="274"/>
      <c r="L169" s="274"/>
      <c r="M169" s="274"/>
      <c r="N169" s="274"/>
      <c r="O169" s="274"/>
      <c r="P169" s="274"/>
      <c r="Q169" s="274"/>
      <c r="R169" s="274"/>
      <c r="S169" s="274"/>
      <c r="T169" s="274"/>
      <c r="U169" s="274"/>
      <c r="V169" s="274"/>
      <c r="W169" s="274"/>
      <c r="X169" s="274"/>
      <c r="Y169" s="274"/>
      <c r="Z169" s="274"/>
      <c r="AA169" s="274"/>
      <c r="AB169" s="274"/>
      <c r="AC169" s="274"/>
      <c r="AD169" s="274"/>
      <c r="AE169" s="274"/>
      <c r="AF169" s="274"/>
      <c r="AG169" s="274"/>
      <c r="AH169" s="274"/>
      <c r="AI169" s="274"/>
      <c r="AJ169" s="274"/>
      <c r="AK169" s="274"/>
      <c r="AL169" s="274"/>
      <c r="AM169" s="274"/>
      <c r="AN169" s="274"/>
      <c r="AO169" s="274"/>
      <c r="AP169" s="274"/>
      <c r="AQ169" s="274"/>
      <c r="AR169" s="274"/>
      <c r="AS169" s="274"/>
      <c r="AT169" s="274"/>
      <c r="AU169" s="275"/>
      <c r="AV169" s="273"/>
      <c r="AW169" s="274"/>
      <c r="AX169" s="274"/>
      <c r="AY169" s="274"/>
      <c r="AZ169" s="275"/>
      <c r="OS169" s="332"/>
      <c r="OT169" s="332"/>
      <c r="OU169" s="332"/>
      <c r="OV169" s="332"/>
      <c r="OW169" s="332"/>
      <c r="OX169" s="332"/>
      <c r="OY169" s="332"/>
      <c r="OZ169" s="332"/>
      <c r="PA169" s="332"/>
      <c r="PB169" s="332"/>
      <c r="PC169" s="332"/>
      <c r="PD169" s="332"/>
      <c r="PE169" s="332"/>
      <c r="PF169" s="332"/>
      <c r="PG169" s="332"/>
      <c r="PH169" s="332"/>
      <c r="PI169" s="332"/>
      <c r="PJ169" s="332"/>
      <c r="PK169" s="332"/>
      <c r="PL169" s="332"/>
      <c r="PM169" s="332"/>
      <c r="PN169" s="332"/>
      <c r="PO169" s="332"/>
      <c r="PP169" s="332"/>
      <c r="PQ169" s="332"/>
      <c r="PR169" s="332"/>
      <c r="PS169" s="332"/>
      <c r="PT169" s="332"/>
      <c r="PU169" s="332"/>
      <c r="PV169" s="332"/>
      <c r="PW169" s="332"/>
      <c r="PX169" s="332"/>
      <c r="PY169" s="332"/>
      <c r="PZ169" s="332"/>
      <c r="QA169" s="332"/>
      <c r="QB169" s="332"/>
      <c r="QC169" s="332"/>
      <c r="QD169" s="332"/>
      <c r="QE169" s="332"/>
      <c r="QF169" s="332"/>
      <c r="QG169" s="332"/>
      <c r="QH169" s="332"/>
      <c r="QI169" s="332"/>
      <c r="QJ169" s="332"/>
      <c r="QK169" s="332"/>
      <c r="QL169" s="332"/>
      <c r="QQ169" s="152"/>
      <c r="QR169" s="153"/>
      <c r="QS169" s="176"/>
      <c r="QT169" s="176"/>
      <c r="QU169" s="176"/>
      <c r="QV169" s="176"/>
      <c r="QW169" s="177"/>
      <c r="RK169" s="176"/>
      <c r="RL169" s="176"/>
      <c r="RM169" s="176"/>
      <c r="RN169" s="176"/>
      <c r="RO169" s="176"/>
      <c r="RP169" s="177"/>
    </row>
    <row r="170" spans="3:484" ht="5.0999999999999996" customHeight="1" x14ac:dyDescent="0.3">
      <c r="C170" s="149"/>
      <c r="D170" s="150"/>
      <c r="G170" s="276"/>
      <c r="H170" s="277"/>
      <c r="I170" s="277"/>
      <c r="J170" s="277"/>
      <c r="K170" s="277"/>
      <c r="L170" s="277"/>
      <c r="M170" s="277"/>
      <c r="N170" s="277"/>
      <c r="O170" s="277"/>
      <c r="P170" s="277"/>
      <c r="Q170" s="277"/>
      <c r="R170" s="277"/>
      <c r="S170" s="277"/>
      <c r="T170" s="277"/>
      <c r="U170" s="277"/>
      <c r="V170" s="277"/>
      <c r="W170" s="277"/>
      <c r="X170" s="277"/>
      <c r="Y170" s="277"/>
      <c r="Z170" s="277"/>
      <c r="AA170" s="277"/>
      <c r="AB170" s="277"/>
      <c r="AC170" s="277"/>
      <c r="AD170" s="277"/>
      <c r="AE170" s="277"/>
      <c r="AF170" s="277"/>
      <c r="AG170" s="277"/>
      <c r="AH170" s="277"/>
      <c r="AI170" s="277"/>
      <c r="AJ170" s="277"/>
      <c r="AK170" s="277"/>
      <c r="AL170" s="277"/>
      <c r="AM170" s="277"/>
      <c r="AN170" s="277"/>
      <c r="AO170" s="277"/>
      <c r="AP170" s="277"/>
      <c r="AQ170" s="277"/>
      <c r="AR170" s="277"/>
      <c r="AS170" s="277"/>
      <c r="AT170" s="277"/>
      <c r="AU170" s="278"/>
      <c r="AV170" s="276"/>
      <c r="AW170" s="277"/>
      <c r="AX170" s="277"/>
      <c r="AY170" s="277"/>
      <c r="AZ170" s="278"/>
      <c r="OS170" s="332"/>
      <c r="OT170" s="332"/>
      <c r="OU170" s="332"/>
      <c r="OV170" s="332"/>
      <c r="OW170" s="332"/>
      <c r="OX170" s="332"/>
      <c r="OY170" s="332"/>
      <c r="OZ170" s="332"/>
      <c r="PA170" s="332"/>
      <c r="PB170" s="332"/>
      <c r="PC170" s="332"/>
      <c r="PD170" s="332"/>
      <c r="PE170" s="332"/>
      <c r="PF170" s="332"/>
      <c r="PG170" s="332"/>
      <c r="PH170" s="332"/>
      <c r="PI170" s="332"/>
      <c r="PJ170" s="332"/>
      <c r="PK170" s="332"/>
      <c r="PL170" s="332"/>
      <c r="PM170" s="332"/>
      <c r="PN170" s="332"/>
      <c r="PO170" s="332"/>
      <c r="PP170" s="332"/>
      <c r="PQ170" s="332"/>
      <c r="PR170" s="332"/>
      <c r="PS170" s="332"/>
      <c r="PT170" s="332"/>
      <c r="PU170" s="332"/>
      <c r="PV170" s="332"/>
      <c r="PW170" s="332"/>
      <c r="PX170" s="332"/>
      <c r="PY170" s="332"/>
      <c r="PZ170" s="332"/>
      <c r="QA170" s="332"/>
      <c r="QB170" s="332"/>
      <c r="QC170" s="332"/>
      <c r="QD170" s="332"/>
      <c r="QE170" s="332"/>
      <c r="QF170" s="332"/>
      <c r="QG170" s="332"/>
      <c r="QH170" s="332"/>
      <c r="QI170" s="332"/>
      <c r="QJ170" s="332"/>
      <c r="QK170" s="332"/>
      <c r="QL170" s="332"/>
      <c r="QQ170" s="152"/>
      <c r="QR170" s="153"/>
      <c r="QS170" s="176"/>
      <c r="QT170" s="176"/>
      <c r="QU170" s="176"/>
      <c r="QV170" s="176"/>
      <c r="QW170" s="177"/>
      <c r="RK170" s="176"/>
      <c r="RL170" s="176"/>
      <c r="RM170" s="176"/>
      <c r="RN170" s="176"/>
      <c r="RO170" s="176"/>
      <c r="RP170" s="177"/>
    </row>
    <row r="171" spans="3:484" ht="5.0999999999999996" customHeight="1" x14ac:dyDescent="0.3">
      <c r="C171" s="149"/>
      <c r="D171" s="150"/>
      <c r="OQ171" s="135" t="s">
        <v>298</v>
      </c>
      <c r="OS171" s="332"/>
      <c r="OT171" s="332"/>
      <c r="OU171" s="332"/>
      <c r="OV171" s="332"/>
      <c r="OW171" s="332"/>
      <c r="OX171" s="332"/>
      <c r="OY171" s="332"/>
      <c r="OZ171" s="332"/>
      <c r="PA171" s="332"/>
      <c r="PB171" s="332"/>
      <c r="PC171" s="332"/>
      <c r="PD171" s="332"/>
      <c r="PE171" s="332"/>
      <c r="PF171" s="332"/>
      <c r="PG171" s="332"/>
      <c r="PH171" s="332"/>
      <c r="PI171" s="332"/>
      <c r="PJ171" s="332"/>
      <c r="PK171" s="332"/>
      <c r="PL171" s="332"/>
      <c r="PM171" s="332"/>
      <c r="PN171" s="332"/>
      <c r="PO171" s="332"/>
      <c r="PP171" s="332"/>
      <c r="PQ171" s="332"/>
      <c r="PR171" s="332"/>
      <c r="PS171" s="332"/>
      <c r="PT171" s="332"/>
      <c r="PU171" s="332"/>
      <c r="PV171" s="332"/>
      <c r="PW171" s="332"/>
      <c r="PX171" s="332"/>
      <c r="PY171" s="332"/>
      <c r="PZ171" s="332"/>
      <c r="QA171" s="332"/>
      <c r="QB171" s="332"/>
      <c r="QC171" s="332"/>
      <c r="QD171" s="332"/>
      <c r="QE171" s="332"/>
      <c r="QF171" s="332"/>
      <c r="QG171" s="332"/>
      <c r="QH171" s="332"/>
      <c r="QI171" s="332"/>
      <c r="QJ171" s="332"/>
      <c r="QK171" s="332"/>
      <c r="QL171" s="332"/>
      <c r="QQ171" s="152"/>
      <c r="QR171" s="153"/>
      <c r="QS171" s="176"/>
      <c r="QT171" s="176"/>
      <c r="QU171" s="176"/>
      <c r="QV171" s="176"/>
      <c r="QW171" s="177"/>
      <c r="RK171" s="176"/>
      <c r="RL171" s="176"/>
      <c r="RM171" s="176"/>
      <c r="RN171" s="176"/>
      <c r="RO171" s="176"/>
      <c r="RP171" s="177"/>
    </row>
    <row r="172" spans="3:484" ht="5.0999999999999996" customHeight="1" x14ac:dyDescent="0.3">
      <c r="C172" s="149"/>
      <c r="D172" s="150"/>
      <c r="OS172" s="332"/>
      <c r="OT172" s="332"/>
      <c r="OU172" s="332"/>
      <c r="OV172" s="332"/>
      <c r="OW172" s="332"/>
      <c r="OX172" s="332"/>
      <c r="OY172" s="332"/>
      <c r="OZ172" s="332"/>
      <c r="PA172" s="332"/>
      <c r="PB172" s="332"/>
      <c r="PC172" s="332"/>
      <c r="PD172" s="332"/>
      <c r="PE172" s="332"/>
      <c r="PF172" s="332"/>
      <c r="PG172" s="332"/>
      <c r="PH172" s="332"/>
      <c r="PI172" s="332"/>
      <c r="PJ172" s="332"/>
      <c r="PK172" s="332"/>
      <c r="PL172" s="332"/>
      <c r="PM172" s="332"/>
      <c r="PN172" s="332"/>
      <c r="PO172" s="332"/>
      <c r="PP172" s="332"/>
      <c r="PQ172" s="332"/>
      <c r="PR172" s="332"/>
      <c r="PS172" s="332"/>
      <c r="PT172" s="332"/>
      <c r="PU172" s="332"/>
      <c r="PV172" s="332"/>
      <c r="PW172" s="332"/>
      <c r="PX172" s="332"/>
      <c r="PY172" s="332"/>
      <c r="PZ172" s="332"/>
      <c r="QA172" s="332"/>
      <c r="QB172" s="332"/>
      <c r="QC172" s="332"/>
      <c r="QD172" s="332"/>
      <c r="QE172" s="332"/>
      <c r="QF172" s="332"/>
      <c r="QG172" s="332"/>
      <c r="QH172" s="332"/>
      <c r="QI172" s="332"/>
      <c r="QJ172" s="332"/>
      <c r="QK172" s="332"/>
      <c r="QL172" s="332"/>
      <c r="QQ172" s="152"/>
      <c r="QR172" s="153"/>
      <c r="QS172" s="176"/>
      <c r="QT172" s="176"/>
      <c r="QU172" s="176"/>
      <c r="QV172" s="176"/>
      <c r="QW172" s="177"/>
      <c r="RK172" s="176"/>
      <c r="RL172" s="176"/>
      <c r="RM172" s="176"/>
      <c r="RN172" s="176"/>
      <c r="RO172" s="176"/>
      <c r="RP172" s="177"/>
    </row>
    <row r="173" spans="3:484" ht="5.0999999999999996" customHeight="1" x14ac:dyDescent="0.3">
      <c r="C173" s="149"/>
      <c r="D173" s="150"/>
      <c r="OS173" s="332"/>
      <c r="OT173" s="332"/>
      <c r="OU173" s="332"/>
      <c r="OV173" s="332"/>
      <c r="OW173" s="332"/>
      <c r="OX173" s="332"/>
      <c r="OY173" s="332"/>
      <c r="OZ173" s="332"/>
      <c r="PA173" s="332"/>
      <c r="PB173" s="332"/>
      <c r="PC173" s="332"/>
      <c r="PD173" s="332"/>
      <c r="PE173" s="332"/>
      <c r="PF173" s="332"/>
      <c r="PG173" s="332"/>
      <c r="PH173" s="332"/>
      <c r="PI173" s="332"/>
      <c r="PJ173" s="332"/>
      <c r="PK173" s="332"/>
      <c r="PL173" s="332"/>
      <c r="PM173" s="332"/>
      <c r="PN173" s="332"/>
      <c r="PO173" s="332"/>
      <c r="PP173" s="332"/>
      <c r="PQ173" s="332"/>
      <c r="PR173" s="332"/>
      <c r="PS173" s="332"/>
      <c r="PT173" s="332"/>
      <c r="PU173" s="332"/>
      <c r="PV173" s="332"/>
      <c r="PW173" s="332"/>
      <c r="PX173" s="332"/>
      <c r="PY173" s="332"/>
      <c r="PZ173" s="332"/>
      <c r="QA173" s="332"/>
      <c r="QB173" s="332"/>
      <c r="QC173" s="332"/>
      <c r="QD173" s="332"/>
      <c r="QE173" s="332"/>
      <c r="QF173" s="332"/>
      <c r="QG173" s="332"/>
      <c r="QH173" s="332"/>
      <c r="QI173" s="332"/>
      <c r="QJ173" s="332"/>
      <c r="QK173" s="332"/>
      <c r="QL173" s="332"/>
      <c r="QQ173" s="152"/>
      <c r="QR173" s="153"/>
      <c r="QS173" s="176"/>
      <c r="QT173" s="176"/>
      <c r="QU173" s="176"/>
      <c r="QV173" s="176"/>
      <c r="QW173" s="177"/>
      <c r="RK173" s="176"/>
      <c r="RL173" s="176"/>
      <c r="RM173" s="176"/>
      <c r="RN173" s="176"/>
      <c r="RO173" s="176"/>
      <c r="RP173" s="177"/>
    </row>
    <row r="174" spans="3:484" ht="5.0999999999999996" customHeight="1" thickBot="1" x14ac:dyDescent="0.35">
      <c r="C174" s="149"/>
      <c r="D174" s="150"/>
      <c r="OS174" s="332"/>
      <c r="OT174" s="332"/>
      <c r="OU174" s="332"/>
      <c r="OV174" s="332"/>
      <c r="OW174" s="332"/>
      <c r="OX174" s="332"/>
      <c r="OY174" s="332"/>
      <c r="OZ174" s="332"/>
      <c r="PA174" s="332"/>
      <c r="PB174" s="332"/>
      <c r="PC174" s="332"/>
      <c r="PD174" s="332"/>
      <c r="PE174" s="332"/>
      <c r="PF174" s="332"/>
      <c r="PG174" s="332"/>
      <c r="PH174" s="332"/>
      <c r="PI174" s="332"/>
      <c r="PJ174" s="332"/>
      <c r="PK174" s="332"/>
      <c r="PL174" s="332"/>
      <c r="PM174" s="332"/>
      <c r="PN174" s="332"/>
      <c r="PO174" s="332"/>
      <c r="PP174" s="332"/>
      <c r="PQ174" s="332"/>
      <c r="PR174" s="332"/>
      <c r="PS174" s="332"/>
      <c r="PT174" s="332"/>
      <c r="PU174" s="332"/>
      <c r="PV174" s="332"/>
      <c r="PW174" s="332"/>
      <c r="PX174" s="332"/>
      <c r="PY174" s="332"/>
      <c r="PZ174" s="332"/>
      <c r="QA174" s="332"/>
      <c r="QB174" s="332"/>
      <c r="QC174" s="332"/>
      <c r="QD174" s="332"/>
      <c r="QE174" s="332"/>
      <c r="QF174" s="332"/>
      <c r="QG174" s="332"/>
      <c r="QH174" s="332"/>
      <c r="QI174" s="332"/>
      <c r="QJ174" s="332"/>
      <c r="QK174" s="332"/>
      <c r="QL174" s="332"/>
      <c r="QQ174" s="152"/>
      <c r="QR174" s="153"/>
      <c r="QS174" s="176"/>
      <c r="QT174" s="176"/>
      <c r="QU174" s="176"/>
      <c r="QV174" s="176"/>
      <c r="QW174" s="177"/>
      <c r="RK174" s="176"/>
      <c r="RL174" s="176"/>
      <c r="RM174" s="176"/>
      <c r="RN174" s="176"/>
      <c r="RO174" s="176"/>
      <c r="RP174" s="177"/>
    </row>
    <row r="175" spans="3:484" ht="5.0999999999999996" customHeight="1" x14ac:dyDescent="0.3">
      <c r="C175" s="149"/>
      <c r="D175" s="150"/>
      <c r="OS175" s="269" t="s">
        <v>311</v>
      </c>
      <c r="OT175" s="269"/>
      <c r="OU175" s="269"/>
      <c r="OV175" s="269"/>
      <c r="OW175" s="269"/>
      <c r="OX175" s="269"/>
      <c r="OY175" s="269"/>
      <c r="OZ175" s="269"/>
      <c r="PA175" s="269"/>
      <c r="PB175" s="269"/>
      <c r="PC175" s="269"/>
      <c r="PD175" s="269"/>
      <c r="PE175" s="269"/>
      <c r="PF175" s="269"/>
      <c r="PG175" s="269"/>
      <c r="PH175" s="269"/>
      <c r="PI175" s="269"/>
      <c r="PJ175" s="269"/>
      <c r="PK175" s="269"/>
      <c r="PL175" s="269"/>
      <c r="PM175" s="269"/>
      <c r="PN175" s="269"/>
      <c r="PO175" s="269"/>
      <c r="PP175" s="269"/>
      <c r="PQ175" s="269"/>
      <c r="PR175" s="269"/>
      <c r="PS175" s="269"/>
      <c r="PT175" s="269"/>
      <c r="PU175" s="269"/>
      <c r="PV175" s="269"/>
      <c r="PW175" s="269"/>
      <c r="PX175" s="269"/>
      <c r="PY175" s="269"/>
      <c r="PZ175" s="269"/>
      <c r="QA175" s="269"/>
      <c r="QB175" s="269"/>
      <c r="QC175" s="269"/>
      <c r="QD175" s="269"/>
      <c r="QE175" s="269"/>
      <c r="QF175" s="269"/>
      <c r="QG175" s="269">
        <v>10</v>
      </c>
      <c r="QH175" s="269"/>
      <c r="QI175" s="269"/>
      <c r="QJ175" s="269"/>
      <c r="QK175" s="269"/>
      <c r="QL175" s="269"/>
      <c r="QM175" s="186"/>
      <c r="QQ175" s="152"/>
      <c r="QR175" s="153"/>
      <c r="QS175" s="176"/>
      <c r="QT175" s="176"/>
      <c r="QU175" s="176"/>
      <c r="QV175" s="176"/>
      <c r="QW175" s="177"/>
      <c r="RK175" s="176"/>
      <c r="RL175" s="176"/>
      <c r="RM175" s="176"/>
      <c r="RN175" s="176"/>
      <c r="RO175" s="176"/>
      <c r="RP175" s="177"/>
    </row>
    <row r="176" spans="3:484" ht="5.0999999999999996" customHeight="1" x14ac:dyDescent="0.3">
      <c r="C176" s="149"/>
      <c r="D176" s="150"/>
      <c r="OS176" s="269"/>
      <c r="OT176" s="269"/>
      <c r="OU176" s="269"/>
      <c r="OV176" s="269"/>
      <c r="OW176" s="269"/>
      <c r="OX176" s="269"/>
      <c r="OY176" s="269"/>
      <c r="OZ176" s="269"/>
      <c r="PA176" s="269"/>
      <c r="PB176" s="269"/>
      <c r="PC176" s="269"/>
      <c r="PD176" s="269"/>
      <c r="PE176" s="269"/>
      <c r="PF176" s="269"/>
      <c r="PG176" s="269"/>
      <c r="PH176" s="269"/>
      <c r="PI176" s="269"/>
      <c r="PJ176" s="269"/>
      <c r="PK176" s="269"/>
      <c r="PL176" s="269"/>
      <c r="PM176" s="269"/>
      <c r="PN176" s="269"/>
      <c r="PO176" s="269"/>
      <c r="PP176" s="269"/>
      <c r="PQ176" s="269"/>
      <c r="PR176" s="269"/>
      <c r="PS176" s="269"/>
      <c r="PT176" s="269"/>
      <c r="PU176" s="269"/>
      <c r="PV176" s="269"/>
      <c r="PW176" s="269"/>
      <c r="PX176" s="269"/>
      <c r="PY176" s="269"/>
      <c r="PZ176" s="269"/>
      <c r="QA176" s="269"/>
      <c r="QB176" s="269"/>
      <c r="QC176" s="269"/>
      <c r="QD176" s="269"/>
      <c r="QE176" s="269"/>
      <c r="QF176" s="269"/>
      <c r="QG176" s="269"/>
      <c r="QH176" s="269"/>
      <c r="QI176" s="269"/>
      <c r="QJ176" s="269"/>
      <c r="QK176" s="269"/>
      <c r="QL176" s="269"/>
      <c r="QM176" s="187"/>
      <c r="QQ176" s="152"/>
      <c r="QR176" s="153"/>
      <c r="QS176" s="176"/>
      <c r="QT176" s="176"/>
      <c r="QU176" s="176"/>
      <c r="QV176" s="176"/>
      <c r="QW176" s="177"/>
      <c r="RK176" s="176"/>
      <c r="RL176" s="176"/>
      <c r="RM176" s="176"/>
      <c r="RN176" s="176"/>
      <c r="RO176" s="176"/>
      <c r="RP176" s="177"/>
    </row>
    <row r="177" spans="3:484" ht="5.0999999999999996" customHeight="1" x14ac:dyDescent="0.3">
      <c r="C177" s="149"/>
      <c r="D177" s="150"/>
      <c r="OS177" s="269"/>
      <c r="OT177" s="269"/>
      <c r="OU177" s="269"/>
      <c r="OV177" s="269"/>
      <c r="OW177" s="269"/>
      <c r="OX177" s="269"/>
      <c r="OY177" s="269"/>
      <c r="OZ177" s="269"/>
      <c r="PA177" s="269"/>
      <c r="PB177" s="269"/>
      <c r="PC177" s="269"/>
      <c r="PD177" s="269"/>
      <c r="PE177" s="269"/>
      <c r="PF177" s="269"/>
      <c r="PG177" s="269"/>
      <c r="PH177" s="269"/>
      <c r="PI177" s="269"/>
      <c r="PJ177" s="269"/>
      <c r="PK177" s="269"/>
      <c r="PL177" s="269"/>
      <c r="PM177" s="269"/>
      <c r="PN177" s="269"/>
      <c r="PO177" s="269"/>
      <c r="PP177" s="269"/>
      <c r="PQ177" s="269"/>
      <c r="PR177" s="269"/>
      <c r="PS177" s="269"/>
      <c r="PT177" s="269"/>
      <c r="PU177" s="269"/>
      <c r="PV177" s="269"/>
      <c r="PW177" s="269"/>
      <c r="PX177" s="269"/>
      <c r="PY177" s="269"/>
      <c r="PZ177" s="269"/>
      <c r="QA177" s="269"/>
      <c r="QB177" s="269"/>
      <c r="QC177" s="269"/>
      <c r="QD177" s="269"/>
      <c r="QE177" s="269"/>
      <c r="QF177" s="269"/>
      <c r="QG177" s="269"/>
      <c r="QH177" s="269"/>
      <c r="QI177" s="269"/>
      <c r="QJ177" s="269"/>
      <c r="QK177" s="269"/>
      <c r="QL177" s="269"/>
      <c r="QM177" s="187"/>
      <c r="QQ177" s="152"/>
      <c r="QR177" s="153"/>
    </row>
    <row r="178" spans="3:484" ht="5.0999999999999996" customHeight="1" x14ac:dyDescent="0.3">
      <c r="C178" s="149"/>
      <c r="D178" s="150"/>
      <c r="OS178" s="269"/>
      <c r="OT178" s="269"/>
      <c r="OU178" s="269"/>
      <c r="OV178" s="269"/>
      <c r="OW178" s="269"/>
      <c r="OX178" s="269"/>
      <c r="OY178" s="269"/>
      <c r="OZ178" s="269"/>
      <c r="PA178" s="269"/>
      <c r="PB178" s="269"/>
      <c r="PC178" s="269"/>
      <c r="PD178" s="269"/>
      <c r="PE178" s="269"/>
      <c r="PF178" s="269"/>
      <c r="PG178" s="269"/>
      <c r="PH178" s="269"/>
      <c r="PI178" s="269"/>
      <c r="PJ178" s="269"/>
      <c r="PK178" s="269"/>
      <c r="PL178" s="269"/>
      <c r="PM178" s="269"/>
      <c r="PN178" s="269"/>
      <c r="PO178" s="269"/>
      <c r="PP178" s="269"/>
      <c r="PQ178" s="269"/>
      <c r="PR178" s="269"/>
      <c r="PS178" s="269"/>
      <c r="PT178" s="269"/>
      <c r="PU178" s="269"/>
      <c r="PV178" s="269"/>
      <c r="PW178" s="269"/>
      <c r="PX178" s="269"/>
      <c r="PY178" s="269"/>
      <c r="PZ178" s="269"/>
      <c r="QA178" s="269"/>
      <c r="QB178" s="269"/>
      <c r="QC178" s="269"/>
      <c r="QD178" s="269"/>
      <c r="QE178" s="269"/>
      <c r="QF178" s="269"/>
      <c r="QG178" s="269"/>
      <c r="QH178" s="269"/>
      <c r="QI178" s="269"/>
      <c r="QJ178" s="269"/>
      <c r="QK178" s="269"/>
      <c r="QL178" s="269"/>
      <c r="QM178" s="158"/>
      <c r="QQ178" s="152"/>
      <c r="QR178" s="153"/>
    </row>
    <row r="179" spans="3:484" ht="5.0999999999999996" customHeight="1" x14ac:dyDescent="0.3">
      <c r="C179" s="149"/>
      <c r="D179" s="150"/>
      <c r="OS179" s="269"/>
      <c r="OT179" s="269"/>
      <c r="OU179" s="269"/>
      <c r="OV179" s="269"/>
      <c r="OW179" s="269"/>
      <c r="OX179" s="269"/>
      <c r="OY179" s="269"/>
      <c r="OZ179" s="269"/>
      <c r="PA179" s="269"/>
      <c r="PB179" s="269"/>
      <c r="PC179" s="269"/>
      <c r="PD179" s="269"/>
      <c r="PE179" s="269"/>
      <c r="PF179" s="269"/>
      <c r="PG179" s="269"/>
      <c r="PH179" s="269"/>
      <c r="PI179" s="269"/>
      <c r="PJ179" s="269"/>
      <c r="PK179" s="269"/>
      <c r="PL179" s="269"/>
      <c r="PM179" s="269"/>
      <c r="PN179" s="269"/>
      <c r="PO179" s="269"/>
      <c r="PP179" s="269"/>
      <c r="PQ179" s="269"/>
      <c r="PR179" s="269"/>
      <c r="PS179" s="269"/>
      <c r="PT179" s="269"/>
      <c r="PU179" s="269"/>
      <c r="PV179" s="269"/>
      <c r="PW179" s="269"/>
      <c r="PX179" s="269"/>
      <c r="PY179" s="269"/>
      <c r="PZ179" s="269"/>
      <c r="QA179" s="269"/>
      <c r="QB179" s="269"/>
      <c r="QC179" s="269"/>
      <c r="QD179" s="269"/>
      <c r="QE179" s="269"/>
      <c r="QF179" s="269"/>
      <c r="QG179" s="269"/>
      <c r="QH179" s="269"/>
      <c r="QI179" s="269"/>
      <c r="QJ179" s="269"/>
      <c r="QK179" s="269"/>
      <c r="QL179" s="269"/>
      <c r="QM179" s="158"/>
      <c r="QQ179" s="152"/>
      <c r="QR179" s="153"/>
    </row>
    <row r="180" spans="3:484" ht="5.0999999999999996" customHeight="1" x14ac:dyDescent="0.3">
      <c r="C180" s="149"/>
      <c r="D180" s="150"/>
      <c r="OS180" s="269"/>
      <c r="OT180" s="269"/>
      <c r="OU180" s="269"/>
      <c r="OV180" s="269"/>
      <c r="OW180" s="269"/>
      <c r="OX180" s="269"/>
      <c r="OY180" s="269"/>
      <c r="OZ180" s="269"/>
      <c r="PA180" s="269"/>
      <c r="PB180" s="269"/>
      <c r="PC180" s="269"/>
      <c r="PD180" s="269"/>
      <c r="PE180" s="269"/>
      <c r="PF180" s="269"/>
      <c r="PG180" s="269"/>
      <c r="PH180" s="269"/>
      <c r="PI180" s="269"/>
      <c r="PJ180" s="269"/>
      <c r="PK180" s="269"/>
      <c r="PL180" s="269"/>
      <c r="PM180" s="269"/>
      <c r="PN180" s="269"/>
      <c r="PO180" s="269"/>
      <c r="PP180" s="269"/>
      <c r="PQ180" s="269"/>
      <c r="PR180" s="269"/>
      <c r="PS180" s="269"/>
      <c r="PT180" s="269"/>
      <c r="PU180" s="269"/>
      <c r="PV180" s="269"/>
      <c r="PW180" s="269"/>
      <c r="PX180" s="269"/>
      <c r="PY180" s="269"/>
      <c r="PZ180" s="269"/>
      <c r="QA180" s="269"/>
      <c r="QB180" s="269"/>
      <c r="QC180" s="269"/>
      <c r="QD180" s="269"/>
      <c r="QE180" s="269"/>
      <c r="QF180" s="269"/>
      <c r="QG180" s="269"/>
      <c r="QH180" s="269"/>
      <c r="QI180" s="269"/>
      <c r="QJ180" s="269"/>
      <c r="QK180" s="269"/>
      <c r="QL180" s="269"/>
      <c r="QM180" s="158"/>
      <c r="QQ180" s="152"/>
      <c r="QR180" s="153"/>
    </row>
    <row r="181" spans="3:484" ht="5.0999999999999996" customHeight="1" x14ac:dyDescent="0.3">
      <c r="C181" s="149"/>
      <c r="D181" s="150"/>
      <c r="AX181" s="135">
        <v>2</v>
      </c>
      <c r="OS181" s="269"/>
      <c r="OT181" s="269"/>
      <c r="OU181" s="269"/>
      <c r="OV181" s="269"/>
      <c r="OW181" s="269"/>
      <c r="OX181" s="269"/>
      <c r="OY181" s="269"/>
      <c r="OZ181" s="269"/>
      <c r="PA181" s="269"/>
      <c r="PB181" s="269"/>
      <c r="PC181" s="269"/>
      <c r="PD181" s="269"/>
      <c r="PE181" s="269"/>
      <c r="PF181" s="269"/>
      <c r="PG181" s="269"/>
      <c r="PH181" s="269"/>
      <c r="PI181" s="269"/>
      <c r="PJ181" s="269"/>
      <c r="PK181" s="269"/>
      <c r="PL181" s="269"/>
      <c r="PM181" s="269"/>
      <c r="PN181" s="269"/>
      <c r="PO181" s="269"/>
      <c r="PP181" s="269"/>
      <c r="PQ181" s="269"/>
      <c r="PR181" s="269"/>
      <c r="PS181" s="269"/>
      <c r="PT181" s="269"/>
      <c r="PU181" s="269"/>
      <c r="PV181" s="269"/>
      <c r="PW181" s="269"/>
      <c r="PX181" s="269"/>
      <c r="PY181" s="269"/>
      <c r="PZ181" s="269"/>
      <c r="QA181" s="269"/>
      <c r="QB181" s="269"/>
      <c r="QC181" s="269"/>
      <c r="QD181" s="269"/>
      <c r="QE181" s="269"/>
      <c r="QF181" s="269"/>
      <c r="QG181" s="269"/>
      <c r="QH181" s="269"/>
      <c r="QI181" s="269"/>
      <c r="QJ181" s="269"/>
      <c r="QK181" s="269"/>
      <c r="QL181" s="269"/>
      <c r="QM181" s="158"/>
      <c r="QQ181" s="152"/>
      <c r="QR181" s="153"/>
    </row>
    <row r="182" spans="3:484" ht="5.0999999999999996" customHeight="1" x14ac:dyDescent="0.3">
      <c r="C182" s="149"/>
      <c r="D182" s="150"/>
      <c r="OS182" s="269"/>
      <c r="OT182" s="269"/>
      <c r="OU182" s="269"/>
      <c r="OV182" s="269"/>
      <c r="OW182" s="269"/>
      <c r="OX182" s="269"/>
      <c r="OY182" s="269"/>
      <c r="OZ182" s="269"/>
      <c r="PA182" s="269"/>
      <c r="PB182" s="269"/>
      <c r="PC182" s="269"/>
      <c r="PD182" s="269"/>
      <c r="PE182" s="269"/>
      <c r="PF182" s="269"/>
      <c r="PG182" s="269"/>
      <c r="PH182" s="269"/>
      <c r="PI182" s="269"/>
      <c r="PJ182" s="269"/>
      <c r="PK182" s="269"/>
      <c r="PL182" s="269"/>
      <c r="PM182" s="269"/>
      <c r="PN182" s="269"/>
      <c r="PO182" s="269"/>
      <c r="PP182" s="269"/>
      <c r="PQ182" s="269"/>
      <c r="PR182" s="269"/>
      <c r="PS182" s="269"/>
      <c r="PT182" s="269"/>
      <c r="PU182" s="269"/>
      <c r="PV182" s="269"/>
      <c r="PW182" s="269"/>
      <c r="PX182" s="269"/>
      <c r="PY182" s="269"/>
      <c r="PZ182" s="269"/>
      <c r="QA182" s="269"/>
      <c r="QB182" s="269"/>
      <c r="QC182" s="269"/>
      <c r="QD182" s="269"/>
      <c r="QE182" s="269"/>
      <c r="QF182" s="269"/>
      <c r="QG182" s="269"/>
      <c r="QH182" s="269"/>
      <c r="QI182" s="269"/>
      <c r="QJ182" s="269"/>
      <c r="QK182" s="269"/>
      <c r="QL182" s="269"/>
      <c r="QM182" s="158"/>
      <c r="QQ182" s="152"/>
      <c r="QR182" s="153"/>
    </row>
    <row r="183" spans="3:484" ht="5.0999999999999996" customHeight="1" x14ac:dyDescent="0.3">
      <c r="C183" s="149"/>
      <c r="D183" s="150"/>
      <c r="DE183" s="335"/>
      <c r="DF183" s="335"/>
      <c r="DG183" s="335"/>
      <c r="DH183" s="335"/>
      <c r="DI183" s="335"/>
      <c r="DJ183" s="335"/>
      <c r="DK183" s="335"/>
      <c r="DL183" s="335"/>
      <c r="DM183" s="335"/>
      <c r="DN183" s="335"/>
      <c r="DO183" s="335"/>
      <c r="DP183" s="335"/>
      <c r="DQ183" s="335"/>
      <c r="DR183" s="335"/>
      <c r="DS183" s="335"/>
      <c r="DT183" s="335"/>
      <c r="DU183" s="335"/>
      <c r="DV183" s="335"/>
      <c r="DW183" s="335"/>
      <c r="DX183" s="335"/>
      <c r="DY183" s="335"/>
      <c r="DZ183" s="335"/>
      <c r="EA183" s="335"/>
      <c r="EB183" s="335"/>
      <c r="EC183" s="335"/>
      <c r="ED183" s="335"/>
      <c r="EE183" s="335"/>
      <c r="EF183" s="335"/>
      <c r="EG183" s="335"/>
      <c r="EH183" s="335"/>
      <c r="EI183" s="335"/>
      <c r="EJ183" s="335"/>
      <c r="EK183" s="335"/>
      <c r="EL183" s="335"/>
      <c r="EM183" s="335"/>
      <c r="EN183" s="335"/>
      <c r="EO183" s="335"/>
      <c r="EP183" s="335"/>
      <c r="EQ183" s="335"/>
      <c r="ER183" s="335"/>
      <c r="ES183" s="335"/>
      <c r="ET183" s="335"/>
      <c r="EU183" s="335"/>
      <c r="EV183" s="336"/>
      <c r="EW183" s="336"/>
      <c r="EX183" s="336"/>
      <c r="EY183" s="336"/>
      <c r="EZ183" s="336"/>
      <c r="FE183" s="335"/>
      <c r="FF183" s="335"/>
      <c r="FG183" s="335"/>
      <c r="FH183" s="335"/>
      <c r="FI183" s="335"/>
      <c r="FJ183" s="335"/>
      <c r="FK183" s="335"/>
      <c r="FL183" s="335"/>
      <c r="FM183" s="335"/>
      <c r="FN183" s="335"/>
      <c r="FO183" s="335"/>
      <c r="FP183" s="335"/>
      <c r="FQ183" s="335"/>
      <c r="FR183" s="335"/>
      <c r="FS183" s="335"/>
      <c r="FT183" s="335"/>
      <c r="FU183" s="335"/>
      <c r="FV183" s="335"/>
      <c r="FW183" s="335"/>
      <c r="FX183" s="335"/>
      <c r="FY183" s="335"/>
      <c r="FZ183" s="335"/>
      <c r="GA183" s="335"/>
      <c r="GB183" s="335"/>
      <c r="GC183" s="335"/>
      <c r="GD183" s="335"/>
      <c r="GE183" s="335"/>
      <c r="GF183" s="335"/>
      <c r="GG183" s="335"/>
      <c r="GH183" s="335"/>
      <c r="GI183" s="335"/>
      <c r="GJ183" s="335"/>
      <c r="GK183" s="335"/>
      <c r="GL183" s="335"/>
      <c r="GM183" s="335"/>
      <c r="GN183" s="335"/>
      <c r="GO183" s="335"/>
      <c r="GP183" s="335"/>
      <c r="GQ183" s="335"/>
      <c r="GR183" s="335"/>
      <c r="GS183" s="335"/>
      <c r="GT183" s="335"/>
      <c r="GU183" s="335"/>
      <c r="GV183" s="336"/>
      <c r="GW183" s="336"/>
      <c r="GX183" s="336"/>
      <c r="GY183" s="336"/>
      <c r="GZ183" s="336"/>
      <c r="OS183" s="269"/>
      <c r="OT183" s="269"/>
      <c r="OU183" s="269"/>
      <c r="OV183" s="269"/>
      <c r="OW183" s="269"/>
      <c r="OX183" s="269"/>
      <c r="OY183" s="269"/>
      <c r="OZ183" s="269"/>
      <c r="PA183" s="269"/>
      <c r="PB183" s="269"/>
      <c r="PC183" s="269"/>
      <c r="PD183" s="269"/>
      <c r="PE183" s="269"/>
      <c r="PF183" s="269"/>
      <c r="PG183" s="269"/>
      <c r="PH183" s="269"/>
      <c r="PI183" s="269"/>
      <c r="PJ183" s="269"/>
      <c r="PK183" s="269"/>
      <c r="PL183" s="269"/>
      <c r="PM183" s="269"/>
      <c r="PN183" s="269"/>
      <c r="PO183" s="269"/>
      <c r="PP183" s="269"/>
      <c r="PQ183" s="269"/>
      <c r="PR183" s="269"/>
      <c r="PS183" s="269"/>
      <c r="PT183" s="269"/>
      <c r="PU183" s="269"/>
      <c r="PV183" s="269"/>
      <c r="PW183" s="269"/>
      <c r="PX183" s="269"/>
      <c r="PY183" s="269"/>
      <c r="PZ183" s="269"/>
      <c r="QA183" s="269"/>
      <c r="QB183" s="269"/>
      <c r="QC183" s="269"/>
      <c r="QD183" s="269"/>
      <c r="QE183" s="269"/>
      <c r="QF183" s="269"/>
      <c r="QG183" s="269"/>
      <c r="QH183" s="269"/>
      <c r="QI183" s="269"/>
      <c r="QJ183" s="269"/>
      <c r="QK183" s="269"/>
      <c r="QL183" s="269"/>
      <c r="QM183" s="158"/>
      <c r="QQ183" s="152"/>
      <c r="QR183" s="153"/>
    </row>
    <row r="184" spans="3:484" ht="5.0999999999999996" customHeight="1" x14ac:dyDescent="0.3">
      <c r="C184" s="149"/>
      <c r="D184" s="150"/>
      <c r="DE184" s="335"/>
      <c r="DF184" s="335"/>
      <c r="DG184" s="335"/>
      <c r="DH184" s="335"/>
      <c r="DI184" s="335"/>
      <c r="DJ184" s="335"/>
      <c r="DK184" s="335"/>
      <c r="DL184" s="335"/>
      <c r="DM184" s="335"/>
      <c r="DN184" s="335"/>
      <c r="DO184" s="335"/>
      <c r="DP184" s="335"/>
      <c r="DQ184" s="335"/>
      <c r="DR184" s="335"/>
      <c r="DS184" s="335"/>
      <c r="DT184" s="335"/>
      <c r="DU184" s="335"/>
      <c r="DV184" s="335"/>
      <c r="DW184" s="335"/>
      <c r="DX184" s="335"/>
      <c r="DY184" s="335"/>
      <c r="DZ184" s="335"/>
      <c r="EA184" s="335"/>
      <c r="EB184" s="335"/>
      <c r="EC184" s="335"/>
      <c r="ED184" s="335"/>
      <c r="EE184" s="335"/>
      <c r="EF184" s="335"/>
      <c r="EG184" s="335"/>
      <c r="EH184" s="335"/>
      <c r="EI184" s="335"/>
      <c r="EJ184" s="335"/>
      <c r="EK184" s="335"/>
      <c r="EL184" s="335"/>
      <c r="EM184" s="335"/>
      <c r="EN184" s="335"/>
      <c r="EO184" s="335"/>
      <c r="EP184" s="335"/>
      <c r="EQ184" s="335"/>
      <c r="ER184" s="335"/>
      <c r="ES184" s="335"/>
      <c r="ET184" s="335"/>
      <c r="EU184" s="335"/>
      <c r="EV184" s="336"/>
      <c r="EW184" s="336"/>
      <c r="EX184" s="336"/>
      <c r="EY184" s="336"/>
      <c r="EZ184" s="336"/>
      <c r="FE184" s="335"/>
      <c r="FF184" s="335"/>
      <c r="FG184" s="335"/>
      <c r="FH184" s="335"/>
      <c r="FI184" s="335"/>
      <c r="FJ184" s="335"/>
      <c r="FK184" s="335"/>
      <c r="FL184" s="335"/>
      <c r="FM184" s="335"/>
      <c r="FN184" s="335"/>
      <c r="FO184" s="335"/>
      <c r="FP184" s="335"/>
      <c r="FQ184" s="335"/>
      <c r="FR184" s="335"/>
      <c r="FS184" s="335"/>
      <c r="FT184" s="335"/>
      <c r="FU184" s="335"/>
      <c r="FV184" s="335"/>
      <c r="FW184" s="335"/>
      <c r="FX184" s="335"/>
      <c r="FY184" s="335"/>
      <c r="FZ184" s="335"/>
      <c r="GA184" s="335"/>
      <c r="GB184" s="335"/>
      <c r="GC184" s="335"/>
      <c r="GD184" s="335"/>
      <c r="GE184" s="335"/>
      <c r="GF184" s="335"/>
      <c r="GG184" s="335"/>
      <c r="GH184" s="335"/>
      <c r="GI184" s="335"/>
      <c r="GJ184" s="335"/>
      <c r="GK184" s="335"/>
      <c r="GL184" s="335"/>
      <c r="GM184" s="335"/>
      <c r="GN184" s="335"/>
      <c r="GO184" s="335"/>
      <c r="GP184" s="335"/>
      <c r="GQ184" s="335"/>
      <c r="GR184" s="335"/>
      <c r="GS184" s="335"/>
      <c r="GT184" s="335"/>
      <c r="GU184" s="335"/>
      <c r="GV184" s="336"/>
      <c r="GW184" s="336"/>
      <c r="GX184" s="336"/>
      <c r="GY184" s="336"/>
      <c r="GZ184" s="336"/>
      <c r="OS184" s="269"/>
      <c r="OT184" s="269"/>
      <c r="OU184" s="269"/>
      <c r="OV184" s="269"/>
      <c r="OW184" s="269"/>
      <c r="OX184" s="269"/>
      <c r="OY184" s="269"/>
      <c r="OZ184" s="269"/>
      <c r="PA184" s="269"/>
      <c r="PB184" s="269"/>
      <c r="PC184" s="269"/>
      <c r="PD184" s="269"/>
      <c r="PE184" s="269"/>
      <c r="PF184" s="269"/>
      <c r="PG184" s="269"/>
      <c r="PH184" s="269"/>
      <c r="PI184" s="269"/>
      <c r="PJ184" s="269"/>
      <c r="PK184" s="269"/>
      <c r="PL184" s="269"/>
      <c r="PM184" s="269"/>
      <c r="PN184" s="269"/>
      <c r="PO184" s="269"/>
      <c r="PP184" s="269"/>
      <c r="PQ184" s="269"/>
      <c r="PR184" s="269"/>
      <c r="PS184" s="269"/>
      <c r="PT184" s="269"/>
      <c r="PU184" s="269"/>
      <c r="PV184" s="269"/>
      <c r="PW184" s="269"/>
      <c r="PX184" s="269"/>
      <c r="PY184" s="269"/>
      <c r="PZ184" s="269"/>
      <c r="QA184" s="269"/>
      <c r="QB184" s="269"/>
      <c r="QC184" s="269"/>
      <c r="QD184" s="269"/>
      <c r="QE184" s="269"/>
      <c r="QF184" s="269"/>
      <c r="QG184" s="269"/>
      <c r="QH184" s="269"/>
      <c r="QI184" s="269"/>
      <c r="QJ184" s="269"/>
      <c r="QK184" s="269"/>
      <c r="QL184" s="269"/>
      <c r="QM184" s="158"/>
      <c r="QQ184" s="152"/>
      <c r="QR184" s="153"/>
    </row>
    <row r="185" spans="3:484" ht="5.0999999999999996" customHeight="1" x14ac:dyDescent="0.3">
      <c r="C185" s="149"/>
      <c r="D185" s="150"/>
      <c r="DE185" s="335"/>
      <c r="DF185" s="335"/>
      <c r="DG185" s="335"/>
      <c r="DH185" s="335"/>
      <c r="DI185" s="335"/>
      <c r="DJ185" s="335"/>
      <c r="DK185" s="335"/>
      <c r="DL185" s="335"/>
      <c r="DM185" s="335"/>
      <c r="DN185" s="335"/>
      <c r="DO185" s="335"/>
      <c r="DP185" s="335"/>
      <c r="DQ185" s="335"/>
      <c r="DR185" s="335"/>
      <c r="DS185" s="335"/>
      <c r="DT185" s="335"/>
      <c r="DU185" s="335"/>
      <c r="DV185" s="335"/>
      <c r="DW185" s="335"/>
      <c r="DX185" s="335"/>
      <c r="DY185" s="335"/>
      <c r="DZ185" s="335"/>
      <c r="EA185" s="335"/>
      <c r="EB185" s="335"/>
      <c r="EC185" s="335"/>
      <c r="ED185" s="335"/>
      <c r="EE185" s="335"/>
      <c r="EF185" s="335"/>
      <c r="EG185" s="335"/>
      <c r="EH185" s="335"/>
      <c r="EI185" s="335"/>
      <c r="EJ185" s="335"/>
      <c r="EK185" s="335"/>
      <c r="EL185" s="335"/>
      <c r="EM185" s="335"/>
      <c r="EN185" s="335"/>
      <c r="EO185" s="335"/>
      <c r="EP185" s="335"/>
      <c r="EQ185" s="335"/>
      <c r="ER185" s="335"/>
      <c r="ES185" s="335"/>
      <c r="ET185" s="335"/>
      <c r="EU185" s="335"/>
      <c r="EV185" s="336"/>
      <c r="EW185" s="336"/>
      <c r="EX185" s="336"/>
      <c r="EY185" s="336"/>
      <c r="EZ185" s="336"/>
      <c r="FE185" s="335"/>
      <c r="FF185" s="335"/>
      <c r="FG185" s="335"/>
      <c r="FH185" s="335"/>
      <c r="FI185" s="335"/>
      <c r="FJ185" s="335"/>
      <c r="FK185" s="335"/>
      <c r="FL185" s="335"/>
      <c r="FM185" s="335"/>
      <c r="FN185" s="335"/>
      <c r="FO185" s="335"/>
      <c r="FP185" s="335"/>
      <c r="FQ185" s="335"/>
      <c r="FR185" s="335"/>
      <c r="FS185" s="335"/>
      <c r="FT185" s="335"/>
      <c r="FU185" s="335"/>
      <c r="FV185" s="335"/>
      <c r="FW185" s="335"/>
      <c r="FX185" s="335"/>
      <c r="FY185" s="335"/>
      <c r="FZ185" s="335"/>
      <c r="GA185" s="335"/>
      <c r="GB185" s="335"/>
      <c r="GC185" s="335"/>
      <c r="GD185" s="335"/>
      <c r="GE185" s="335"/>
      <c r="GF185" s="335"/>
      <c r="GG185" s="335"/>
      <c r="GH185" s="335"/>
      <c r="GI185" s="335"/>
      <c r="GJ185" s="335"/>
      <c r="GK185" s="335"/>
      <c r="GL185" s="335"/>
      <c r="GM185" s="335"/>
      <c r="GN185" s="335"/>
      <c r="GO185" s="335"/>
      <c r="GP185" s="335"/>
      <c r="GQ185" s="335"/>
      <c r="GR185" s="335"/>
      <c r="GS185" s="335"/>
      <c r="GT185" s="335"/>
      <c r="GU185" s="335"/>
      <c r="GV185" s="336"/>
      <c r="GW185" s="336"/>
      <c r="GX185" s="336"/>
      <c r="GY185" s="336"/>
      <c r="GZ185" s="336"/>
      <c r="QM185" s="158"/>
      <c r="QQ185" s="152"/>
      <c r="QR185" s="153"/>
      <c r="QS185" s="176"/>
      <c r="QT185" s="176"/>
      <c r="QU185" s="176"/>
      <c r="QV185" s="176"/>
      <c r="QW185" s="177"/>
      <c r="RK185" s="176"/>
      <c r="RL185" s="176"/>
      <c r="RM185" s="176"/>
      <c r="RN185" s="176"/>
      <c r="RO185" s="176"/>
      <c r="RP185" s="177"/>
    </row>
    <row r="186" spans="3:484" ht="5.0999999999999996" customHeight="1" x14ac:dyDescent="0.3">
      <c r="C186" s="149"/>
      <c r="D186" s="150"/>
      <c r="DE186" s="335"/>
      <c r="DF186" s="335"/>
      <c r="DG186" s="335"/>
      <c r="DH186" s="335"/>
      <c r="DI186" s="335"/>
      <c r="DJ186" s="335"/>
      <c r="DK186" s="335"/>
      <c r="DL186" s="335"/>
      <c r="DM186" s="335"/>
      <c r="DN186" s="335"/>
      <c r="DO186" s="335"/>
      <c r="DP186" s="335"/>
      <c r="DQ186" s="335"/>
      <c r="DR186" s="335"/>
      <c r="DS186" s="335"/>
      <c r="DT186" s="335"/>
      <c r="DU186" s="335"/>
      <c r="DV186" s="335"/>
      <c r="DW186" s="335"/>
      <c r="DX186" s="335"/>
      <c r="DY186" s="335"/>
      <c r="DZ186" s="335"/>
      <c r="EA186" s="335"/>
      <c r="EB186" s="335"/>
      <c r="EC186" s="335"/>
      <c r="ED186" s="335"/>
      <c r="EE186" s="335"/>
      <c r="EF186" s="335"/>
      <c r="EG186" s="335"/>
      <c r="EH186" s="335"/>
      <c r="EI186" s="335"/>
      <c r="EJ186" s="335"/>
      <c r="EK186" s="335"/>
      <c r="EL186" s="335"/>
      <c r="EM186" s="335"/>
      <c r="EN186" s="335"/>
      <c r="EO186" s="335"/>
      <c r="EP186" s="335"/>
      <c r="EQ186" s="335"/>
      <c r="ER186" s="335"/>
      <c r="ES186" s="335"/>
      <c r="ET186" s="335"/>
      <c r="EU186" s="335"/>
      <c r="EV186" s="336"/>
      <c r="EW186" s="336"/>
      <c r="EX186" s="336"/>
      <c r="EY186" s="336"/>
      <c r="EZ186" s="336"/>
      <c r="FE186" s="335"/>
      <c r="FF186" s="335"/>
      <c r="FG186" s="335"/>
      <c r="FH186" s="335"/>
      <c r="FI186" s="335"/>
      <c r="FJ186" s="335"/>
      <c r="FK186" s="335"/>
      <c r="FL186" s="335"/>
      <c r="FM186" s="335"/>
      <c r="FN186" s="335"/>
      <c r="FO186" s="335"/>
      <c r="FP186" s="335"/>
      <c r="FQ186" s="335"/>
      <c r="FR186" s="335"/>
      <c r="FS186" s="335"/>
      <c r="FT186" s="335"/>
      <c r="FU186" s="335"/>
      <c r="FV186" s="335"/>
      <c r="FW186" s="335"/>
      <c r="FX186" s="335"/>
      <c r="FY186" s="335"/>
      <c r="FZ186" s="335"/>
      <c r="GA186" s="335"/>
      <c r="GB186" s="335"/>
      <c r="GC186" s="335"/>
      <c r="GD186" s="335"/>
      <c r="GE186" s="335"/>
      <c r="GF186" s="335"/>
      <c r="GG186" s="335"/>
      <c r="GH186" s="335"/>
      <c r="GI186" s="335"/>
      <c r="GJ186" s="335"/>
      <c r="GK186" s="335"/>
      <c r="GL186" s="335"/>
      <c r="GM186" s="335"/>
      <c r="GN186" s="335"/>
      <c r="GO186" s="335"/>
      <c r="GP186" s="335"/>
      <c r="GQ186" s="335"/>
      <c r="GR186" s="335"/>
      <c r="GS186" s="335"/>
      <c r="GT186" s="335"/>
      <c r="GU186" s="335"/>
      <c r="GV186" s="336"/>
      <c r="GW186" s="336"/>
      <c r="GX186" s="336"/>
      <c r="GY186" s="336"/>
      <c r="GZ186" s="336"/>
      <c r="QM186" s="158"/>
      <c r="QQ186" s="152"/>
      <c r="QR186" s="153"/>
      <c r="QS186" s="176"/>
      <c r="QT186" s="176"/>
      <c r="QU186" s="176"/>
      <c r="QV186" s="176"/>
      <c r="QW186" s="177"/>
      <c r="RK186" s="176"/>
      <c r="RL186" s="176"/>
      <c r="RM186" s="176"/>
      <c r="RN186" s="176"/>
      <c r="RO186" s="176"/>
      <c r="RP186" s="177"/>
    </row>
    <row r="187" spans="3:484" ht="5.0999999999999996" customHeight="1" x14ac:dyDescent="0.3">
      <c r="C187" s="149"/>
      <c r="D187" s="150"/>
      <c r="DE187" s="335"/>
      <c r="DF187" s="335"/>
      <c r="DG187" s="335"/>
      <c r="DH187" s="335"/>
      <c r="DI187" s="335"/>
      <c r="DJ187" s="335"/>
      <c r="DK187" s="335"/>
      <c r="DL187" s="335"/>
      <c r="DM187" s="335"/>
      <c r="DN187" s="335"/>
      <c r="DO187" s="335"/>
      <c r="DP187" s="335"/>
      <c r="DQ187" s="335"/>
      <c r="DR187" s="335"/>
      <c r="DS187" s="335"/>
      <c r="DT187" s="335"/>
      <c r="DU187" s="335"/>
      <c r="DV187" s="335"/>
      <c r="DW187" s="335"/>
      <c r="DX187" s="335"/>
      <c r="DY187" s="335"/>
      <c r="DZ187" s="335"/>
      <c r="EA187" s="335"/>
      <c r="EB187" s="335"/>
      <c r="EC187" s="335"/>
      <c r="ED187" s="335"/>
      <c r="EE187" s="335"/>
      <c r="EF187" s="335"/>
      <c r="EG187" s="335"/>
      <c r="EH187" s="335"/>
      <c r="EI187" s="335"/>
      <c r="EJ187" s="335"/>
      <c r="EK187" s="335"/>
      <c r="EL187" s="335"/>
      <c r="EM187" s="335"/>
      <c r="EN187" s="335"/>
      <c r="EO187" s="335"/>
      <c r="EP187" s="335"/>
      <c r="EQ187" s="335"/>
      <c r="ER187" s="335"/>
      <c r="ES187" s="335"/>
      <c r="ET187" s="335"/>
      <c r="EU187" s="335"/>
      <c r="EV187" s="336"/>
      <c r="EW187" s="336"/>
      <c r="EX187" s="336"/>
      <c r="EY187" s="336"/>
      <c r="EZ187" s="336"/>
      <c r="FE187" s="335"/>
      <c r="FF187" s="335"/>
      <c r="FG187" s="335"/>
      <c r="FH187" s="335"/>
      <c r="FI187" s="335"/>
      <c r="FJ187" s="335"/>
      <c r="FK187" s="335"/>
      <c r="FL187" s="335"/>
      <c r="FM187" s="335"/>
      <c r="FN187" s="335"/>
      <c r="FO187" s="335"/>
      <c r="FP187" s="335"/>
      <c r="FQ187" s="335"/>
      <c r="FR187" s="335"/>
      <c r="FS187" s="335"/>
      <c r="FT187" s="335"/>
      <c r="FU187" s="335"/>
      <c r="FV187" s="335"/>
      <c r="FW187" s="335"/>
      <c r="FX187" s="335"/>
      <c r="FY187" s="335"/>
      <c r="FZ187" s="335"/>
      <c r="GA187" s="335"/>
      <c r="GB187" s="335"/>
      <c r="GC187" s="335"/>
      <c r="GD187" s="335"/>
      <c r="GE187" s="335"/>
      <c r="GF187" s="335"/>
      <c r="GG187" s="335"/>
      <c r="GH187" s="335"/>
      <c r="GI187" s="335"/>
      <c r="GJ187" s="335"/>
      <c r="GK187" s="335"/>
      <c r="GL187" s="335"/>
      <c r="GM187" s="335"/>
      <c r="GN187" s="335"/>
      <c r="GO187" s="335"/>
      <c r="GP187" s="335"/>
      <c r="GQ187" s="335"/>
      <c r="GR187" s="335"/>
      <c r="GS187" s="335"/>
      <c r="GT187" s="335"/>
      <c r="GU187" s="335"/>
      <c r="GV187" s="336"/>
      <c r="GW187" s="336"/>
      <c r="GX187" s="336"/>
      <c r="GY187" s="336"/>
      <c r="GZ187" s="336"/>
      <c r="OS187" s="337" t="s">
        <v>312</v>
      </c>
      <c r="OT187" s="338"/>
      <c r="OU187" s="338"/>
      <c r="OV187" s="338"/>
      <c r="OW187" s="338"/>
      <c r="OX187" s="338"/>
      <c r="OY187" s="338"/>
      <c r="OZ187" s="338"/>
      <c r="PA187" s="338"/>
      <c r="PB187" s="338"/>
      <c r="PC187" s="338"/>
      <c r="PD187" s="338"/>
      <c r="PE187" s="338"/>
      <c r="PF187" s="338"/>
      <c r="PG187" s="338"/>
      <c r="PH187" s="338"/>
      <c r="PI187" s="338"/>
      <c r="PJ187" s="338"/>
      <c r="PK187" s="338"/>
      <c r="PL187" s="338"/>
      <c r="PM187" s="338"/>
      <c r="PN187" s="338"/>
      <c r="PO187" s="338"/>
      <c r="PP187" s="338"/>
      <c r="PQ187" s="338"/>
      <c r="PR187" s="338"/>
      <c r="PS187" s="338"/>
      <c r="PT187" s="338"/>
      <c r="PU187" s="338"/>
      <c r="PV187" s="338"/>
      <c r="PW187" s="338"/>
      <c r="PX187" s="338"/>
      <c r="PY187" s="338"/>
      <c r="PZ187" s="338"/>
      <c r="QA187" s="338"/>
      <c r="QB187" s="338"/>
      <c r="QC187" s="338"/>
      <c r="QD187" s="338"/>
      <c r="QE187" s="338"/>
      <c r="QF187" s="339"/>
      <c r="QG187" s="332">
        <f>QG197</f>
        <v>54</v>
      </c>
      <c r="QH187" s="332"/>
      <c r="QI187" s="332"/>
      <c r="QJ187" s="332"/>
      <c r="QK187" s="332"/>
      <c r="QL187" s="332"/>
      <c r="QM187" s="158"/>
      <c r="QQ187" s="152"/>
      <c r="QR187" s="153"/>
      <c r="QS187" s="176"/>
      <c r="QT187" s="176"/>
      <c r="QU187" s="176"/>
      <c r="QV187" s="176"/>
      <c r="QW187" s="177"/>
      <c r="RK187" s="176"/>
      <c r="RL187" s="176"/>
      <c r="RM187" s="176"/>
      <c r="RN187" s="176"/>
      <c r="RO187" s="176"/>
      <c r="RP187" s="177"/>
    </row>
    <row r="188" spans="3:484" ht="5.0999999999999996" customHeight="1" x14ac:dyDescent="0.3">
      <c r="C188" s="149"/>
      <c r="D188" s="150"/>
      <c r="DE188" s="335"/>
      <c r="DF188" s="335"/>
      <c r="DG188" s="335"/>
      <c r="DH188" s="335"/>
      <c r="DI188" s="335"/>
      <c r="DJ188" s="335"/>
      <c r="DK188" s="335"/>
      <c r="DL188" s="335"/>
      <c r="DM188" s="335"/>
      <c r="DN188" s="335"/>
      <c r="DO188" s="335"/>
      <c r="DP188" s="335"/>
      <c r="DQ188" s="335"/>
      <c r="DR188" s="335"/>
      <c r="DS188" s="335"/>
      <c r="DT188" s="335"/>
      <c r="DU188" s="335"/>
      <c r="DV188" s="335"/>
      <c r="DW188" s="335"/>
      <c r="DX188" s="335"/>
      <c r="DY188" s="335"/>
      <c r="DZ188" s="335"/>
      <c r="EA188" s="335"/>
      <c r="EB188" s="335"/>
      <c r="EC188" s="335"/>
      <c r="ED188" s="335"/>
      <c r="EE188" s="335"/>
      <c r="EF188" s="335"/>
      <c r="EG188" s="335"/>
      <c r="EH188" s="335"/>
      <c r="EI188" s="335"/>
      <c r="EJ188" s="335"/>
      <c r="EK188" s="335"/>
      <c r="EL188" s="335"/>
      <c r="EM188" s="335"/>
      <c r="EN188" s="335"/>
      <c r="EO188" s="335"/>
      <c r="EP188" s="335"/>
      <c r="EQ188" s="335"/>
      <c r="ER188" s="335"/>
      <c r="ES188" s="335"/>
      <c r="ET188" s="335"/>
      <c r="EU188" s="335"/>
      <c r="EV188" s="336"/>
      <c r="EW188" s="336"/>
      <c r="EX188" s="336"/>
      <c r="EY188" s="336"/>
      <c r="EZ188" s="336"/>
      <c r="FE188" s="335"/>
      <c r="FF188" s="335"/>
      <c r="FG188" s="335"/>
      <c r="FH188" s="335"/>
      <c r="FI188" s="335"/>
      <c r="FJ188" s="335"/>
      <c r="FK188" s="335"/>
      <c r="FL188" s="335"/>
      <c r="FM188" s="335"/>
      <c r="FN188" s="335"/>
      <c r="FO188" s="335"/>
      <c r="FP188" s="335"/>
      <c r="FQ188" s="335"/>
      <c r="FR188" s="335"/>
      <c r="FS188" s="335"/>
      <c r="FT188" s="335"/>
      <c r="FU188" s="335"/>
      <c r="FV188" s="335"/>
      <c r="FW188" s="335"/>
      <c r="FX188" s="335"/>
      <c r="FY188" s="335"/>
      <c r="FZ188" s="335"/>
      <c r="GA188" s="335"/>
      <c r="GB188" s="335"/>
      <c r="GC188" s="335"/>
      <c r="GD188" s="335"/>
      <c r="GE188" s="335"/>
      <c r="GF188" s="335"/>
      <c r="GG188" s="335"/>
      <c r="GH188" s="335"/>
      <c r="GI188" s="335"/>
      <c r="GJ188" s="335"/>
      <c r="GK188" s="335"/>
      <c r="GL188" s="335"/>
      <c r="GM188" s="335"/>
      <c r="GN188" s="335"/>
      <c r="GO188" s="335"/>
      <c r="GP188" s="335"/>
      <c r="GQ188" s="335"/>
      <c r="GR188" s="335"/>
      <c r="GS188" s="335"/>
      <c r="GT188" s="335"/>
      <c r="GU188" s="335"/>
      <c r="GV188" s="336"/>
      <c r="GW188" s="336"/>
      <c r="GX188" s="336"/>
      <c r="GY188" s="336"/>
      <c r="GZ188" s="336"/>
      <c r="OS188" s="340"/>
      <c r="OT188" s="341"/>
      <c r="OU188" s="341"/>
      <c r="OV188" s="341"/>
      <c r="OW188" s="341"/>
      <c r="OX188" s="341"/>
      <c r="OY188" s="341"/>
      <c r="OZ188" s="341"/>
      <c r="PA188" s="341"/>
      <c r="PB188" s="341"/>
      <c r="PC188" s="341"/>
      <c r="PD188" s="341"/>
      <c r="PE188" s="341"/>
      <c r="PF188" s="341"/>
      <c r="PG188" s="341"/>
      <c r="PH188" s="341"/>
      <c r="PI188" s="341"/>
      <c r="PJ188" s="341"/>
      <c r="PK188" s="341"/>
      <c r="PL188" s="341"/>
      <c r="PM188" s="341"/>
      <c r="PN188" s="341"/>
      <c r="PO188" s="341"/>
      <c r="PP188" s="341"/>
      <c r="PQ188" s="341"/>
      <c r="PR188" s="341"/>
      <c r="PS188" s="341"/>
      <c r="PT188" s="341"/>
      <c r="PU188" s="341"/>
      <c r="PV188" s="341"/>
      <c r="PW188" s="341"/>
      <c r="PX188" s="341"/>
      <c r="PY188" s="341"/>
      <c r="PZ188" s="341"/>
      <c r="QA188" s="341"/>
      <c r="QB188" s="341"/>
      <c r="QC188" s="341"/>
      <c r="QD188" s="341"/>
      <c r="QE188" s="341"/>
      <c r="QF188" s="342"/>
      <c r="QG188" s="332"/>
      <c r="QH188" s="332"/>
      <c r="QI188" s="332"/>
      <c r="QJ188" s="332"/>
      <c r="QK188" s="332"/>
      <c r="QL188" s="332"/>
      <c r="QM188" s="158"/>
      <c r="QQ188" s="152"/>
      <c r="QR188" s="153"/>
      <c r="QS188" s="176"/>
      <c r="QT188" s="176"/>
      <c r="QU188" s="176"/>
      <c r="QV188" s="176"/>
      <c r="QW188" s="177"/>
      <c r="RK188" s="176"/>
      <c r="RL188" s="176"/>
      <c r="RM188" s="176"/>
      <c r="RN188" s="176"/>
      <c r="RO188" s="176"/>
      <c r="RP188" s="177"/>
    </row>
    <row r="189" spans="3:484" ht="5.0999999999999996" customHeight="1" x14ac:dyDescent="0.3">
      <c r="C189" s="149"/>
      <c r="D189" s="150"/>
      <c r="DE189" s="333"/>
      <c r="DF189" s="333"/>
      <c r="DG189" s="333"/>
      <c r="DH189" s="333"/>
      <c r="DI189" s="333"/>
      <c r="DJ189" s="333"/>
      <c r="DK189" s="333"/>
      <c r="DL189" s="333"/>
      <c r="DM189" s="333"/>
      <c r="DN189" s="333"/>
      <c r="DO189" s="333"/>
      <c r="DP189" s="333"/>
      <c r="DQ189" s="333"/>
      <c r="DR189" s="333"/>
      <c r="DS189" s="333"/>
      <c r="DT189" s="333"/>
      <c r="DU189" s="333"/>
      <c r="DV189" s="333"/>
      <c r="DW189" s="333"/>
      <c r="DX189" s="333"/>
      <c r="DY189" s="333"/>
      <c r="DZ189" s="333"/>
      <c r="EA189" s="333"/>
      <c r="EB189" s="333"/>
      <c r="EC189" s="333"/>
      <c r="ED189" s="333"/>
      <c r="EE189" s="333"/>
      <c r="EF189" s="333"/>
      <c r="EG189" s="333"/>
      <c r="EH189" s="333"/>
      <c r="EI189" s="333"/>
      <c r="EJ189" s="333"/>
      <c r="EK189" s="333"/>
      <c r="EL189" s="333"/>
      <c r="EM189" s="333"/>
      <c r="EN189" s="333"/>
      <c r="EO189" s="333"/>
      <c r="EP189" s="333"/>
      <c r="EQ189" s="333"/>
      <c r="ER189" s="333"/>
      <c r="ES189" s="333"/>
      <c r="ET189" s="333"/>
      <c r="EU189" s="333"/>
      <c r="EV189" s="333"/>
      <c r="EW189" s="333"/>
      <c r="EX189" s="333"/>
      <c r="EY189" s="333"/>
      <c r="EZ189" s="333"/>
      <c r="FE189" s="334"/>
      <c r="FF189" s="334"/>
      <c r="FG189" s="334"/>
      <c r="FH189" s="334"/>
      <c r="FI189" s="334"/>
      <c r="FJ189" s="334"/>
      <c r="FK189" s="334"/>
      <c r="FL189" s="334"/>
      <c r="FM189" s="334"/>
      <c r="FN189" s="334"/>
      <c r="FO189" s="334"/>
      <c r="FP189" s="334"/>
      <c r="FQ189" s="334"/>
      <c r="FR189" s="334"/>
      <c r="FS189" s="334"/>
      <c r="FT189" s="334"/>
      <c r="FU189" s="334"/>
      <c r="FV189" s="334"/>
      <c r="FW189" s="334"/>
      <c r="FX189" s="334"/>
      <c r="FY189" s="334"/>
      <c r="FZ189" s="334"/>
      <c r="GA189" s="334"/>
      <c r="GB189" s="334"/>
      <c r="GC189" s="334"/>
      <c r="GD189" s="334"/>
      <c r="GE189" s="334"/>
      <c r="GF189" s="334"/>
      <c r="GG189" s="334"/>
      <c r="GH189" s="334"/>
      <c r="GI189" s="334"/>
      <c r="GJ189" s="334"/>
      <c r="GK189" s="334"/>
      <c r="GL189" s="334"/>
      <c r="GM189" s="334"/>
      <c r="GN189" s="334"/>
      <c r="GO189" s="334"/>
      <c r="GP189" s="334"/>
      <c r="GQ189" s="334"/>
      <c r="GR189" s="334"/>
      <c r="GS189" s="334"/>
      <c r="GT189" s="334"/>
      <c r="GU189" s="334"/>
      <c r="GV189" s="334"/>
      <c r="GW189" s="334"/>
      <c r="GX189" s="334"/>
      <c r="GY189" s="334"/>
      <c r="GZ189" s="334"/>
      <c r="OS189" s="340"/>
      <c r="OT189" s="341"/>
      <c r="OU189" s="341"/>
      <c r="OV189" s="341"/>
      <c r="OW189" s="341"/>
      <c r="OX189" s="341"/>
      <c r="OY189" s="341"/>
      <c r="OZ189" s="341"/>
      <c r="PA189" s="341"/>
      <c r="PB189" s="341"/>
      <c r="PC189" s="341"/>
      <c r="PD189" s="341"/>
      <c r="PE189" s="341"/>
      <c r="PF189" s="341"/>
      <c r="PG189" s="341"/>
      <c r="PH189" s="341"/>
      <c r="PI189" s="341"/>
      <c r="PJ189" s="341"/>
      <c r="PK189" s="341"/>
      <c r="PL189" s="341"/>
      <c r="PM189" s="341"/>
      <c r="PN189" s="341"/>
      <c r="PO189" s="341"/>
      <c r="PP189" s="341"/>
      <c r="PQ189" s="341"/>
      <c r="PR189" s="341"/>
      <c r="PS189" s="341"/>
      <c r="PT189" s="341"/>
      <c r="PU189" s="341"/>
      <c r="PV189" s="341"/>
      <c r="PW189" s="341"/>
      <c r="PX189" s="341"/>
      <c r="PY189" s="341"/>
      <c r="PZ189" s="341"/>
      <c r="QA189" s="341"/>
      <c r="QB189" s="341"/>
      <c r="QC189" s="341"/>
      <c r="QD189" s="341"/>
      <c r="QE189" s="341"/>
      <c r="QF189" s="342"/>
      <c r="QG189" s="332"/>
      <c r="QH189" s="332"/>
      <c r="QI189" s="332"/>
      <c r="QJ189" s="332"/>
      <c r="QK189" s="332"/>
      <c r="QL189" s="332"/>
      <c r="QM189" s="158"/>
      <c r="QQ189" s="152"/>
      <c r="QR189" s="153"/>
      <c r="QS189" s="176"/>
      <c r="QT189" s="176"/>
      <c r="QU189" s="176"/>
      <c r="QV189" s="176"/>
      <c r="QW189" s="177"/>
      <c r="RK189" s="176"/>
      <c r="RL189" s="176"/>
      <c r="RM189" s="176"/>
      <c r="RN189" s="176"/>
      <c r="RO189" s="176"/>
      <c r="RP189" s="177"/>
    </row>
    <row r="190" spans="3:484" ht="5.0999999999999996" customHeight="1" x14ac:dyDescent="0.3">
      <c r="C190" s="149"/>
      <c r="D190" s="150"/>
      <c r="DE190" s="333"/>
      <c r="DF190" s="333"/>
      <c r="DG190" s="333"/>
      <c r="DH190" s="333"/>
      <c r="DI190" s="333"/>
      <c r="DJ190" s="333"/>
      <c r="DK190" s="333"/>
      <c r="DL190" s="333"/>
      <c r="DM190" s="333"/>
      <c r="DN190" s="333"/>
      <c r="DO190" s="333"/>
      <c r="DP190" s="333"/>
      <c r="DQ190" s="333"/>
      <c r="DR190" s="333"/>
      <c r="DS190" s="333"/>
      <c r="DT190" s="333"/>
      <c r="DU190" s="333"/>
      <c r="DV190" s="333"/>
      <c r="DW190" s="333"/>
      <c r="DX190" s="333"/>
      <c r="DY190" s="333"/>
      <c r="DZ190" s="333"/>
      <c r="EA190" s="333"/>
      <c r="EB190" s="333"/>
      <c r="EC190" s="333"/>
      <c r="ED190" s="333"/>
      <c r="EE190" s="333"/>
      <c r="EF190" s="333"/>
      <c r="EG190" s="333"/>
      <c r="EH190" s="333"/>
      <c r="EI190" s="333"/>
      <c r="EJ190" s="333"/>
      <c r="EK190" s="333"/>
      <c r="EL190" s="333"/>
      <c r="EM190" s="333"/>
      <c r="EN190" s="333"/>
      <c r="EO190" s="333"/>
      <c r="EP190" s="333"/>
      <c r="EQ190" s="333"/>
      <c r="ER190" s="333"/>
      <c r="ES190" s="333"/>
      <c r="ET190" s="333"/>
      <c r="EU190" s="333"/>
      <c r="EV190" s="333"/>
      <c r="EW190" s="333"/>
      <c r="EX190" s="333"/>
      <c r="EY190" s="333"/>
      <c r="EZ190" s="333"/>
      <c r="FE190" s="334"/>
      <c r="FF190" s="334"/>
      <c r="FG190" s="334"/>
      <c r="FH190" s="334"/>
      <c r="FI190" s="334"/>
      <c r="FJ190" s="334"/>
      <c r="FK190" s="334"/>
      <c r="FL190" s="334"/>
      <c r="FM190" s="334"/>
      <c r="FN190" s="334"/>
      <c r="FO190" s="334"/>
      <c r="FP190" s="334"/>
      <c r="FQ190" s="334"/>
      <c r="FR190" s="334"/>
      <c r="FS190" s="334"/>
      <c r="FT190" s="334"/>
      <c r="FU190" s="334"/>
      <c r="FV190" s="334"/>
      <c r="FW190" s="334"/>
      <c r="FX190" s="334"/>
      <c r="FY190" s="334"/>
      <c r="FZ190" s="334"/>
      <c r="GA190" s="334"/>
      <c r="GB190" s="334"/>
      <c r="GC190" s="334"/>
      <c r="GD190" s="334"/>
      <c r="GE190" s="334"/>
      <c r="GF190" s="334"/>
      <c r="GG190" s="334"/>
      <c r="GH190" s="334"/>
      <c r="GI190" s="334"/>
      <c r="GJ190" s="334"/>
      <c r="GK190" s="334"/>
      <c r="GL190" s="334"/>
      <c r="GM190" s="334"/>
      <c r="GN190" s="334"/>
      <c r="GO190" s="334"/>
      <c r="GP190" s="334"/>
      <c r="GQ190" s="334"/>
      <c r="GR190" s="334"/>
      <c r="GS190" s="334"/>
      <c r="GT190" s="334"/>
      <c r="GU190" s="334"/>
      <c r="GV190" s="334"/>
      <c r="GW190" s="334"/>
      <c r="GX190" s="334"/>
      <c r="GY190" s="334"/>
      <c r="GZ190" s="334"/>
      <c r="OS190" s="340"/>
      <c r="OT190" s="341"/>
      <c r="OU190" s="341"/>
      <c r="OV190" s="341"/>
      <c r="OW190" s="341"/>
      <c r="OX190" s="341"/>
      <c r="OY190" s="341"/>
      <c r="OZ190" s="341"/>
      <c r="PA190" s="341"/>
      <c r="PB190" s="341"/>
      <c r="PC190" s="341"/>
      <c r="PD190" s="341"/>
      <c r="PE190" s="341"/>
      <c r="PF190" s="341"/>
      <c r="PG190" s="341"/>
      <c r="PH190" s="341"/>
      <c r="PI190" s="341"/>
      <c r="PJ190" s="341"/>
      <c r="PK190" s="341"/>
      <c r="PL190" s="341"/>
      <c r="PM190" s="341"/>
      <c r="PN190" s="341"/>
      <c r="PO190" s="341"/>
      <c r="PP190" s="341"/>
      <c r="PQ190" s="341"/>
      <c r="PR190" s="341"/>
      <c r="PS190" s="341"/>
      <c r="PT190" s="341"/>
      <c r="PU190" s="341"/>
      <c r="PV190" s="341"/>
      <c r="PW190" s="341"/>
      <c r="PX190" s="341"/>
      <c r="PY190" s="341"/>
      <c r="PZ190" s="341"/>
      <c r="QA190" s="341"/>
      <c r="QB190" s="341"/>
      <c r="QC190" s="341"/>
      <c r="QD190" s="341"/>
      <c r="QE190" s="341"/>
      <c r="QF190" s="342"/>
      <c r="QG190" s="332"/>
      <c r="QH190" s="332"/>
      <c r="QI190" s="332"/>
      <c r="QJ190" s="332"/>
      <c r="QK190" s="332"/>
      <c r="QL190" s="332"/>
      <c r="QM190" s="158"/>
      <c r="QQ190" s="152"/>
      <c r="QR190" s="153"/>
    </row>
    <row r="191" spans="3:484" ht="5.0999999999999996" customHeight="1" x14ac:dyDescent="0.3">
      <c r="C191" s="149"/>
      <c r="D191" s="150"/>
      <c r="AX191" s="135">
        <v>3</v>
      </c>
      <c r="DE191" s="333"/>
      <c r="DF191" s="333"/>
      <c r="DG191" s="333"/>
      <c r="DH191" s="333"/>
      <c r="DI191" s="333"/>
      <c r="DJ191" s="333"/>
      <c r="DK191" s="333"/>
      <c r="DL191" s="333"/>
      <c r="DM191" s="333"/>
      <c r="DN191" s="333"/>
      <c r="DO191" s="333"/>
      <c r="DP191" s="333"/>
      <c r="DQ191" s="333"/>
      <c r="DR191" s="333"/>
      <c r="DS191" s="333"/>
      <c r="DT191" s="333"/>
      <c r="DU191" s="333"/>
      <c r="DV191" s="333"/>
      <c r="DW191" s="333"/>
      <c r="DX191" s="333"/>
      <c r="DY191" s="333"/>
      <c r="DZ191" s="333"/>
      <c r="EA191" s="333"/>
      <c r="EB191" s="333"/>
      <c r="EC191" s="333"/>
      <c r="ED191" s="333"/>
      <c r="EE191" s="333"/>
      <c r="EF191" s="333"/>
      <c r="EG191" s="333"/>
      <c r="EH191" s="333"/>
      <c r="EI191" s="333"/>
      <c r="EJ191" s="333"/>
      <c r="EK191" s="333"/>
      <c r="EL191" s="333"/>
      <c r="EM191" s="333"/>
      <c r="EN191" s="333"/>
      <c r="EO191" s="333"/>
      <c r="EP191" s="333"/>
      <c r="EQ191" s="333"/>
      <c r="ER191" s="333"/>
      <c r="ES191" s="333"/>
      <c r="ET191" s="333"/>
      <c r="EU191" s="333"/>
      <c r="EV191" s="333"/>
      <c r="EW191" s="333"/>
      <c r="EX191" s="333"/>
      <c r="EY191" s="333"/>
      <c r="EZ191" s="333"/>
      <c r="FE191" s="334"/>
      <c r="FF191" s="334"/>
      <c r="FG191" s="334"/>
      <c r="FH191" s="334"/>
      <c r="FI191" s="334"/>
      <c r="FJ191" s="334"/>
      <c r="FK191" s="334"/>
      <c r="FL191" s="334"/>
      <c r="FM191" s="334"/>
      <c r="FN191" s="334"/>
      <c r="FO191" s="334"/>
      <c r="FP191" s="334"/>
      <c r="FQ191" s="334"/>
      <c r="FR191" s="334"/>
      <c r="FS191" s="334"/>
      <c r="FT191" s="334"/>
      <c r="FU191" s="334"/>
      <c r="FV191" s="334"/>
      <c r="FW191" s="334"/>
      <c r="FX191" s="334"/>
      <c r="FY191" s="334"/>
      <c r="FZ191" s="334"/>
      <c r="GA191" s="334"/>
      <c r="GB191" s="334"/>
      <c r="GC191" s="334"/>
      <c r="GD191" s="334"/>
      <c r="GE191" s="334"/>
      <c r="GF191" s="334"/>
      <c r="GG191" s="334"/>
      <c r="GH191" s="334"/>
      <c r="GI191" s="334"/>
      <c r="GJ191" s="334"/>
      <c r="GK191" s="334"/>
      <c r="GL191" s="334"/>
      <c r="GM191" s="334"/>
      <c r="GN191" s="334"/>
      <c r="GO191" s="334"/>
      <c r="GP191" s="334"/>
      <c r="GQ191" s="334"/>
      <c r="GR191" s="334"/>
      <c r="GS191" s="334"/>
      <c r="GT191" s="334"/>
      <c r="GU191" s="334"/>
      <c r="GV191" s="334"/>
      <c r="GW191" s="334"/>
      <c r="GX191" s="334"/>
      <c r="GY191" s="334"/>
      <c r="GZ191" s="334"/>
      <c r="OS191" s="340"/>
      <c r="OT191" s="341"/>
      <c r="OU191" s="341"/>
      <c r="OV191" s="341"/>
      <c r="OW191" s="341"/>
      <c r="OX191" s="341"/>
      <c r="OY191" s="341"/>
      <c r="OZ191" s="341"/>
      <c r="PA191" s="341"/>
      <c r="PB191" s="341"/>
      <c r="PC191" s="341"/>
      <c r="PD191" s="341"/>
      <c r="PE191" s="341"/>
      <c r="PF191" s="341"/>
      <c r="PG191" s="341"/>
      <c r="PH191" s="341"/>
      <c r="PI191" s="341"/>
      <c r="PJ191" s="341"/>
      <c r="PK191" s="341"/>
      <c r="PL191" s="341"/>
      <c r="PM191" s="341"/>
      <c r="PN191" s="341"/>
      <c r="PO191" s="341"/>
      <c r="PP191" s="341"/>
      <c r="PQ191" s="341"/>
      <c r="PR191" s="341"/>
      <c r="PS191" s="341"/>
      <c r="PT191" s="341"/>
      <c r="PU191" s="341"/>
      <c r="PV191" s="341"/>
      <c r="PW191" s="341"/>
      <c r="PX191" s="341"/>
      <c r="PY191" s="341"/>
      <c r="PZ191" s="341"/>
      <c r="QA191" s="341"/>
      <c r="QB191" s="341"/>
      <c r="QC191" s="341"/>
      <c r="QD191" s="341"/>
      <c r="QE191" s="341"/>
      <c r="QF191" s="342"/>
      <c r="QG191" s="332"/>
      <c r="QH191" s="332"/>
      <c r="QI191" s="332"/>
      <c r="QJ191" s="332"/>
      <c r="QK191" s="332"/>
      <c r="QL191" s="332"/>
      <c r="QM191" s="158"/>
      <c r="QQ191" s="152"/>
      <c r="QR191" s="153"/>
    </row>
    <row r="192" spans="3:484" ht="5.0999999999999996" customHeight="1" x14ac:dyDescent="0.3">
      <c r="C192" s="149"/>
      <c r="D192" s="150"/>
      <c r="DE192" s="333"/>
      <c r="DF192" s="333"/>
      <c r="DG192" s="333"/>
      <c r="DH192" s="333"/>
      <c r="DI192" s="333"/>
      <c r="DJ192" s="333"/>
      <c r="DK192" s="333"/>
      <c r="DL192" s="333"/>
      <c r="DM192" s="333"/>
      <c r="DN192" s="333"/>
      <c r="DO192" s="333"/>
      <c r="DP192" s="333"/>
      <c r="DQ192" s="333"/>
      <c r="DR192" s="333"/>
      <c r="DS192" s="333"/>
      <c r="DT192" s="333"/>
      <c r="DU192" s="333"/>
      <c r="DV192" s="333"/>
      <c r="DW192" s="333"/>
      <c r="DX192" s="333"/>
      <c r="DY192" s="333"/>
      <c r="DZ192" s="333"/>
      <c r="EA192" s="333"/>
      <c r="EB192" s="333"/>
      <c r="EC192" s="333"/>
      <c r="ED192" s="333"/>
      <c r="EE192" s="333"/>
      <c r="EF192" s="333"/>
      <c r="EG192" s="333"/>
      <c r="EH192" s="333"/>
      <c r="EI192" s="333"/>
      <c r="EJ192" s="333"/>
      <c r="EK192" s="333"/>
      <c r="EL192" s="333"/>
      <c r="EM192" s="333"/>
      <c r="EN192" s="333"/>
      <c r="EO192" s="333"/>
      <c r="EP192" s="333"/>
      <c r="EQ192" s="333"/>
      <c r="ER192" s="333"/>
      <c r="ES192" s="333"/>
      <c r="ET192" s="333"/>
      <c r="EU192" s="333"/>
      <c r="EV192" s="333"/>
      <c r="EW192" s="333"/>
      <c r="EX192" s="333"/>
      <c r="EY192" s="333"/>
      <c r="EZ192" s="333"/>
      <c r="FE192" s="334"/>
      <c r="FF192" s="334"/>
      <c r="FG192" s="334"/>
      <c r="FH192" s="334"/>
      <c r="FI192" s="334"/>
      <c r="FJ192" s="334"/>
      <c r="FK192" s="334"/>
      <c r="FL192" s="334"/>
      <c r="FM192" s="334"/>
      <c r="FN192" s="334"/>
      <c r="FO192" s="334"/>
      <c r="FP192" s="334"/>
      <c r="FQ192" s="334"/>
      <c r="FR192" s="334"/>
      <c r="FS192" s="334"/>
      <c r="FT192" s="334"/>
      <c r="FU192" s="334"/>
      <c r="FV192" s="334"/>
      <c r="FW192" s="334"/>
      <c r="FX192" s="334"/>
      <c r="FY192" s="334"/>
      <c r="FZ192" s="334"/>
      <c r="GA192" s="334"/>
      <c r="GB192" s="334"/>
      <c r="GC192" s="334"/>
      <c r="GD192" s="334"/>
      <c r="GE192" s="334"/>
      <c r="GF192" s="334"/>
      <c r="GG192" s="334"/>
      <c r="GH192" s="334"/>
      <c r="GI192" s="334"/>
      <c r="GJ192" s="334"/>
      <c r="GK192" s="334"/>
      <c r="GL192" s="334"/>
      <c r="GM192" s="334"/>
      <c r="GN192" s="334"/>
      <c r="GO192" s="334"/>
      <c r="GP192" s="334"/>
      <c r="GQ192" s="334"/>
      <c r="GR192" s="334"/>
      <c r="GS192" s="334"/>
      <c r="GT192" s="334"/>
      <c r="GU192" s="334"/>
      <c r="GV192" s="334"/>
      <c r="GW192" s="334"/>
      <c r="GX192" s="334"/>
      <c r="GY192" s="334"/>
      <c r="GZ192" s="334"/>
      <c r="OS192" s="340"/>
      <c r="OT192" s="341"/>
      <c r="OU192" s="341"/>
      <c r="OV192" s="341"/>
      <c r="OW192" s="341"/>
      <c r="OX192" s="341"/>
      <c r="OY192" s="341"/>
      <c r="OZ192" s="341"/>
      <c r="PA192" s="341"/>
      <c r="PB192" s="341"/>
      <c r="PC192" s="341"/>
      <c r="PD192" s="341"/>
      <c r="PE192" s="341"/>
      <c r="PF192" s="341"/>
      <c r="PG192" s="341"/>
      <c r="PH192" s="341"/>
      <c r="PI192" s="341"/>
      <c r="PJ192" s="341"/>
      <c r="PK192" s="341"/>
      <c r="PL192" s="341"/>
      <c r="PM192" s="341"/>
      <c r="PN192" s="341"/>
      <c r="PO192" s="341"/>
      <c r="PP192" s="341"/>
      <c r="PQ192" s="341"/>
      <c r="PR192" s="341"/>
      <c r="PS192" s="341"/>
      <c r="PT192" s="341"/>
      <c r="PU192" s="341"/>
      <c r="PV192" s="341"/>
      <c r="PW192" s="341"/>
      <c r="PX192" s="341"/>
      <c r="PY192" s="341"/>
      <c r="PZ192" s="341"/>
      <c r="QA192" s="341"/>
      <c r="QB192" s="341"/>
      <c r="QC192" s="341"/>
      <c r="QD192" s="341"/>
      <c r="QE192" s="341"/>
      <c r="QF192" s="342"/>
      <c r="QG192" s="332"/>
      <c r="QH192" s="332"/>
      <c r="QI192" s="332"/>
      <c r="QJ192" s="332"/>
      <c r="QK192" s="332"/>
      <c r="QL192" s="332"/>
      <c r="QM192" s="158"/>
      <c r="QQ192" s="152"/>
      <c r="QR192" s="153"/>
      <c r="QS192" s="176"/>
      <c r="QT192" s="176"/>
      <c r="QU192" s="176"/>
      <c r="QV192" s="176"/>
      <c r="QW192" s="177"/>
      <c r="RK192" s="176"/>
      <c r="RL192" s="176"/>
      <c r="RM192" s="176"/>
      <c r="RN192" s="176"/>
      <c r="RO192" s="176"/>
      <c r="RP192" s="177"/>
    </row>
    <row r="193" spans="3:484" ht="5.0999999999999996" customHeight="1" x14ac:dyDescent="0.3">
      <c r="C193" s="149"/>
      <c r="D193" s="150"/>
      <c r="DE193" s="333"/>
      <c r="DF193" s="333"/>
      <c r="DG193" s="333"/>
      <c r="DH193" s="333"/>
      <c r="DI193" s="333"/>
      <c r="DJ193" s="333"/>
      <c r="DK193" s="333"/>
      <c r="DL193" s="333"/>
      <c r="DM193" s="333"/>
      <c r="DN193" s="333"/>
      <c r="DO193" s="333"/>
      <c r="DP193" s="333"/>
      <c r="DQ193" s="333"/>
      <c r="DR193" s="333"/>
      <c r="DS193" s="333"/>
      <c r="DT193" s="333"/>
      <c r="DU193" s="333"/>
      <c r="DV193" s="333"/>
      <c r="DW193" s="333"/>
      <c r="DX193" s="333"/>
      <c r="DY193" s="333"/>
      <c r="DZ193" s="333"/>
      <c r="EA193" s="333"/>
      <c r="EB193" s="333"/>
      <c r="EC193" s="333"/>
      <c r="ED193" s="333"/>
      <c r="EE193" s="333"/>
      <c r="EF193" s="333"/>
      <c r="EG193" s="333"/>
      <c r="EH193" s="333"/>
      <c r="EI193" s="333"/>
      <c r="EJ193" s="333"/>
      <c r="EK193" s="333"/>
      <c r="EL193" s="333"/>
      <c r="EM193" s="333"/>
      <c r="EN193" s="333"/>
      <c r="EO193" s="333"/>
      <c r="EP193" s="333"/>
      <c r="EQ193" s="333"/>
      <c r="ER193" s="333"/>
      <c r="ES193" s="333"/>
      <c r="ET193" s="333"/>
      <c r="EU193" s="333"/>
      <c r="EV193" s="333"/>
      <c r="EW193" s="333"/>
      <c r="EX193" s="333"/>
      <c r="EY193" s="333"/>
      <c r="EZ193" s="333"/>
      <c r="FE193" s="334"/>
      <c r="FF193" s="334"/>
      <c r="FG193" s="334"/>
      <c r="FH193" s="334"/>
      <c r="FI193" s="334"/>
      <c r="FJ193" s="334"/>
      <c r="FK193" s="334"/>
      <c r="FL193" s="334"/>
      <c r="FM193" s="334"/>
      <c r="FN193" s="334"/>
      <c r="FO193" s="334"/>
      <c r="FP193" s="334"/>
      <c r="FQ193" s="334"/>
      <c r="FR193" s="334"/>
      <c r="FS193" s="334"/>
      <c r="FT193" s="334"/>
      <c r="FU193" s="334"/>
      <c r="FV193" s="334"/>
      <c r="FW193" s="334"/>
      <c r="FX193" s="334"/>
      <c r="FY193" s="334"/>
      <c r="FZ193" s="334"/>
      <c r="GA193" s="334"/>
      <c r="GB193" s="334"/>
      <c r="GC193" s="334"/>
      <c r="GD193" s="334"/>
      <c r="GE193" s="334"/>
      <c r="GF193" s="334"/>
      <c r="GG193" s="334"/>
      <c r="GH193" s="334"/>
      <c r="GI193" s="334"/>
      <c r="GJ193" s="334"/>
      <c r="GK193" s="334"/>
      <c r="GL193" s="334"/>
      <c r="GM193" s="334"/>
      <c r="GN193" s="334"/>
      <c r="GO193" s="334"/>
      <c r="GP193" s="334"/>
      <c r="GQ193" s="334"/>
      <c r="GR193" s="334"/>
      <c r="GS193" s="334"/>
      <c r="GT193" s="334"/>
      <c r="GU193" s="334"/>
      <c r="GV193" s="334"/>
      <c r="GW193" s="334"/>
      <c r="GX193" s="334"/>
      <c r="GY193" s="334"/>
      <c r="GZ193" s="334"/>
      <c r="OS193" s="340"/>
      <c r="OT193" s="341"/>
      <c r="OU193" s="341"/>
      <c r="OV193" s="341"/>
      <c r="OW193" s="341"/>
      <c r="OX193" s="341"/>
      <c r="OY193" s="341"/>
      <c r="OZ193" s="341"/>
      <c r="PA193" s="341"/>
      <c r="PB193" s="341"/>
      <c r="PC193" s="341"/>
      <c r="PD193" s="341"/>
      <c r="PE193" s="341"/>
      <c r="PF193" s="341"/>
      <c r="PG193" s="341"/>
      <c r="PH193" s="341"/>
      <c r="PI193" s="341"/>
      <c r="PJ193" s="341"/>
      <c r="PK193" s="341"/>
      <c r="PL193" s="341"/>
      <c r="PM193" s="341"/>
      <c r="PN193" s="341"/>
      <c r="PO193" s="341"/>
      <c r="PP193" s="341"/>
      <c r="PQ193" s="341"/>
      <c r="PR193" s="341"/>
      <c r="PS193" s="341"/>
      <c r="PT193" s="341"/>
      <c r="PU193" s="341"/>
      <c r="PV193" s="341"/>
      <c r="PW193" s="341"/>
      <c r="PX193" s="341"/>
      <c r="PY193" s="341"/>
      <c r="PZ193" s="341"/>
      <c r="QA193" s="341"/>
      <c r="QB193" s="341"/>
      <c r="QC193" s="341"/>
      <c r="QD193" s="341"/>
      <c r="QE193" s="341"/>
      <c r="QF193" s="342"/>
      <c r="QG193" s="332"/>
      <c r="QH193" s="332"/>
      <c r="QI193" s="332"/>
      <c r="QJ193" s="332"/>
      <c r="QK193" s="332"/>
      <c r="QL193" s="332"/>
      <c r="QM193" s="158"/>
      <c r="QQ193" s="152"/>
      <c r="QR193" s="153"/>
      <c r="QS193" s="176"/>
      <c r="QT193" s="176"/>
      <c r="QU193" s="176"/>
      <c r="QV193" s="176"/>
      <c r="QW193" s="177"/>
      <c r="RK193" s="176"/>
      <c r="RL193" s="176"/>
      <c r="RM193" s="176"/>
      <c r="RN193" s="176"/>
      <c r="RO193" s="176"/>
      <c r="RP193" s="177"/>
    </row>
    <row r="194" spans="3:484" ht="5.0999999999999996" customHeight="1" x14ac:dyDescent="0.3">
      <c r="C194" s="149"/>
      <c r="D194" s="150"/>
      <c r="DE194" s="333"/>
      <c r="DF194" s="333"/>
      <c r="DG194" s="333"/>
      <c r="DH194" s="333"/>
      <c r="DI194" s="333"/>
      <c r="DJ194" s="333"/>
      <c r="DK194" s="333"/>
      <c r="DL194" s="333"/>
      <c r="DM194" s="333"/>
      <c r="DN194" s="333"/>
      <c r="DO194" s="333"/>
      <c r="DP194" s="333"/>
      <c r="DQ194" s="333"/>
      <c r="DR194" s="333"/>
      <c r="DS194" s="333"/>
      <c r="DT194" s="333"/>
      <c r="DU194" s="333"/>
      <c r="DV194" s="333"/>
      <c r="DW194" s="333"/>
      <c r="DX194" s="333"/>
      <c r="DY194" s="333"/>
      <c r="DZ194" s="333"/>
      <c r="EA194" s="333"/>
      <c r="EB194" s="333"/>
      <c r="EC194" s="333"/>
      <c r="ED194" s="333"/>
      <c r="EE194" s="333"/>
      <c r="EF194" s="333"/>
      <c r="EG194" s="333"/>
      <c r="EH194" s="333"/>
      <c r="EI194" s="333"/>
      <c r="EJ194" s="333"/>
      <c r="EK194" s="333"/>
      <c r="EL194" s="333"/>
      <c r="EM194" s="333"/>
      <c r="EN194" s="333"/>
      <c r="EO194" s="333"/>
      <c r="EP194" s="333"/>
      <c r="EQ194" s="333"/>
      <c r="ER194" s="333"/>
      <c r="ES194" s="333"/>
      <c r="ET194" s="333"/>
      <c r="EU194" s="333"/>
      <c r="EV194" s="333"/>
      <c r="EW194" s="333"/>
      <c r="EX194" s="333"/>
      <c r="EY194" s="333"/>
      <c r="EZ194" s="333"/>
      <c r="FE194" s="334"/>
      <c r="FF194" s="334"/>
      <c r="FG194" s="334"/>
      <c r="FH194" s="334"/>
      <c r="FI194" s="334"/>
      <c r="FJ194" s="334"/>
      <c r="FK194" s="334"/>
      <c r="FL194" s="334"/>
      <c r="FM194" s="334"/>
      <c r="FN194" s="334"/>
      <c r="FO194" s="334"/>
      <c r="FP194" s="334"/>
      <c r="FQ194" s="334"/>
      <c r="FR194" s="334"/>
      <c r="FS194" s="334"/>
      <c r="FT194" s="334"/>
      <c r="FU194" s="334"/>
      <c r="FV194" s="334"/>
      <c r="FW194" s="334"/>
      <c r="FX194" s="334"/>
      <c r="FY194" s="334"/>
      <c r="FZ194" s="334"/>
      <c r="GA194" s="334"/>
      <c r="GB194" s="334"/>
      <c r="GC194" s="334"/>
      <c r="GD194" s="334"/>
      <c r="GE194" s="334"/>
      <c r="GF194" s="334"/>
      <c r="GG194" s="334"/>
      <c r="GH194" s="334"/>
      <c r="GI194" s="334"/>
      <c r="GJ194" s="334"/>
      <c r="GK194" s="334"/>
      <c r="GL194" s="334"/>
      <c r="GM194" s="334"/>
      <c r="GN194" s="334"/>
      <c r="GO194" s="334"/>
      <c r="GP194" s="334"/>
      <c r="GQ194" s="334"/>
      <c r="GR194" s="334"/>
      <c r="GS194" s="334"/>
      <c r="GT194" s="334"/>
      <c r="GU194" s="334"/>
      <c r="GV194" s="334"/>
      <c r="GW194" s="334"/>
      <c r="GX194" s="334"/>
      <c r="GY194" s="334"/>
      <c r="GZ194" s="334"/>
      <c r="OS194" s="340"/>
      <c r="OT194" s="341"/>
      <c r="OU194" s="341"/>
      <c r="OV194" s="341"/>
      <c r="OW194" s="341"/>
      <c r="OX194" s="341"/>
      <c r="OY194" s="341"/>
      <c r="OZ194" s="341"/>
      <c r="PA194" s="341"/>
      <c r="PB194" s="341"/>
      <c r="PC194" s="341"/>
      <c r="PD194" s="341"/>
      <c r="PE194" s="341"/>
      <c r="PF194" s="341"/>
      <c r="PG194" s="341"/>
      <c r="PH194" s="341"/>
      <c r="PI194" s="341"/>
      <c r="PJ194" s="341"/>
      <c r="PK194" s="341"/>
      <c r="PL194" s="341"/>
      <c r="PM194" s="341"/>
      <c r="PN194" s="341"/>
      <c r="PO194" s="341"/>
      <c r="PP194" s="341"/>
      <c r="PQ194" s="341"/>
      <c r="PR194" s="341"/>
      <c r="PS194" s="341"/>
      <c r="PT194" s="341"/>
      <c r="PU194" s="341"/>
      <c r="PV194" s="341"/>
      <c r="PW194" s="341"/>
      <c r="PX194" s="341"/>
      <c r="PY194" s="341"/>
      <c r="PZ194" s="341"/>
      <c r="QA194" s="341"/>
      <c r="QB194" s="341"/>
      <c r="QC194" s="341"/>
      <c r="QD194" s="341"/>
      <c r="QE194" s="341"/>
      <c r="QF194" s="342"/>
      <c r="QG194" s="332"/>
      <c r="QH194" s="332"/>
      <c r="QI194" s="332"/>
      <c r="QJ194" s="332"/>
      <c r="QK194" s="332"/>
      <c r="QL194" s="332"/>
      <c r="QM194" s="158"/>
      <c r="QQ194" s="152"/>
      <c r="QR194" s="153"/>
      <c r="QS194" s="176"/>
      <c r="QT194" s="176"/>
      <c r="QU194" s="176"/>
      <c r="QV194" s="176"/>
      <c r="QW194" s="177"/>
      <c r="RK194" s="176"/>
      <c r="RL194" s="176"/>
      <c r="RM194" s="176"/>
      <c r="RN194" s="176"/>
      <c r="RO194" s="176"/>
      <c r="RP194" s="177"/>
    </row>
    <row r="195" spans="3:484" ht="5.0999999999999996" customHeight="1" x14ac:dyDescent="0.3">
      <c r="C195" s="149"/>
      <c r="D195" s="150"/>
      <c r="DE195" s="333"/>
      <c r="DF195" s="333"/>
      <c r="DG195" s="333"/>
      <c r="DH195" s="333"/>
      <c r="DI195" s="333"/>
      <c r="DJ195" s="333"/>
      <c r="DK195" s="333"/>
      <c r="DL195" s="333"/>
      <c r="DM195" s="333"/>
      <c r="DN195" s="333"/>
      <c r="DO195" s="333"/>
      <c r="DP195" s="333"/>
      <c r="DQ195" s="333"/>
      <c r="DR195" s="333"/>
      <c r="DS195" s="333"/>
      <c r="DT195" s="333"/>
      <c r="DU195" s="333"/>
      <c r="DV195" s="333"/>
      <c r="DW195" s="333"/>
      <c r="DX195" s="333"/>
      <c r="DY195" s="333"/>
      <c r="DZ195" s="333"/>
      <c r="EA195" s="333"/>
      <c r="EB195" s="333"/>
      <c r="EC195" s="333"/>
      <c r="ED195" s="333"/>
      <c r="EE195" s="333"/>
      <c r="EF195" s="333"/>
      <c r="EG195" s="333"/>
      <c r="EH195" s="333"/>
      <c r="EI195" s="333"/>
      <c r="EJ195" s="333"/>
      <c r="EK195" s="333"/>
      <c r="EL195" s="333"/>
      <c r="EM195" s="333"/>
      <c r="EN195" s="333"/>
      <c r="EO195" s="333"/>
      <c r="EP195" s="333"/>
      <c r="EQ195" s="333"/>
      <c r="ER195" s="333"/>
      <c r="ES195" s="333"/>
      <c r="ET195" s="333"/>
      <c r="EU195" s="333"/>
      <c r="EV195" s="333"/>
      <c r="EW195" s="333"/>
      <c r="EX195" s="333"/>
      <c r="EY195" s="333"/>
      <c r="EZ195" s="333"/>
      <c r="FE195" s="334"/>
      <c r="FF195" s="334"/>
      <c r="FG195" s="334"/>
      <c r="FH195" s="334"/>
      <c r="FI195" s="334"/>
      <c r="FJ195" s="334"/>
      <c r="FK195" s="334"/>
      <c r="FL195" s="334"/>
      <c r="FM195" s="334"/>
      <c r="FN195" s="334"/>
      <c r="FO195" s="334"/>
      <c r="FP195" s="334"/>
      <c r="FQ195" s="334"/>
      <c r="FR195" s="334"/>
      <c r="FS195" s="334"/>
      <c r="FT195" s="334"/>
      <c r="FU195" s="334"/>
      <c r="FV195" s="334"/>
      <c r="FW195" s="334"/>
      <c r="FX195" s="334"/>
      <c r="FY195" s="334"/>
      <c r="FZ195" s="334"/>
      <c r="GA195" s="334"/>
      <c r="GB195" s="334"/>
      <c r="GC195" s="334"/>
      <c r="GD195" s="334"/>
      <c r="GE195" s="334"/>
      <c r="GF195" s="334"/>
      <c r="GG195" s="334"/>
      <c r="GH195" s="334"/>
      <c r="GI195" s="334"/>
      <c r="GJ195" s="334"/>
      <c r="GK195" s="334"/>
      <c r="GL195" s="334"/>
      <c r="GM195" s="334"/>
      <c r="GN195" s="334"/>
      <c r="GO195" s="334"/>
      <c r="GP195" s="334"/>
      <c r="GQ195" s="334"/>
      <c r="GR195" s="334"/>
      <c r="GS195" s="334"/>
      <c r="GT195" s="334"/>
      <c r="GU195" s="334"/>
      <c r="GV195" s="334"/>
      <c r="GW195" s="334"/>
      <c r="GX195" s="334"/>
      <c r="GY195" s="334"/>
      <c r="GZ195" s="334"/>
      <c r="OS195" s="340"/>
      <c r="OT195" s="341"/>
      <c r="OU195" s="341"/>
      <c r="OV195" s="341"/>
      <c r="OW195" s="341"/>
      <c r="OX195" s="341"/>
      <c r="OY195" s="341"/>
      <c r="OZ195" s="341"/>
      <c r="PA195" s="341"/>
      <c r="PB195" s="341"/>
      <c r="PC195" s="341"/>
      <c r="PD195" s="341"/>
      <c r="PE195" s="341"/>
      <c r="PF195" s="341"/>
      <c r="PG195" s="341"/>
      <c r="PH195" s="341"/>
      <c r="PI195" s="341"/>
      <c r="PJ195" s="341"/>
      <c r="PK195" s="341"/>
      <c r="PL195" s="341"/>
      <c r="PM195" s="341"/>
      <c r="PN195" s="341"/>
      <c r="PO195" s="341"/>
      <c r="PP195" s="341"/>
      <c r="PQ195" s="341"/>
      <c r="PR195" s="341"/>
      <c r="PS195" s="341"/>
      <c r="PT195" s="341"/>
      <c r="PU195" s="341"/>
      <c r="PV195" s="341"/>
      <c r="PW195" s="341"/>
      <c r="PX195" s="341"/>
      <c r="PY195" s="341"/>
      <c r="PZ195" s="341"/>
      <c r="QA195" s="341"/>
      <c r="QB195" s="341"/>
      <c r="QC195" s="341"/>
      <c r="QD195" s="341"/>
      <c r="QE195" s="341"/>
      <c r="QF195" s="342"/>
      <c r="QG195" s="332"/>
      <c r="QH195" s="332"/>
      <c r="QI195" s="332"/>
      <c r="QJ195" s="332"/>
      <c r="QK195" s="332"/>
      <c r="QL195" s="332"/>
      <c r="QM195" s="158"/>
      <c r="QQ195" s="152"/>
      <c r="QR195" s="153"/>
      <c r="QS195" s="176"/>
      <c r="QT195" s="176"/>
      <c r="QU195" s="176"/>
      <c r="QV195" s="176"/>
      <c r="QW195" s="177"/>
      <c r="RK195" s="176"/>
      <c r="RL195" s="176"/>
      <c r="RM195" s="176"/>
      <c r="RN195" s="176"/>
      <c r="RO195" s="176"/>
      <c r="RP195" s="177"/>
    </row>
    <row r="196" spans="3:484" ht="5.0999999999999996" customHeight="1" thickBot="1" x14ac:dyDescent="0.35">
      <c r="C196" s="149"/>
      <c r="D196" s="150"/>
      <c r="DE196" s="333"/>
      <c r="DF196" s="333"/>
      <c r="DG196" s="333"/>
      <c r="DH196" s="333"/>
      <c r="DI196" s="333"/>
      <c r="DJ196" s="333"/>
      <c r="DK196" s="333"/>
      <c r="DL196" s="333"/>
      <c r="DM196" s="333"/>
      <c r="DN196" s="333"/>
      <c r="DO196" s="333"/>
      <c r="DP196" s="333"/>
      <c r="DQ196" s="333"/>
      <c r="DR196" s="333"/>
      <c r="DS196" s="333"/>
      <c r="DT196" s="333"/>
      <c r="DU196" s="333"/>
      <c r="DV196" s="333"/>
      <c r="DW196" s="333"/>
      <c r="DX196" s="333"/>
      <c r="DY196" s="333"/>
      <c r="DZ196" s="333"/>
      <c r="EA196" s="333"/>
      <c r="EB196" s="333"/>
      <c r="EC196" s="333"/>
      <c r="ED196" s="333"/>
      <c r="EE196" s="333"/>
      <c r="EF196" s="333"/>
      <c r="EG196" s="333"/>
      <c r="EH196" s="333"/>
      <c r="EI196" s="333"/>
      <c r="EJ196" s="333"/>
      <c r="EK196" s="333"/>
      <c r="EL196" s="333"/>
      <c r="EM196" s="333"/>
      <c r="EN196" s="333"/>
      <c r="EO196" s="333"/>
      <c r="EP196" s="333"/>
      <c r="EQ196" s="333"/>
      <c r="ER196" s="333"/>
      <c r="ES196" s="333"/>
      <c r="ET196" s="333"/>
      <c r="EU196" s="333"/>
      <c r="EV196" s="333"/>
      <c r="EW196" s="333"/>
      <c r="EX196" s="333"/>
      <c r="EY196" s="333"/>
      <c r="EZ196" s="333"/>
      <c r="FE196" s="334"/>
      <c r="FF196" s="334"/>
      <c r="FG196" s="334"/>
      <c r="FH196" s="334"/>
      <c r="FI196" s="334"/>
      <c r="FJ196" s="334"/>
      <c r="FK196" s="334"/>
      <c r="FL196" s="334"/>
      <c r="FM196" s="334"/>
      <c r="FN196" s="334"/>
      <c r="FO196" s="334"/>
      <c r="FP196" s="334"/>
      <c r="FQ196" s="334"/>
      <c r="FR196" s="334"/>
      <c r="FS196" s="334"/>
      <c r="FT196" s="334"/>
      <c r="FU196" s="334"/>
      <c r="FV196" s="334"/>
      <c r="FW196" s="334"/>
      <c r="FX196" s="334"/>
      <c r="FY196" s="334"/>
      <c r="FZ196" s="334"/>
      <c r="GA196" s="334"/>
      <c r="GB196" s="334"/>
      <c r="GC196" s="334"/>
      <c r="GD196" s="334"/>
      <c r="GE196" s="334"/>
      <c r="GF196" s="334"/>
      <c r="GG196" s="334"/>
      <c r="GH196" s="334"/>
      <c r="GI196" s="334"/>
      <c r="GJ196" s="334"/>
      <c r="GK196" s="334"/>
      <c r="GL196" s="334"/>
      <c r="GM196" s="334"/>
      <c r="GN196" s="334"/>
      <c r="GO196" s="334"/>
      <c r="GP196" s="334"/>
      <c r="GQ196" s="334"/>
      <c r="GR196" s="334"/>
      <c r="GS196" s="334"/>
      <c r="GT196" s="334"/>
      <c r="GU196" s="334"/>
      <c r="GV196" s="334"/>
      <c r="GW196" s="334"/>
      <c r="GX196" s="334"/>
      <c r="GY196" s="334"/>
      <c r="GZ196" s="334"/>
      <c r="OS196" s="343"/>
      <c r="OT196" s="344"/>
      <c r="OU196" s="344"/>
      <c r="OV196" s="344"/>
      <c r="OW196" s="344"/>
      <c r="OX196" s="344"/>
      <c r="OY196" s="344"/>
      <c r="OZ196" s="344"/>
      <c r="PA196" s="344"/>
      <c r="PB196" s="344"/>
      <c r="PC196" s="344"/>
      <c r="PD196" s="344"/>
      <c r="PE196" s="344"/>
      <c r="PF196" s="344"/>
      <c r="PG196" s="344"/>
      <c r="PH196" s="344"/>
      <c r="PI196" s="344"/>
      <c r="PJ196" s="344"/>
      <c r="PK196" s="344"/>
      <c r="PL196" s="344"/>
      <c r="PM196" s="344"/>
      <c r="PN196" s="344"/>
      <c r="PO196" s="344"/>
      <c r="PP196" s="344"/>
      <c r="PQ196" s="344"/>
      <c r="PR196" s="344"/>
      <c r="PS196" s="344"/>
      <c r="PT196" s="344"/>
      <c r="PU196" s="344"/>
      <c r="PV196" s="344"/>
      <c r="PW196" s="344"/>
      <c r="PX196" s="344"/>
      <c r="PY196" s="344"/>
      <c r="PZ196" s="344"/>
      <c r="QA196" s="344"/>
      <c r="QB196" s="344"/>
      <c r="QC196" s="344"/>
      <c r="QD196" s="344"/>
      <c r="QE196" s="344"/>
      <c r="QF196" s="345"/>
      <c r="QG196" s="332"/>
      <c r="QH196" s="332"/>
      <c r="QI196" s="332"/>
      <c r="QJ196" s="332"/>
      <c r="QK196" s="332"/>
      <c r="QL196" s="332"/>
      <c r="QM196" s="188"/>
      <c r="QQ196" s="152"/>
      <c r="QR196" s="153"/>
      <c r="QS196" s="176"/>
      <c r="QT196" s="176"/>
      <c r="QU196" s="176"/>
      <c r="QV196" s="176"/>
      <c r="QW196" s="177"/>
      <c r="RK196" s="176"/>
      <c r="RL196" s="176"/>
      <c r="RM196" s="176"/>
      <c r="RN196" s="176"/>
      <c r="RO196" s="176"/>
      <c r="RP196" s="177"/>
    </row>
    <row r="197" spans="3:484" ht="5.0999999999999996" customHeight="1" x14ac:dyDescent="0.3">
      <c r="C197" s="149"/>
      <c r="D197" s="150"/>
      <c r="DE197" s="333"/>
      <c r="DF197" s="333"/>
      <c r="DG197" s="333"/>
      <c r="DH197" s="333"/>
      <c r="DI197" s="333"/>
      <c r="DJ197" s="333"/>
      <c r="DK197" s="333"/>
      <c r="DL197" s="333"/>
      <c r="DM197" s="333"/>
      <c r="DN197" s="333"/>
      <c r="DO197" s="333"/>
      <c r="DP197" s="333"/>
      <c r="DQ197" s="333"/>
      <c r="DR197" s="333"/>
      <c r="DS197" s="333"/>
      <c r="DT197" s="333"/>
      <c r="DU197" s="333"/>
      <c r="DV197" s="333"/>
      <c r="DW197" s="333"/>
      <c r="DX197" s="333"/>
      <c r="DY197" s="333"/>
      <c r="DZ197" s="333"/>
      <c r="EA197" s="333"/>
      <c r="EB197" s="333"/>
      <c r="EC197" s="333"/>
      <c r="ED197" s="333"/>
      <c r="EE197" s="333"/>
      <c r="EF197" s="333"/>
      <c r="EG197" s="333"/>
      <c r="EH197" s="333"/>
      <c r="EI197" s="333"/>
      <c r="EJ197" s="333"/>
      <c r="EK197" s="333"/>
      <c r="EL197" s="333"/>
      <c r="EM197" s="333"/>
      <c r="EN197" s="333"/>
      <c r="EO197" s="333"/>
      <c r="EP197" s="333"/>
      <c r="EQ197" s="333"/>
      <c r="ER197" s="333"/>
      <c r="ES197" s="333"/>
      <c r="ET197" s="333"/>
      <c r="EU197" s="333"/>
      <c r="EV197" s="333"/>
      <c r="EW197" s="333"/>
      <c r="EX197" s="333"/>
      <c r="EY197" s="333"/>
      <c r="EZ197" s="333"/>
      <c r="FE197" s="334"/>
      <c r="FF197" s="334"/>
      <c r="FG197" s="334"/>
      <c r="FH197" s="334"/>
      <c r="FI197" s="334"/>
      <c r="FJ197" s="334"/>
      <c r="FK197" s="334"/>
      <c r="FL197" s="334"/>
      <c r="FM197" s="334"/>
      <c r="FN197" s="334"/>
      <c r="FO197" s="334"/>
      <c r="FP197" s="334"/>
      <c r="FQ197" s="334"/>
      <c r="FR197" s="334"/>
      <c r="FS197" s="334"/>
      <c r="FT197" s="334"/>
      <c r="FU197" s="334"/>
      <c r="FV197" s="334"/>
      <c r="FW197" s="334"/>
      <c r="FX197" s="334"/>
      <c r="FY197" s="334"/>
      <c r="FZ197" s="334"/>
      <c r="GA197" s="334"/>
      <c r="GB197" s="334"/>
      <c r="GC197" s="334"/>
      <c r="GD197" s="334"/>
      <c r="GE197" s="334"/>
      <c r="GF197" s="334"/>
      <c r="GG197" s="334"/>
      <c r="GH197" s="334"/>
      <c r="GI197" s="334"/>
      <c r="GJ197" s="334"/>
      <c r="GK197" s="334"/>
      <c r="GL197" s="334"/>
      <c r="GM197" s="334"/>
      <c r="GN197" s="334"/>
      <c r="GO197" s="334"/>
      <c r="GP197" s="334"/>
      <c r="GQ197" s="334"/>
      <c r="GR197" s="334"/>
      <c r="GS197" s="334"/>
      <c r="GT197" s="334"/>
      <c r="GU197" s="334"/>
      <c r="GV197" s="334"/>
      <c r="GW197" s="334"/>
      <c r="GX197" s="334"/>
      <c r="GY197" s="334"/>
      <c r="GZ197" s="334"/>
      <c r="OS197" s="270" t="s">
        <v>313</v>
      </c>
      <c r="OT197" s="271"/>
      <c r="OU197" s="271"/>
      <c r="OV197" s="271"/>
      <c r="OW197" s="271"/>
      <c r="OX197" s="271"/>
      <c r="OY197" s="271"/>
      <c r="OZ197" s="271"/>
      <c r="PA197" s="271"/>
      <c r="PB197" s="271"/>
      <c r="PC197" s="271"/>
      <c r="PD197" s="271"/>
      <c r="PE197" s="271"/>
      <c r="PF197" s="271"/>
      <c r="PG197" s="271"/>
      <c r="PH197" s="271"/>
      <c r="PI197" s="271"/>
      <c r="PJ197" s="271"/>
      <c r="PK197" s="271"/>
      <c r="PL197" s="271"/>
      <c r="PM197" s="271"/>
      <c r="PN197" s="271"/>
      <c r="PO197" s="271"/>
      <c r="PP197" s="271"/>
      <c r="PQ197" s="271"/>
      <c r="PR197" s="271"/>
      <c r="PS197" s="271"/>
      <c r="PT197" s="271"/>
      <c r="PU197" s="271"/>
      <c r="PV197" s="271"/>
      <c r="PW197" s="271"/>
      <c r="PX197" s="271"/>
      <c r="PY197" s="271"/>
      <c r="PZ197" s="271"/>
      <c r="QA197" s="271"/>
      <c r="QB197" s="271"/>
      <c r="QC197" s="271"/>
      <c r="QD197" s="271"/>
      <c r="QE197" s="271"/>
      <c r="QF197" s="272"/>
      <c r="QG197" s="270">
        <v>54</v>
      </c>
      <c r="QH197" s="271"/>
      <c r="QI197" s="271"/>
      <c r="QJ197" s="271"/>
      <c r="QK197" s="271"/>
      <c r="QL197" s="272"/>
      <c r="QQ197" s="152"/>
      <c r="QR197" s="153"/>
      <c r="QS197" s="176"/>
      <c r="QT197" s="176"/>
      <c r="QU197" s="176"/>
      <c r="QV197" s="176"/>
      <c r="QW197" s="177"/>
      <c r="RK197" s="176"/>
      <c r="RL197" s="176"/>
      <c r="RM197" s="176"/>
      <c r="RN197" s="176"/>
      <c r="RO197" s="176"/>
      <c r="RP197" s="177"/>
    </row>
    <row r="198" spans="3:484" ht="5.0999999999999996" customHeight="1" x14ac:dyDescent="0.3">
      <c r="C198" s="149"/>
      <c r="D198" s="150"/>
      <c r="DE198" s="333"/>
      <c r="DF198" s="333"/>
      <c r="DG198" s="333"/>
      <c r="DH198" s="333"/>
      <c r="DI198" s="333"/>
      <c r="DJ198" s="333"/>
      <c r="DK198" s="333"/>
      <c r="DL198" s="333"/>
      <c r="DM198" s="333"/>
      <c r="DN198" s="333"/>
      <c r="DO198" s="333"/>
      <c r="DP198" s="333"/>
      <c r="DQ198" s="333"/>
      <c r="DR198" s="333"/>
      <c r="DS198" s="333"/>
      <c r="DT198" s="333"/>
      <c r="DU198" s="333"/>
      <c r="DV198" s="333"/>
      <c r="DW198" s="333"/>
      <c r="DX198" s="333"/>
      <c r="DY198" s="333"/>
      <c r="DZ198" s="333"/>
      <c r="EA198" s="333"/>
      <c r="EB198" s="333"/>
      <c r="EC198" s="333"/>
      <c r="ED198" s="333"/>
      <c r="EE198" s="333"/>
      <c r="EF198" s="333"/>
      <c r="EG198" s="333"/>
      <c r="EH198" s="333"/>
      <c r="EI198" s="333"/>
      <c r="EJ198" s="333"/>
      <c r="EK198" s="333"/>
      <c r="EL198" s="333"/>
      <c r="EM198" s="333"/>
      <c r="EN198" s="333"/>
      <c r="EO198" s="333"/>
      <c r="EP198" s="333"/>
      <c r="EQ198" s="333"/>
      <c r="ER198" s="333"/>
      <c r="ES198" s="333"/>
      <c r="ET198" s="333"/>
      <c r="EU198" s="333"/>
      <c r="EV198" s="333"/>
      <c r="EW198" s="333"/>
      <c r="EX198" s="333"/>
      <c r="EY198" s="333"/>
      <c r="EZ198" s="333"/>
      <c r="FE198" s="334"/>
      <c r="FF198" s="334"/>
      <c r="FG198" s="334"/>
      <c r="FH198" s="334"/>
      <c r="FI198" s="334"/>
      <c r="FJ198" s="334"/>
      <c r="FK198" s="334"/>
      <c r="FL198" s="334"/>
      <c r="FM198" s="334"/>
      <c r="FN198" s="334"/>
      <c r="FO198" s="334"/>
      <c r="FP198" s="334"/>
      <c r="FQ198" s="334"/>
      <c r="FR198" s="334"/>
      <c r="FS198" s="334"/>
      <c r="FT198" s="334"/>
      <c r="FU198" s="334"/>
      <c r="FV198" s="334"/>
      <c r="FW198" s="334"/>
      <c r="FX198" s="334"/>
      <c r="FY198" s="334"/>
      <c r="FZ198" s="334"/>
      <c r="GA198" s="334"/>
      <c r="GB198" s="334"/>
      <c r="GC198" s="334"/>
      <c r="GD198" s="334"/>
      <c r="GE198" s="334"/>
      <c r="GF198" s="334"/>
      <c r="GG198" s="334"/>
      <c r="GH198" s="334"/>
      <c r="GI198" s="334"/>
      <c r="GJ198" s="334"/>
      <c r="GK198" s="334"/>
      <c r="GL198" s="334"/>
      <c r="GM198" s="334"/>
      <c r="GN198" s="334"/>
      <c r="GO198" s="334"/>
      <c r="GP198" s="334"/>
      <c r="GQ198" s="334"/>
      <c r="GR198" s="334"/>
      <c r="GS198" s="334"/>
      <c r="GT198" s="334"/>
      <c r="GU198" s="334"/>
      <c r="GV198" s="334"/>
      <c r="GW198" s="334"/>
      <c r="GX198" s="334"/>
      <c r="GY198" s="334"/>
      <c r="GZ198" s="334"/>
      <c r="OS198" s="273"/>
      <c r="OT198" s="274"/>
      <c r="OU198" s="274"/>
      <c r="OV198" s="274"/>
      <c r="OW198" s="274"/>
      <c r="OX198" s="274"/>
      <c r="OY198" s="274"/>
      <c r="OZ198" s="274"/>
      <c r="PA198" s="274"/>
      <c r="PB198" s="274"/>
      <c r="PC198" s="274"/>
      <c r="PD198" s="274"/>
      <c r="PE198" s="274"/>
      <c r="PF198" s="274"/>
      <c r="PG198" s="274"/>
      <c r="PH198" s="274"/>
      <c r="PI198" s="274"/>
      <c r="PJ198" s="274"/>
      <c r="PK198" s="274"/>
      <c r="PL198" s="274"/>
      <c r="PM198" s="274"/>
      <c r="PN198" s="274"/>
      <c r="PO198" s="274"/>
      <c r="PP198" s="274"/>
      <c r="PQ198" s="274"/>
      <c r="PR198" s="274"/>
      <c r="PS198" s="274"/>
      <c r="PT198" s="274"/>
      <c r="PU198" s="274"/>
      <c r="PV198" s="274"/>
      <c r="PW198" s="274"/>
      <c r="PX198" s="274"/>
      <c r="PY198" s="274"/>
      <c r="PZ198" s="274"/>
      <c r="QA198" s="274"/>
      <c r="QB198" s="274"/>
      <c r="QC198" s="274"/>
      <c r="QD198" s="274"/>
      <c r="QE198" s="274"/>
      <c r="QF198" s="275"/>
      <c r="QG198" s="273"/>
      <c r="QH198" s="274"/>
      <c r="QI198" s="274"/>
      <c r="QJ198" s="274"/>
      <c r="QK198" s="274"/>
      <c r="QL198" s="275"/>
      <c r="QQ198" s="152"/>
      <c r="QR198" s="153"/>
      <c r="QS198" s="176"/>
      <c r="QT198" s="176"/>
      <c r="QU198" s="176"/>
      <c r="QV198" s="176"/>
      <c r="QW198" s="177"/>
      <c r="RK198" s="176"/>
      <c r="RL198" s="176"/>
      <c r="RM198" s="176"/>
      <c r="RN198" s="176"/>
      <c r="RO198" s="176"/>
      <c r="RP198" s="177"/>
    </row>
    <row r="199" spans="3:484" ht="5.0999999999999996" customHeight="1" x14ac:dyDescent="0.3">
      <c r="C199" s="149"/>
      <c r="D199" s="150"/>
      <c r="DE199" s="333"/>
      <c r="DF199" s="333"/>
      <c r="DG199" s="333"/>
      <c r="DH199" s="333"/>
      <c r="DI199" s="333"/>
      <c r="DJ199" s="333"/>
      <c r="DK199" s="333"/>
      <c r="DL199" s="333"/>
      <c r="DM199" s="333"/>
      <c r="DN199" s="333"/>
      <c r="DO199" s="333"/>
      <c r="DP199" s="333"/>
      <c r="DQ199" s="333"/>
      <c r="DR199" s="333"/>
      <c r="DS199" s="333"/>
      <c r="DT199" s="333"/>
      <c r="DU199" s="333"/>
      <c r="DV199" s="333"/>
      <c r="DW199" s="333"/>
      <c r="DX199" s="333"/>
      <c r="DY199" s="333"/>
      <c r="DZ199" s="333"/>
      <c r="EA199" s="333"/>
      <c r="EB199" s="333"/>
      <c r="EC199" s="333"/>
      <c r="ED199" s="333"/>
      <c r="EE199" s="333"/>
      <c r="EF199" s="333"/>
      <c r="EG199" s="333"/>
      <c r="EH199" s="333"/>
      <c r="EI199" s="333"/>
      <c r="EJ199" s="333"/>
      <c r="EK199" s="333"/>
      <c r="EL199" s="333"/>
      <c r="EM199" s="333"/>
      <c r="EN199" s="333"/>
      <c r="EO199" s="333"/>
      <c r="EP199" s="333"/>
      <c r="EQ199" s="333"/>
      <c r="ER199" s="333"/>
      <c r="ES199" s="333"/>
      <c r="ET199" s="333"/>
      <c r="EU199" s="333"/>
      <c r="EV199" s="333"/>
      <c r="EW199" s="333"/>
      <c r="EX199" s="333"/>
      <c r="EY199" s="333"/>
      <c r="EZ199" s="333"/>
      <c r="FE199" s="334"/>
      <c r="FF199" s="334"/>
      <c r="FG199" s="334"/>
      <c r="FH199" s="334"/>
      <c r="FI199" s="334"/>
      <c r="FJ199" s="334"/>
      <c r="FK199" s="334"/>
      <c r="FL199" s="334"/>
      <c r="FM199" s="334"/>
      <c r="FN199" s="334"/>
      <c r="FO199" s="334"/>
      <c r="FP199" s="334"/>
      <c r="FQ199" s="334"/>
      <c r="FR199" s="334"/>
      <c r="FS199" s="334"/>
      <c r="FT199" s="334"/>
      <c r="FU199" s="334"/>
      <c r="FV199" s="334"/>
      <c r="FW199" s="334"/>
      <c r="FX199" s="334"/>
      <c r="FY199" s="334"/>
      <c r="FZ199" s="334"/>
      <c r="GA199" s="334"/>
      <c r="GB199" s="334"/>
      <c r="GC199" s="334"/>
      <c r="GD199" s="334"/>
      <c r="GE199" s="334"/>
      <c r="GF199" s="334"/>
      <c r="GG199" s="334"/>
      <c r="GH199" s="334"/>
      <c r="GI199" s="334"/>
      <c r="GJ199" s="334"/>
      <c r="GK199" s="334"/>
      <c r="GL199" s="334"/>
      <c r="GM199" s="334"/>
      <c r="GN199" s="334"/>
      <c r="GO199" s="334"/>
      <c r="GP199" s="334"/>
      <c r="GQ199" s="334"/>
      <c r="GR199" s="334"/>
      <c r="GS199" s="334"/>
      <c r="GT199" s="334"/>
      <c r="GU199" s="334"/>
      <c r="GV199" s="334"/>
      <c r="GW199" s="334"/>
      <c r="GX199" s="334"/>
      <c r="GY199" s="334"/>
      <c r="GZ199" s="334"/>
      <c r="OS199" s="273"/>
      <c r="OT199" s="274"/>
      <c r="OU199" s="274"/>
      <c r="OV199" s="274"/>
      <c r="OW199" s="274"/>
      <c r="OX199" s="274"/>
      <c r="OY199" s="274"/>
      <c r="OZ199" s="274"/>
      <c r="PA199" s="274"/>
      <c r="PB199" s="274"/>
      <c r="PC199" s="274"/>
      <c r="PD199" s="274"/>
      <c r="PE199" s="274"/>
      <c r="PF199" s="274"/>
      <c r="PG199" s="274"/>
      <c r="PH199" s="274"/>
      <c r="PI199" s="274"/>
      <c r="PJ199" s="274"/>
      <c r="PK199" s="274"/>
      <c r="PL199" s="274"/>
      <c r="PM199" s="274"/>
      <c r="PN199" s="274"/>
      <c r="PO199" s="274"/>
      <c r="PP199" s="274"/>
      <c r="PQ199" s="274"/>
      <c r="PR199" s="274"/>
      <c r="PS199" s="274"/>
      <c r="PT199" s="274"/>
      <c r="PU199" s="274"/>
      <c r="PV199" s="274"/>
      <c r="PW199" s="274"/>
      <c r="PX199" s="274"/>
      <c r="PY199" s="274"/>
      <c r="PZ199" s="274"/>
      <c r="QA199" s="274"/>
      <c r="QB199" s="274"/>
      <c r="QC199" s="274"/>
      <c r="QD199" s="274"/>
      <c r="QE199" s="274"/>
      <c r="QF199" s="275"/>
      <c r="QG199" s="273"/>
      <c r="QH199" s="274"/>
      <c r="QI199" s="274"/>
      <c r="QJ199" s="274"/>
      <c r="QK199" s="274"/>
      <c r="QL199" s="275"/>
      <c r="QQ199" s="152"/>
      <c r="QR199" s="153"/>
      <c r="QS199" s="176"/>
      <c r="QT199" s="176"/>
      <c r="QU199" s="176"/>
      <c r="QV199" s="176"/>
      <c r="QW199" s="177"/>
      <c r="RK199" s="176"/>
      <c r="RL199" s="176"/>
      <c r="RM199" s="176"/>
      <c r="RN199" s="176"/>
      <c r="RO199" s="176"/>
      <c r="RP199" s="177"/>
    </row>
    <row r="200" spans="3:484" ht="5.0999999999999996" customHeight="1" x14ac:dyDescent="0.3">
      <c r="C200" s="149"/>
      <c r="D200" s="150"/>
      <c r="DE200" s="333"/>
      <c r="DF200" s="333"/>
      <c r="DG200" s="333"/>
      <c r="DH200" s="333"/>
      <c r="DI200" s="333"/>
      <c r="DJ200" s="333"/>
      <c r="DK200" s="333"/>
      <c r="DL200" s="333"/>
      <c r="DM200" s="333"/>
      <c r="DN200" s="333"/>
      <c r="DO200" s="333"/>
      <c r="DP200" s="333"/>
      <c r="DQ200" s="333"/>
      <c r="DR200" s="333"/>
      <c r="DS200" s="333"/>
      <c r="DT200" s="333"/>
      <c r="DU200" s="333"/>
      <c r="DV200" s="333"/>
      <c r="DW200" s="333"/>
      <c r="DX200" s="333"/>
      <c r="DY200" s="333"/>
      <c r="DZ200" s="333"/>
      <c r="EA200" s="333"/>
      <c r="EB200" s="333"/>
      <c r="EC200" s="333"/>
      <c r="ED200" s="333"/>
      <c r="EE200" s="333"/>
      <c r="EF200" s="333"/>
      <c r="EG200" s="333"/>
      <c r="EH200" s="333"/>
      <c r="EI200" s="333"/>
      <c r="EJ200" s="333"/>
      <c r="EK200" s="333"/>
      <c r="EL200" s="333"/>
      <c r="EM200" s="333"/>
      <c r="EN200" s="333"/>
      <c r="EO200" s="333"/>
      <c r="EP200" s="333"/>
      <c r="EQ200" s="333"/>
      <c r="ER200" s="333"/>
      <c r="ES200" s="333"/>
      <c r="ET200" s="333"/>
      <c r="EU200" s="333"/>
      <c r="EV200" s="333"/>
      <c r="EW200" s="333"/>
      <c r="EX200" s="333"/>
      <c r="EY200" s="333"/>
      <c r="EZ200" s="333"/>
      <c r="FE200" s="334"/>
      <c r="FF200" s="334"/>
      <c r="FG200" s="334"/>
      <c r="FH200" s="334"/>
      <c r="FI200" s="334"/>
      <c r="FJ200" s="334"/>
      <c r="FK200" s="334"/>
      <c r="FL200" s="334"/>
      <c r="FM200" s="334"/>
      <c r="FN200" s="334"/>
      <c r="FO200" s="334"/>
      <c r="FP200" s="334"/>
      <c r="FQ200" s="334"/>
      <c r="FR200" s="334"/>
      <c r="FS200" s="334"/>
      <c r="FT200" s="334"/>
      <c r="FU200" s="334"/>
      <c r="FV200" s="334"/>
      <c r="FW200" s="334"/>
      <c r="FX200" s="334"/>
      <c r="FY200" s="334"/>
      <c r="FZ200" s="334"/>
      <c r="GA200" s="334"/>
      <c r="GB200" s="334"/>
      <c r="GC200" s="334"/>
      <c r="GD200" s="334"/>
      <c r="GE200" s="334"/>
      <c r="GF200" s="334"/>
      <c r="GG200" s="334"/>
      <c r="GH200" s="334"/>
      <c r="GI200" s="334"/>
      <c r="GJ200" s="334"/>
      <c r="GK200" s="334"/>
      <c r="GL200" s="334"/>
      <c r="GM200" s="334"/>
      <c r="GN200" s="334"/>
      <c r="GO200" s="334"/>
      <c r="GP200" s="334"/>
      <c r="GQ200" s="334"/>
      <c r="GR200" s="334"/>
      <c r="GS200" s="334"/>
      <c r="GT200" s="334"/>
      <c r="GU200" s="334"/>
      <c r="GV200" s="334"/>
      <c r="GW200" s="334"/>
      <c r="GX200" s="334"/>
      <c r="GY200" s="334"/>
      <c r="GZ200" s="334"/>
      <c r="OS200" s="273"/>
      <c r="OT200" s="274"/>
      <c r="OU200" s="274"/>
      <c r="OV200" s="274"/>
      <c r="OW200" s="274"/>
      <c r="OX200" s="274"/>
      <c r="OY200" s="274"/>
      <c r="OZ200" s="274"/>
      <c r="PA200" s="274"/>
      <c r="PB200" s="274"/>
      <c r="PC200" s="274"/>
      <c r="PD200" s="274"/>
      <c r="PE200" s="274"/>
      <c r="PF200" s="274"/>
      <c r="PG200" s="274"/>
      <c r="PH200" s="274"/>
      <c r="PI200" s="274"/>
      <c r="PJ200" s="274"/>
      <c r="PK200" s="274"/>
      <c r="PL200" s="274"/>
      <c r="PM200" s="274"/>
      <c r="PN200" s="274"/>
      <c r="PO200" s="274"/>
      <c r="PP200" s="274"/>
      <c r="PQ200" s="274"/>
      <c r="PR200" s="274"/>
      <c r="PS200" s="274"/>
      <c r="PT200" s="274"/>
      <c r="PU200" s="274"/>
      <c r="PV200" s="274"/>
      <c r="PW200" s="274"/>
      <c r="PX200" s="274"/>
      <c r="PY200" s="274"/>
      <c r="PZ200" s="274"/>
      <c r="QA200" s="274"/>
      <c r="QB200" s="274"/>
      <c r="QC200" s="274"/>
      <c r="QD200" s="274"/>
      <c r="QE200" s="274"/>
      <c r="QF200" s="275"/>
      <c r="QG200" s="273"/>
      <c r="QH200" s="274"/>
      <c r="QI200" s="274"/>
      <c r="QJ200" s="274"/>
      <c r="QK200" s="274"/>
      <c r="QL200" s="275"/>
      <c r="QQ200" s="152"/>
      <c r="QR200" s="153"/>
      <c r="QS200" s="176"/>
      <c r="QT200" s="176"/>
      <c r="QU200" s="176"/>
      <c r="QV200" s="176"/>
      <c r="QW200" s="177"/>
      <c r="RK200" s="176"/>
      <c r="RL200" s="176"/>
      <c r="RM200" s="176"/>
      <c r="RN200" s="176"/>
      <c r="RO200" s="176"/>
      <c r="RP200" s="177"/>
    </row>
    <row r="201" spans="3:484" ht="5.0999999999999996" customHeight="1" x14ac:dyDescent="0.3">
      <c r="C201" s="149"/>
      <c r="D201" s="150"/>
      <c r="AX201" s="135">
        <v>2</v>
      </c>
      <c r="DE201" s="333"/>
      <c r="DF201" s="333"/>
      <c r="DG201" s="333"/>
      <c r="DH201" s="333"/>
      <c r="DI201" s="333"/>
      <c r="DJ201" s="333"/>
      <c r="DK201" s="333"/>
      <c r="DL201" s="333"/>
      <c r="DM201" s="333"/>
      <c r="DN201" s="333"/>
      <c r="DO201" s="333"/>
      <c r="DP201" s="333"/>
      <c r="DQ201" s="333"/>
      <c r="DR201" s="333"/>
      <c r="DS201" s="333"/>
      <c r="DT201" s="333"/>
      <c r="DU201" s="333"/>
      <c r="DV201" s="333"/>
      <c r="DW201" s="333"/>
      <c r="DX201" s="333"/>
      <c r="DY201" s="333"/>
      <c r="DZ201" s="333"/>
      <c r="EA201" s="333"/>
      <c r="EB201" s="333"/>
      <c r="EC201" s="333"/>
      <c r="ED201" s="333"/>
      <c r="EE201" s="333"/>
      <c r="EF201" s="333"/>
      <c r="EG201" s="333"/>
      <c r="EH201" s="333"/>
      <c r="EI201" s="333"/>
      <c r="EJ201" s="333"/>
      <c r="EK201" s="333"/>
      <c r="EL201" s="333"/>
      <c r="EM201" s="333"/>
      <c r="EN201" s="333"/>
      <c r="EO201" s="333"/>
      <c r="EP201" s="333"/>
      <c r="EQ201" s="333"/>
      <c r="ER201" s="333"/>
      <c r="ES201" s="333"/>
      <c r="ET201" s="333"/>
      <c r="EU201" s="333"/>
      <c r="EV201" s="333"/>
      <c r="EW201" s="333"/>
      <c r="EX201" s="333"/>
      <c r="EY201" s="333"/>
      <c r="EZ201" s="333"/>
      <c r="FE201" s="334"/>
      <c r="FF201" s="334"/>
      <c r="FG201" s="334"/>
      <c r="FH201" s="334"/>
      <c r="FI201" s="334"/>
      <c r="FJ201" s="334"/>
      <c r="FK201" s="334"/>
      <c r="FL201" s="334"/>
      <c r="FM201" s="334"/>
      <c r="FN201" s="334"/>
      <c r="FO201" s="334"/>
      <c r="FP201" s="334"/>
      <c r="FQ201" s="334"/>
      <c r="FR201" s="334"/>
      <c r="FS201" s="334"/>
      <c r="FT201" s="334"/>
      <c r="FU201" s="334"/>
      <c r="FV201" s="334"/>
      <c r="FW201" s="334"/>
      <c r="FX201" s="334"/>
      <c r="FY201" s="334"/>
      <c r="FZ201" s="334"/>
      <c r="GA201" s="334"/>
      <c r="GB201" s="334"/>
      <c r="GC201" s="334"/>
      <c r="GD201" s="334"/>
      <c r="GE201" s="334"/>
      <c r="GF201" s="334"/>
      <c r="GG201" s="334"/>
      <c r="GH201" s="334"/>
      <c r="GI201" s="334"/>
      <c r="GJ201" s="334"/>
      <c r="GK201" s="334"/>
      <c r="GL201" s="334"/>
      <c r="GM201" s="334"/>
      <c r="GN201" s="334"/>
      <c r="GO201" s="334"/>
      <c r="GP201" s="334"/>
      <c r="GQ201" s="334"/>
      <c r="GR201" s="334"/>
      <c r="GS201" s="334"/>
      <c r="GT201" s="334"/>
      <c r="GU201" s="334"/>
      <c r="GV201" s="334"/>
      <c r="GW201" s="334"/>
      <c r="GX201" s="334"/>
      <c r="GY201" s="334"/>
      <c r="GZ201" s="334"/>
      <c r="OS201" s="273"/>
      <c r="OT201" s="274"/>
      <c r="OU201" s="274"/>
      <c r="OV201" s="274"/>
      <c r="OW201" s="274"/>
      <c r="OX201" s="274"/>
      <c r="OY201" s="274"/>
      <c r="OZ201" s="274"/>
      <c r="PA201" s="274"/>
      <c r="PB201" s="274"/>
      <c r="PC201" s="274"/>
      <c r="PD201" s="274"/>
      <c r="PE201" s="274"/>
      <c r="PF201" s="274"/>
      <c r="PG201" s="274"/>
      <c r="PH201" s="274"/>
      <c r="PI201" s="274"/>
      <c r="PJ201" s="274"/>
      <c r="PK201" s="274"/>
      <c r="PL201" s="274"/>
      <c r="PM201" s="274"/>
      <c r="PN201" s="274"/>
      <c r="PO201" s="274"/>
      <c r="PP201" s="274"/>
      <c r="PQ201" s="274"/>
      <c r="PR201" s="274"/>
      <c r="PS201" s="274"/>
      <c r="PT201" s="274"/>
      <c r="PU201" s="274"/>
      <c r="PV201" s="274"/>
      <c r="PW201" s="274"/>
      <c r="PX201" s="274"/>
      <c r="PY201" s="274"/>
      <c r="PZ201" s="274"/>
      <c r="QA201" s="274"/>
      <c r="QB201" s="274"/>
      <c r="QC201" s="274"/>
      <c r="QD201" s="274"/>
      <c r="QE201" s="274"/>
      <c r="QF201" s="275"/>
      <c r="QG201" s="273"/>
      <c r="QH201" s="274"/>
      <c r="QI201" s="274"/>
      <c r="QJ201" s="274"/>
      <c r="QK201" s="274"/>
      <c r="QL201" s="275"/>
      <c r="QQ201" s="152"/>
      <c r="QR201" s="153"/>
      <c r="QS201" s="176"/>
      <c r="QT201" s="176"/>
      <c r="QU201" s="176"/>
      <c r="QV201" s="176"/>
      <c r="QW201" s="177"/>
      <c r="RK201" s="176"/>
      <c r="RL201" s="176"/>
      <c r="RM201" s="176"/>
      <c r="RN201" s="176"/>
      <c r="RO201" s="176"/>
      <c r="RP201" s="177"/>
    </row>
    <row r="202" spans="3:484" ht="5.0999999999999996" customHeight="1" x14ac:dyDescent="0.3">
      <c r="C202" s="149"/>
      <c r="D202" s="150"/>
      <c r="DE202" s="333"/>
      <c r="DF202" s="333"/>
      <c r="DG202" s="333"/>
      <c r="DH202" s="333"/>
      <c r="DI202" s="333"/>
      <c r="DJ202" s="333"/>
      <c r="DK202" s="333"/>
      <c r="DL202" s="333"/>
      <c r="DM202" s="333"/>
      <c r="DN202" s="333"/>
      <c r="DO202" s="333"/>
      <c r="DP202" s="333"/>
      <c r="DQ202" s="333"/>
      <c r="DR202" s="333"/>
      <c r="DS202" s="333"/>
      <c r="DT202" s="333"/>
      <c r="DU202" s="333"/>
      <c r="DV202" s="333"/>
      <c r="DW202" s="333"/>
      <c r="DX202" s="333"/>
      <c r="DY202" s="333"/>
      <c r="DZ202" s="333"/>
      <c r="EA202" s="333"/>
      <c r="EB202" s="333"/>
      <c r="EC202" s="333"/>
      <c r="ED202" s="333"/>
      <c r="EE202" s="333"/>
      <c r="EF202" s="333"/>
      <c r="EG202" s="333"/>
      <c r="EH202" s="333"/>
      <c r="EI202" s="333"/>
      <c r="EJ202" s="333"/>
      <c r="EK202" s="333"/>
      <c r="EL202" s="333"/>
      <c r="EM202" s="333"/>
      <c r="EN202" s="333"/>
      <c r="EO202" s="333"/>
      <c r="EP202" s="333"/>
      <c r="EQ202" s="333"/>
      <c r="ER202" s="333"/>
      <c r="ES202" s="333"/>
      <c r="ET202" s="333"/>
      <c r="EU202" s="333"/>
      <c r="EV202" s="333"/>
      <c r="EW202" s="333"/>
      <c r="EX202" s="333"/>
      <c r="EY202" s="333"/>
      <c r="EZ202" s="333"/>
      <c r="FE202" s="334"/>
      <c r="FF202" s="334"/>
      <c r="FG202" s="334"/>
      <c r="FH202" s="334"/>
      <c r="FI202" s="334"/>
      <c r="FJ202" s="334"/>
      <c r="FK202" s="334"/>
      <c r="FL202" s="334"/>
      <c r="FM202" s="334"/>
      <c r="FN202" s="334"/>
      <c r="FO202" s="334"/>
      <c r="FP202" s="334"/>
      <c r="FQ202" s="334"/>
      <c r="FR202" s="334"/>
      <c r="FS202" s="334"/>
      <c r="FT202" s="334"/>
      <c r="FU202" s="334"/>
      <c r="FV202" s="334"/>
      <c r="FW202" s="334"/>
      <c r="FX202" s="334"/>
      <c r="FY202" s="334"/>
      <c r="FZ202" s="334"/>
      <c r="GA202" s="334"/>
      <c r="GB202" s="334"/>
      <c r="GC202" s="334"/>
      <c r="GD202" s="334"/>
      <c r="GE202" s="334"/>
      <c r="GF202" s="334"/>
      <c r="GG202" s="334"/>
      <c r="GH202" s="334"/>
      <c r="GI202" s="334"/>
      <c r="GJ202" s="334"/>
      <c r="GK202" s="334"/>
      <c r="GL202" s="334"/>
      <c r="GM202" s="334"/>
      <c r="GN202" s="334"/>
      <c r="GO202" s="334"/>
      <c r="GP202" s="334"/>
      <c r="GQ202" s="334"/>
      <c r="GR202" s="334"/>
      <c r="GS202" s="334"/>
      <c r="GT202" s="334"/>
      <c r="GU202" s="334"/>
      <c r="GV202" s="334"/>
      <c r="GW202" s="334"/>
      <c r="GX202" s="334"/>
      <c r="GY202" s="334"/>
      <c r="GZ202" s="334"/>
      <c r="OS202" s="273"/>
      <c r="OT202" s="274"/>
      <c r="OU202" s="274"/>
      <c r="OV202" s="274"/>
      <c r="OW202" s="274"/>
      <c r="OX202" s="274"/>
      <c r="OY202" s="274"/>
      <c r="OZ202" s="274"/>
      <c r="PA202" s="274"/>
      <c r="PB202" s="274"/>
      <c r="PC202" s="274"/>
      <c r="PD202" s="274"/>
      <c r="PE202" s="274"/>
      <c r="PF202" s="274"/>
      <c r="PG202" s="274"/>
      <c r="PH202" s="274"/>
      <c r="PI202" s="274"/>
      <c r="PJ202" s="274"/>
      <c r="PK202" s="274"/>
      <c r="PL202" s="274"/>
      <c r="PM202" s="274"/>
      <c r="PN202" s="274"/>
      <c r="PO202" s="274"/>
      <c r="PP202" s="274"/>
      <c r="PQ202" s="274"/>
      <c r="PR202" s="274"/>
      <c r="PS202" s="274"/>
      <c r="PT202" s="274"/>
      <c r="PU202" s="274"/>
      <c r="PV202" s="274"/>
      <c r="PW202" s="274"/>
      <c r="PX202" s="274"/>
      <c r="PY202" s="274"/>
      <c r="PZ202" s="274"/>
      <c r="QA202" s="274"/>
      <c r="QB202" s="274"/>
      <c r="QC202" s="274"/>
      <c r="QD202" s="274"/>
      <c r="QE202" s="274"/>
      <c r="QF202" s="275"/>
      <c r="QG202" s="273"/>
      <c r="QH202" s="274"/>
      <c r="QI202" s="274"/>
      <c r="QJ202" s="274"/>
      <c r="QK202" s="274"/>
      <c r="QL202" s="275"/>
      <c r="QQ202" s="152"/>
      <c r="QR202" s="153"/>
      <c r="QS202" s="176"/>
      <c r="QT202" s="176"/>
      <c r="QU202" s="176"/>
      <c r="QV202" s="176"/>
      <c r="QW202" s="177"/>
      <c r="RK202" s="176"/>
      <c r="RL202" s="176"/>
      <c r="RM202" s="176"/>
      <c r="RN202" s="176"/>
      <c r="RO202" s="176"/>
      <c r="RP202" s="177"/>
    </row>
    <row r="203" spans="3:484" ht="5.0999999999999996" customHeight="1" x14ac:dyDescent="0.3">
      <c r="C203" s="149"/>
      <c r="D203" s="150"/>
      <c r="DE203" s="333"/>
      <c r="DF203" s="333"/>
      <c r="DG203" s="333"/>
      <c r="DH203" s="333"/>
      <c r="DI203" s="333"/>
      <c r="DJ203" s="333"/>
      <c r="DK203" s="333"/>
      <c r="DL203" s="333"/>
      <c r="DM203" s="333"/>
      <c r="DN203" s="333"/>
      <c r="DO203" s="333"/>
      <c r="DP203" s="333"/>
      <c r="DQ203" s="333"/>
      <c r="DR203" s="333"/>
      <c r="DS203" s="333"/>
      <c r="DT203" s="333"/>
      <c r="DU203" s="333"/>
      <c r="DV203" s="333"/>
      <c r="DW203" s="333"/>
      <c r="DX203" s="333"/>
      <c r="DY203" s="333"/>
      <c r="DZ203" s="333"/>
      <c r="EA203" s="333"/>
      <c r="EB203" s="333"/>
      <c r="EC203" s="333"/>
      <c r="ED203" s="333"/>
      <c r="EE203" s="333"/>
      <c r="EF203" s="333"/>
      <c r="EG203" s="333"/>
      <c r="EH203" s="333"/>
      <c r="EI203" s="333"/>
      <c r="EJ203" s="333"/>
      <c r="EK203" s="333"/>
      <c r="EL203" s="333"/>
      <c r="EM203" s="333"/>
      <c r="EN203" s="333"/>
      <c r="EO203" s="333"/>
      <c r="EP203" s="333"/>
      <c r="EQ203" s="333"/>
      <c r="ER203" s="333"/>
      <c r="ES203" s="333"/>
      <c r="ET203" s="333"/>
      <c r="EU203" s="333"/>
      <c r="EV203" s="333"/>
      <c r="EW203" s="333"/>
      <c r="EX203" s="333"/>
      <c r="EY203" s="333"/>
      <c r="EZ203" s="333"/>
      <c r="FE203" s="334"/>
      <c r="FF203" s="334"/>
      <c r="FG203" s="334"/>
      <c r="FH203" s="334"/>
      <c r="FI203" s="334"/>
      <c r="FJ203" s="334"/>
      <c r="FK203" s="334"/>
      <c r="FL203" s="334"/>
      <c r="FM203" s="334"/>
      <c r="FN203" s="334"/>
      <c r="FO203" s="334"/>
      <c r="FP203" s="334"/>
      <c r="FQ203" s="334"/>
      <c r="FR203" s="334"/>
      <c r="FS203" s="334"/>
      <c r="FT203" s="334"/>
      <c r="FU203" s="334"/>
      <c r="FV203" s="334"/>
      <c r="FW203" s="334"/>
      <c r="FX203" s="334"/>
      <c r="FY203" s="334"/>
      <c r="FZ203" s="334"/>
      <c r="GA203" s="334"/>
      <c r="GB203" s="334"/>
      <c r="GC203" s="334"/>
      <c r="GD203" s="334"/>
      <c r="GE203" s="334"/>
      <c r="GF203" s="334"/>
      <c r="GG203" s="334"/>
      <c r="GH203" s="334"/>
      <c r="GI203" s="334"/>
      <c r="GJ203" s="334"/>
      <c r="GK203" s="334"/>
      <c r="GL203" s="334"/>
      <c r="GM203" s="334"/>
      <c r="GN203" s="334"/>
      <c r="GO203" s="334"/>
      <c r="GP203" s="334"/>
      <c r="GQ203" s="334"/>
      <c r="GR203" s="334"/>
      <c r="GS203" s="334"/>
      <c r="GT203" s="334"/>
      <c r="GU203" s="334"/>
      <c r="GV203" s="334"/>
      <c r="GW203" s="334"/>
      <c r="GX203" s="334"/>
      <c r="GY203" s="334"/>
      <c r="GZ203" s="334"/>
      <c r="OS203" s="273"/>
      <c r="OT203" s="274"/>
      <c r="OU203" s="274"/>
      <c r="OV203" s="274"/>
      <c r="OW203" s="274"/>
      <c r="OX203" s="274"/>
      <c r="OY203" s="274"/>
      <c r="OZ203" s="274"/>
      <c r="PA203" s="274"/>
      <c r="PB203" s="274"/>
      <c r="PC203" s="274"/>
      <c r="PD203" s="274"/>
      <c r="PE203" s="274"/>
      <c r="PF203" s="274"/>
      <c r="PG203" s="274"/>
      <c r="PH203" s="274"/>
      <c r="PI203" s="274"/>
      <c r="PJ203" s="274"/>
      <c r="PK203" s="274"/>
      <c r="PL203" s="274"/>
      <c r="PM203" s="274"/>
      <c r="PN203" s="274"/>
      <c r="PO203" s="274"/>
      <c r="PP203" s="274"/>
      <c r="PQ203" s="274"/>
      <c r="PR203" s="274"/>
      <c r="PS203" s="274"/>
      <c r="PT203" s="274"/>
      <c r="PU203" s="274"/>
      <c r="PV203" s="274"/>
      <c r="PW203" s="274"/>
      <c r="PX203" s="274"/>
      <c r="PY203" s="274"/>
      <c r="PZ203" s="274"/>
      <c r="QA203" s="274"/>
      <c r="QB203" s="274"/>
      <c r="QC203" s="274"/>
      <c r="QD203" s="274"/>
      <c r="QE203" s="274"/>
      <c r="QF203" s="275"/>
      <c r="QG203" s="273"/>
      <c r="QH203" s="274"/>
      <c r="QI203" s="274"/>
      <c r="QJ203" s="274"/>
      <c r="QK203" s="274"/>
      <c r="QL203" s="275"/>
      <c r="QQ203" s="152"/>
      <c r="QR203" s="153"/>
      <c r="QS203" s="176"/>
      <c r="QT203" s="176"/>
      <c r="QU203" s="176"/>
      <c r="QV203" s="176"/>
      <c r="QW203" s="177"/>
      <c r="RK203" s="176"/>
      <c r="RL203" s="176"/>
      <c r="RM203" s="176"/>
      <c r="RN203" s="176"/>
      <c r="RO203" s="176"/>
      <c r="RP203" s="177"/>
    </row>
    <row r="204" spans="3:484" ht="5.0999999999999996" customHeight="1" x14ac:dyDescent="0.3">
      <c r="C204" s="149"/>
      <c r="D204" s="150"/>
      <c r="DE204" s="333"/>
      <c r="DF204" s="333"/>
      <c r="DG204" s="333"/>
      <c r="DH204" s="333"/>
      <c r="DI204" s="333"/>
      <c r="DJ204" s="333"/>
      <c r="DK204" s="333"/>
      <c r="DL204" s="333"/>
      <c r="DM204" s="333"/>
      <c r="DN204" s="333"/>
      <c r="DO204" s="333"/>
      <c r="DP204" s="333"/>
      <c r="DQ204" s="333"/>
      <c r="DR204" s="333"/>
      <c r="DS204" s="333"/>
      <c r="DT204" s="333"/>
      <c r="DU204" s="333"/>
      <c r="DV204" s="333"/>
      <c r="DW204" s="333"/>
      <c r="DX204" s="333"/>
      <c r="DY204" s="333"/>
      <c r="DZ204" s="333"/>
      <c r="EA204" s="333"/>
      <c r="EB204" s="333"/>
      <c r="EC204" s="333"/>
      <c r="ED204" s="333"/>
      <c r="EE204" s="333"/>
      <c r="EF204" s="333"/>
      <c r="EG204" s="333"/>
      <c r="EH204" s="333"/>
      <c r="EI204" s="333"/>
      <c r="EJ204" s="333"/>
      <c r="EK204" s="333"/>
      <c r="EL204" s="333"/>
      <c r="EM204" s="333"/>
      <c r="EN204" s="333"/>
      <c r="EO204" s="333"/>
      <c r="EP204" s="333"/>
      <c r="EQ204" s="333"/>
      <c r="ER204" s="333"/>
      <c r="ES204" s="333"/>
      <c r="ET204" s="333"/>
      <c r="EU204" s="333"/>
      <c r="EV204" s="333"/>
      <c r="EW204" s="333"/>
      <c r="EX204" s="333"/>
      <c r="EY204" s="333"/>
      <c r="EZ204" s="333"/>
      <c r="FE204" s="334"/>
      <c r="FF204" s="334"/>
      <c r="FG204" s="334"/>
      <c r="FH204" s="334"/>
      <c r="FI204" s="334"/>
      <c r="FJ204" s="334"/>
      <c r="FK204" s="334"/>
      <c r="FL204" s="334"/>
      <c r="FM204" s="334"/>
      <c r="FN204" s="334"/>
      <c r="FO204" s="334"/>
      <c r="FP204" s="334"/>
      <c r="FQ204" s="334"/>
      <c r="FR204" s="334"/>
      <c r="FS204" s="334"/>
      <c r="FT204" s="334"/>
      <c r="FU204" s="334"/>
      <c r="FV204" s="334"/>
      <c r="FW204" s="334"/>
      <c r="FX204" s="334"/>
      <c r="FY204" s="334"/>
      <c r="FZ204" s="334"/>
      <c r="GA204" s="334"/>
      <c r="GB204" s="334"/>
      <c r="GC204" s="334"/>
      <c r="GD204" s="334"/>
      <c r="GE204" s="334"/>
      <c r="GF204" s="334"/>
      <c r="GG204" s="334"/>
      <c r="GH204" s="334"/>
      <c r="GI204" s="334"/>
      <c r="GJ204" s="334"/>
      <c r="GK204" s="334"/>
      <c r="GL204" s="334"/>
      <c r="GM204" s="334"/>
      <c r="GN204" s="334"/>
      <c r="GO204" s="334"/>
      <c r="GP204" s="334"/>
      <c r="GQ204" s="334"/>
      <c r="GR204" s="334"/>
      <c r="GS204" s="334"/>
      <c r="GT204" s="334"/>
      <c r="GU204" s="334"/>
      <c r="GV204" s="334"/>
      <c r="GW204" s="334"/>
      <c r="GX204" s="334"/>
      <c r="GY204" s="334"/>
      <c r="GZ204" s="334"/>
      <c r="OS204" s="273"/>
      <c r="OT204" s="274"/>
      <c r="OU204" s="274"/>
      <c r="OV204" s="274"/>
      <c r="OW204" s="274"/>
      <c r="OX204" s="274"/>
      <c r="OY204" s="274"/>
      <c r="OZ204" s="274"/>
      <c r="PA204" s="274"/>
      <c r="PB204" s="274"/>
      <c r="PC204" s="274"/>
      <c r="PD204" s="274"/>
      <c r="PE204" s="274"/>
      <c r="PF204" s="274"/>
      <c r="PG204" s="274"/>
      <c r="PH204" s="274"/>
      <c r="PI204" s="274"/>
      <c r="PJ204" s="274"/>
      <c r="PK204" s="274"/>
      <c r="PL204" s="274"/>
      <c r="PM204" s="274"/>
      <c r="PN204" s="274"/>
      <c r="PO204" s="274"/>
      <c r="PP204" s="274"/>
      <c r="PQ204" s="274"/>
      <c r="PR204" s="274"/>
      <c r="PS204" s="274"/>
      <c r="PT204" s="274"/>
      <c r="PU204" s="274"/>
      <c r="PV204" s="274"/>
      <c r="PW204" s="274"/>
      <c r="PX204" s="274"/>
      <c r="PY204" s="274"/>
      <c r="PZ204" s="274"/>
      <c r="QA204" s="274"/>
      <c r="QB204" s="274"/>
      <c r="QC204" s="274"/>
      <c r="QD204" s="274"/>
      <c r="QE204" s="274"/>
      <c r="QF204" s="275"/>
      <c r="QG204" s="273"/>
      <c r="QH204" s="274"/>
      <c r="QI204" s="274"/>
      <c r="QJ204" s="274"/>
      <c r="QK204" s="274"/>
      <c r="QL204" s="275"/>
      <c r="QQ204" s="152"/>
      <c r="QR204" s="153"/>
      <c r="QS204" s="176"/>
      <c r="QT204" s="176"/>
      <c r="QU204" s="176"/>
      <c r="QV204" s="176"/>
      <c r="QW204" s="177"/>
      <c r="RK204" s="176"/>
      <c r="RL204" s="176"/>
      <c r="RM204" s="176"/>
      <c r="RN204" s="176"/>
      <c r="RO204" s="176"/>
      <c r="RP204" s="177"/>
    </row>
    <row r="205" spans="3:484" ht="5.0999999999999996" customHeight="1" x14ac:dyDescent="0.3">
      <c r="C205" s="149"/>
      <c r="D205" s="150"/>
      <c r="DE205" s="333"/>
      <c r="DF205" s="333"/>
      <c r="DG205" s="333"/>
      <c r="DH205" s="333"/>
      <c r="DI205" s="333"/>
      <c r="DJ205" s="333"/>
      <c r="DK205" s="333"/>
      <c r="DL205" s="333"/>
      <c r="DM205" s="333"/>
      <c r="DN205" s="333"/>
      <c r="DO205" s="333"/>
      <c r="DP205" s="333"/>
      <c r="DQ205" s="333"/>
      <c r="DR205" s="333"/>
      <c r="DS205" s="333"/>
      <c r="DT205" s="333"/>
      <c r="DU205" s="333"/>
      <c r="DV205" s="333"/>
      <c r="DW205" s="333"/>
      <c r="DX205" s="333"/>
      <c r="DY205" s="333"/>
      <c r="DZ205" s="333"/>
      <c r="EA205" s="333"/>
      <c r="EB205" s="333"/>
      <c r="EC205" s="333"/>
      <c r="ED205" s="333"/>
      <c r="EE205" s="333"/>
      <c r="EF205" s="333"/>
      <c r="EG205" s="333"/>
      <c r="EH205" s="333"/>
      <c r="EI205" s="333"/>
      <c r="EJ205" s="333"/>
      <c r="EK205" s="333"/>
      <c r="EL205" s="333"/>
      <c r="EM205" s="333"/>
      <c r="EN205" s="333"/>
      <c r="EO205" s="333"/>
      <c r="EP205" s="333"/>
      <c r="EQ205" s="333"/>
      <c r="ER205" s="333"/>
      <c r="ES205" s="333"/>
      <c r="ET205" s="333"/>
      <c r="EU205" s="333"/>
      <c r="EV205" s="333"/>
      <c r="EW205" s="333"/>
      <c r="EX205" s="333"/>
      <c r="EY205" s="333"/>
      <c r="EZ205" s="333"/>
      <c r="FE205" s="334"/>
      <c r="FF205" s="334"/>
      <c r="FG205" s="334"/>
      <c r="FH205" s="334"/>
      <c r="FI205" s="334"/>
      <c r="FJ205" s="334"/>
      <c r="FK205" s="334"/>
      <c r="FL205" s="334"/>
      <c r="FM205" s="334"/>
      <c r="FN205" s="334"/>
      <c r="FO205" s="334"/>
      <c r="FP205" s="334"/>
      <c r="FQ205" s="334"/>
      <c r="FR205" s="334"/>
      <c r="FS205" s="334"/>
      <c r="FT205" s="334"/>
      <c r="FU205" s="334"/>
      <c r="FV205" s="334"/>
      <c r="FW205" s="334"/>
      <c r="FX205" s="334"/>
      <c r="FY205" s="334"/>
      <c r="FZ205" s="334"/>
      <c r="GA205" s="334"/>
      <c r="GB205" s="334"/>
      <c r="GC205" s="334"/>
      <c r="GD205" s="334"/>
      <c r="GE205" s="334"/>
      <c r="GF205" s="334"/>
      <c r="GG205" s="334"/>
      <c r="GH205" s="334"/>
      <c r="GI205" s="334"/>
      <c r="GJ205" s="334"/>
      <c r="GK205" s="334"/>
      <c r="GL205" s="334"/>
      <c r="GM205" s="334"/>
      <c r="GN205" s="334"/>
      <c r="GO205" s="334"/>
      <c r="GP205" s="334"/>
      <c r="GQ205" s="334"/>
      <c r="GR205" s="334"/>
      <c r="GS205" s="334"/>
      <c r="GT205" s="334"/>
      <c r="GU205" s="334"/>
      <c r="GV205" s="334"/>
      <c r="GW205" s="334"/>
      <c r="GX205" s="334"/>
      <c r="GY205" s="334"/>
      <c r="GZ205" s="334"/>
      <c r="OS205" s="273"/>
      <c r="OT205" s="274"/>
      <c r="OU205" s="274"/>
      <c r="OV205" s="274"/>
      <c r="OW205" s="274"/>
      <c r="OX205" s="274"/>
      <c r="OY205" s="274"/>
      <c r="OZ205" s="274"/>
      <c r="PA205" s="274"/>
      <c r="PB205" s="274"/>
      <c r="PC205" s="274"/>
      <c r="PD205" s="274"/>
      <c r="PE205" s="274"/>
      <c r="PF205" s="274"/>
      <c r="PG205" s="274"/>
      <c r="PH205" s="274"/>
      <c r="PI205" s="274"/>
      <c r="PJ205" s="274"/>
      <c r="PK205" s="274"/>
      <c r="PL205" s="274"/>
      <c r="PM205" s="274"/>
      <c r="PN205" s="274"/>
      <c r="PO205" s="274"/>
      <c r="PP205" s="274"/>
      <c r="PQ205" s="274"/>
      <c r="PR205" s="274"/>
      <c r="PS205" s="274"/>
      <c r="PT205" s="274"/>
      <c r="PU205" s="274"/>
      <c r="PV205" s="274"/>
      <c r="PW205" s="274"/>
      <c r="PX205" s="274"/>
      <c r="PY205" s="274"/>
      <c r="PZ205" s="274"/>
      <c r="QA205" s="274"/>
      <c r="QB205" s="274"/>
      <c r="QC205" s="274"/>
      <c r="QD205" s="274"/>
      <c r="QE205" s="274"/>
      <c r="QF205" s="275"/>
      <c r="QG205" s="273"/>
      <c r="QH205" s="274"/>
      <c r="QI205" s="274"/>
      <c r="QJ205" s="274"/>
      <c r="QK205" s="274"/>
      <c r="QL205" s="275"/>
      <c r="QQ205" s="152"/>
      <c r="QR205" s="153"/>
      <c r="QS205" s="176"/>
      <c r="QT205" s="176"/>
      <c r="QU205" s="176"/>
      <c r="QV205" s="176"/>
      <c r="QW205" s="177"/>
      <c r="RK205" s="176"/>
      <c r="RL205" s="176"/>
      <c r="RM205" s="176"/>
      <c r="RN205" s="176"/>
      <c r="RO205" s="176"/>
      <c r="RP205" s="177"/>
    </row>
    <row r="206" spans="3:484" ht="5.0999999999999996" customHeight="1" x14ac:dyDescent="0.3">
      <c r="C206" s="149"/>
      <c r="D206" s="150"/>
      <c r="DE206" s="333"/>
      <c r="DF206" s="333"/>
      <c r="DG206" s="333"/>
      <c r="DH206" s="333"/>
      <c r="DI206" s="333"/>
      <c r="DJ206" s="333"/>
      <c r="DK206" s="333"/>
      <c r="DL206" s="333"/>
      <c r="DM206" s="333"/>
      <c r="DN206" s="333"/>
      <c r="DO206" s="333"/>
      <c r="DP206" s="333"/>
      <c r="DQ206" s="333"/>
      <c r="DR206" s="333"/>
      <c r="DS206" s="333"/>
      <c r="DT206" s="333"/>
      <c r="DU206" s="333"/>
      <c r="DV206" s="333"/>
      <c r="DW206" s="333"/>
      <c r="DX206" s="333"/>
      <c r="DY206" s="333"/>
      <c r="DZ206" s="333"/>
      <c r="EA206" s="333"/>
      <c r="EB206" s="333"/>
      <c r="EC206" s="333"/>
      <c r="ED206" s="333"/>
      <c r="EE206" s="333"/>
      <c r="EF206" s="333"/>
      <c r="EG206" s="333"/>
      <c r="EH206" s="333"/>
      <c r="EI206" s="333"/>
      <c r="EJ206" s="333"/>
      <c r="EK206" s="333"/>
      <c r="EL206" s="333"/>
      <c r="EM206" s="333"/>
      <c r="EN206" s="333"/>
      <c r="EO206" s="333"/>
      <c r="EP206" s="333"/>
      <c r="EQ206" s="333"/>
      <c r="ER206" s="333"/>
      <c r="ES206" s="333"/>
      <c r="ET206" s="333"/>
      <c r="EU206" s="333"/>
      <c r="EV206" s="333"/>
      <c r="EW206" s="333"/>
      <c r="EX206" s="333"/>
      <c r="EY206" s="333"/>
      <c r="EZ206" s="333"/>
      <c r="FE206" s="334"/>
      <c r="FF206" s="334"/>
      <c r="FG206" s="334"/>
      <c r="FH206" s="334"/>
      <c r="FI206" s="334"/>
      <c r="FJ206" s="334"/>
      <c r="FK206" s="334"/>
      <c r="FL206" s="334"/>
      <c r="FM206" s="334"/>
      <c r="FN206" s="334"/>
      <c r="FO206" s="334"/>
      <c r="FP206" s="334"/>
      <c r="FQ206" s="334"/>
      <c r="FR206" s="334"/>
      <c r="FS206" s="334"/>
      <c r="FT206" s="334"/>
      <c r="FU206" s="334"/>
      <c r="FV206" s="334"/>
      <c r="FW206" s="334"/>
      <c r="FX206" s="334"/>
      <c r="FY206" s="334"/>
      <c r="FZ206" s="334"/>
      <c r="GA206" s="334"/>
      <c r="GB206" s="334"/>
      <c r="GC206" s="334"/>
      <c r="GD206" s="334"/>
      <c r="GE206" s="334"/>
      <c r="GF206" s="334"/>
      <c r="GG206" s="334"/>
      <c r="GH206" s="334"/>
      <c r="GI206" s="334"/>
      <c r="GJ206" s="334"/>
      <c r="GK206" s="334"/>
      <c r="GL206" s="334"/>
      <c r="GM206" s="334"/>
      <c r="GN206" s="334"/>
      <c r="GO206" s="334"/>
      <c r="GP206" s="334"/>
      <c r="GQ206" s="334"/>
      <c r="GR206" s="334"/>
      <c r="GS206" s="334"/>
      <c r="GT206" s="334"/>
      <c r="GU206" s="334"/>
      <c r="GV206" s="334"/>
      <c r="GW206" s="334"/>
      <c r="GX206" s="334"/>
      <c r="GY206" s="334"/>
      <c r="GZ206" s="334"/>
      <c r="OS206" s="276"/>
      <c r="OT206" s="277"/>
      <c r="OU206" s="277"/>
      <c r="OV206" s="277"/>
      <c r="OW206" s="277"/>
      <c r="OX206" s="277"/>
      <c r="OY206" s="277"/>
      <c r="OZ206" s="277"/>
      <c r="PA206" s="277"/>
      <c r="PB206" s="277"/>
      <c r="PC206" s="277"/>
      <c r="PD206" s="277"/>
      <c r="PE206" s="277"/>
      <c r="PF206" s="277"/>
      <c r="PG206" s="277"/>
      <c r="PH206" s="277"/>
      <c r="PI206" s="277"/>
      <c r="PJ206" s="277"/>
      <c r="PK206" s="277"/>
      <c r="PL206" s="277"/>
      <c r="PM206" s="277"/>
      <c r="PN206" s="277"/>
      <c r="PO206" s="277"/>
      <c r="PP206" s="277"/>
      <c r="PQ206" s="277"/>
      <c r="PR206" s="277"/>
      <c r="PS206" s="277"/>
      <c r="PT206" s="277"/>
      <c r="PU206" s="277"/>
      <c r="PV206" s="277"/>
      <c r="PW206" s="277"/>
      <c r="PX206" s="277"/>
      <c r="PY206" s="277"/>
      <c r="PZ206" s="277"/>
      <c r="QA206" s="277"/>
      <c r="QB206" s="277"/>
      <c r="QC206" s="277"/>
      <c r="QD206" s="277"/>
      <c r="QE206" s="277"/>
      <c r="QF206" s="278"/>
      <c r="QG206" s="276"/>
      <c r="QH206" s="277"/>
      <c r="QI206" s="277"/>
      <c r="QJ206" s="277"/>
      <c r="QK206" s="277"/>
      <c r="QL206" s="278"/>
      <c r="QQ206" s="152"/>
      <c r="QR206" s="153"/>
      <c r="QS206" s="176"/>
      <c r="QT206" s="176"/>
      <c r="QU206" s="176"/>
      <c r="QV206" s="176"/>
      <c r="QW206" s="177"/>
      <c r="RK206" s="176"/>
      <c r="RL206" s="176"/>
      <c r="RM206" s="176"/>
      <c r="RN206" s="176"/>
      <c r="RO206" s="176"/>
      <c r="RP206" s="177"/>
    </row>
    <row r="207" spans="3:484" ht="5.0999999999999996" customHeight="1" x14ac:dyDescent="0.3">
      <c r="C207" s="149"/>
      <c r="D207" s="150"/>
      <c r="DE207" s="333"/>
      <c r="DF207" s="333"/>
      <c r="DG207" s="333"/>
      <c r="DH207" s="333"/>
      <c r="DI207" s="333"/>
      <c r="DJ207" s="333"/>
      <c r="DK207" s="333"/>
      <c r="DL207" s="333"/>
      <c r="DM207" s="333"/>
      <c r="DN207" s="333"/>
      <c r="DO207" s="333"/>
      <c r="DP207" s="333"/>
      <c r="DQ207" s="333"/>
      <c r="DR207" s="333"/>
      <c r="DS207" s="333"/>
      <c r="DT207" s="333"/>
      <c r="DU207" s="333"/>
      <c r="DV207" s="333"/>
      <c r="DW207" s="333"/>
      <c r="DX207" s="333"/>
      <c r="DY207" s="333"/>
      <c r="DZ207" s="333"/>
      <c r="EA207" s="333"/>
      <c r="EB207" s="333"/>
      <c r="EC207" s="333"/>
      <c r="ED207" s="333"/>
      <c r="EE207" s="333"/>
      <c r="EF207" s="333"/>
      <c r="EG207" s="333"/>
      <c r="EH207" s="333"/>
      <c r="EI207" s="333"/>
      <c r="EJ207" s="333"/>
      <c r="EK207" s="333"/>
      <c r="EL207" s="333"/>
      <c r="EM207" s="333"/>
      <c r="EN207" s="333"/>
      <c r="EO207" s="333"/>
      <c r="EP207" s="333"/>
      <c r="EQ207" s="333"/>
      <c r="ER207" s="333"/>
      <c r="ES207" s="333"/>
      <c r="ET207" s="333"/>
      <c r="EU207" s="333"/>
      <c r="EV207" s="333"/>
      <c r="EW207" s="333"/>
      <c r="EX207" s="333"/>
      <c r="EY207" s="333"/>
      <c r="EZ207" s="333"/>
      <c r="FE207" s="334"/>
      <c r="FF207" s="334"/>
      <c r="FG207" s="334"/>
      <c r="FH207" s="334"/>
      <c r="FI207" s="334"/>
      <c r="FJ207" s="334"/>
      <c r="FK207" s="334"/>
      <c r="FL207" s="334"/>
      <c r="FM207" s="334"/>
      <c r="FN207" s="334"/>
      <c r="FO207" s="334"/>
      <c r="FP207" s="334"/>
      <c r="FQ207" s="334"/>
      <c r="FR207" s="334"/>
      <c r="FS207" s="334"/>
      <c r="FT207" s="334"/>
      <c r="FU207" s="334"/>
      <c r="FV207" s="334"/>
      <c r="FW207" s="334"/>
      <c r="FX207" s="334"/>
      <c r="FY207" s="334"/>
      <c r="FZ207" s="334"/>
      <c r="GA207" s="334"/>
      <c r="GB207" s="334"/>
      <c r="GC207" s="334"/>
      <c r="GD207" s="334"/>
      <c r="GE207" s="334"/>
      <c r="GF207" s="334"/>
      <c r="GG207" s="334"/>
      <c r="GH207" s="334"/>
      <c r="GI207" s="334"/>
      <c r="GJ207" s="334"/>
      <c r="GK207" s="334"/>
      <c r="GL207" s="334"/>
      <c r="GM207" s="334"/>
      <c r="GN207" s="334"/>
      <c r="GO207" s="334"/>
      <c r="GP207" s="334"/>
      <c r="GQ207" s="334"/>
      <c r="GR207" s="334"/>
      <c r="GS207" s="334"/>
      <c r="GT207" s="334"/>
      <c r="GU207" s="334"/>
      <c r="GV207" s="334"/>
      <c r="GW207" s="334"/>
      <c r="GX207" s="334"/>
      <c r="GY207" s="334"/>
      <c r="GZ207" s="334"/>
      <c r="QQ207" s="152"/>
      <c r="QR207" s="153"/>
      <c r="QS207" s="176"/>
      <c r="QT207" s="176"/>
      <c r="QU207" s="176"/>
      <c r="QV207" s="176"/>
      <c r="QW207" s="177"/>
      <c r="RK207" s="176"/>
      <c r="RL207" s="176"/>
      <c r="RM207" s="176"/>
      <c r="RN207" s="176"/>
      <c r="RO207" s="176"/>
      <c r="RP207" s="177"/>
    </row>
    <row r="208" spans="3:484" ht="5.0999999999999996" customHeight="1" x14ac:dyDescent="0.3">
      <c r="C208" s="149"/>
      <c r="D208" s="150"/>
      <c r="DE208" s="333"/>
      <c r="DF208" s="333"/>
      <c r="DG208" s="333"/>
      <c r="DH208" s="333"/>
      <c r="DI208" s="333"/>
      <c r="DJ208" s="333"/>
      <c r="DK208" s="333"/>
      <c r="DL208" s="333"/>
      <c r="DM208" s="333"/>
      <c r="DN208" s="333"/>
      <c r="DO208" s="333"/>
      <c r="DP208" s="333"/>
      <c r="DQ208" s="333"/>
      <c r="DR208" s="333"/>
      <c r="DS208" s="333"/>
      <c r="DT208" s="333"/>
      <c r="DU208" s="333"/>
      <c r="DV208" s="333"/>
      <c r="DW208" s="333"/>
      <c r="DX208" s="333"/>
      <c r="DY208" s="333"/>
      <c r="DZ208" s="333"/>
      <c r="EA208" s="333"/>
      <c r="EB208" s="333"/>
      <c r="EC208" s="333"/>
      <c r="ED208" s="333"/>
      <c r="EE208" s="333"/>
      <c r="EF208" s="333"/>
      <c r="EG208" s="333"/>
      <c r="EH208" s="333"/>
      <c r="EI208" s="333"/>
      <c r="EJ208" s="333"/>
      <c r="EK208" s="333"/>
      <c r="EL208" s="333"/>
      <c r="EM208" s="333"/>
      <c r="EN208" s="333"/>
      <c r="EO208" s="333"/>
      <c r="EP208" s="333"/>
      <c r="EQ208" s="333"/>
      <c r="ER208" s="333"/>
      <c r="ES208" s="333"/>
      <c r="ET208" s="333"/>
      <c r="EU208" s="333"/>
      <c r="EV208" s="333"/>
      <c r="EW208" s="333"/>
      <c r="EX208" s="333"/>
      <c r="EY208" s="333"/>
      <c r="EZ208" s="333"/>
      <c r="FE208" s="334"/>
      <c r="FF208" s="334"/>
      <c r="FG208" s="334"/>
      <c r="FH208" s="334"/>
      <c r="FI208" s="334"/>
      <c r="FJ208" s="334"/>
      <c r="FK208" s="334"/>
      <c r="FL208" s="334"/>
      <c r="FM208" s="334"/>
      <c r="FN208" s="334"/>
      <c r="FO208" s="334"/>
      <c r="FP208" s="334"/>
      <c r="FQ208" s="334"/>
      <c r="FR208" s="334"/>
      <c r="FS208" s="334"/>
      <c r="FT208" s="334"/>
      <c r="FU208" s="334"/>
      <c r="FV208" s="334"/>
      <c r="FW208" s="334"/>
      <c r="FX208" s="334"/>
      <c r="FY208" s="334"/>
      <c r="FZ208" s="334"/>
      <c r="GA208" s="334"/>
      <c r="GB208" s="334"/>
      <c r="GC208" s="334"/>
      <c r="GD208" s="334"/>
      <c r="GE208" s="334"/>
      <c r="GF208" s="334"/>
      <c r="GG208" s="334"/>
      <c r="GH208" s="334"/>
      <c r="GI208" s="334"/>
      <c r="GJ208" s="334"/>
      <c r="GK208" s="334"/>
      <c r="GL208" s="334"/>
      <c r="GM208" s="334"/>
      <c r="GN208" s="334"/>
      <c r="GO208" s="334"/>
      <c r="GP208" s="334"/>
      <c r="GQ208" s="334"/>
      <c r="GR208" s="334"/>
      <c r="GS208" s="334"/>
      <c r="GT208" s="334"/>
      <c r="GU208" s="334"/>
      <c r="GV208" s="334"/>
      <c r="GW208" s="334"/>
      <c r="GX208" s="334"/>
      <c r="GY208" s="334"/>
      <c r="GZ208" s="334"/>
      <c r="QQ208" s="152"/>
      <c r="QR208" s="153"/>
    </row>
    <row r="209" spans="3:460" ht="5.0999999999999996" customHeight="1" x14ac:dyDescent="0.3">
      <c r="C209" s="149"/>
      <c r="D209" s="150"/>
      <c r="DE209" s="333"/>
      <c r="DF209" s="333"/>
      <c r="DG209" s="333"/>
      <c r="DH209" s="333"/>
      <c r="DI209" s="333"/>
      <c r="DJ209" s="333"/>
      <c r="DK209" s="333"/>
      <c r="DL209" s="333"/>
      <c r="DM209" s="333"/>
      <c r="DN209" s="333"/>
      <c r="DO209" s="333"/>
      <c r="DP209" s="333"/>
      <c r="DQ209" s="333"/>
      <c r="DR209" s="333"/>
      <c r="DS209" s="333"/>
      <c r="DT209" s="333"/>
      <c r="DU209" s="333"/>
      <c r="DV209" s="333"/>
      <c r="DW209" s="333"/>
      <c r="DX209" s="333"/>
      <c r="DY209" s="333"/>
      <c r="DZ209" s="333"/>
      <c r="EA209" s="333"/>
      <c r="EB209" s="333"/>
      <c r="EC209" s="333"/>
      <c r="ED209" s="333"/>
      <c r="EE209" s="333"/>
      <c r="EF209" s="333"/>
      <c r="EG209" s="333"/>
      <c r="EH209" s="333"/>
      <c r="EI209" s="333"/>
      <c r="EJ209" s="333"/>
      <c r="EK209" s="333"/>
      <c r="EL209" s="333"/>
      <c r="EM209" s="333"/>
      <c r="EN209" s="333"/>
      <c r="EO209" s="333"/>
      <c r="EP209" s="333"/>
      <c r="EQ209" s="333"/>
      <c r="ER209" s="333"/>
      <c r="ES209" s="333"/>
      <c r="ET209" s="333"/>
      <c r="EU209" s="333"/>
      <c r="EV209" s="333"/>
      <c r="EW209" s="333"/>
      <c r="EX209" s="333"/>
      <c r="EY209" s="333"/>
      <c r="EZ209" s="333"/>
      <c r="FE209" s="334"/>
      <c r="FF209" s="334"/>
      <c r="FG209" s="334"/>
      <c r="FH209" s="334"/>
      <c r="FI209" s="334"/>
      <c r="FJ209" s="334"/>
      <c r="FK209" s="334"/>
      <c r="FL209" s="334"/>
      <c r="FM209" s="334"/>
      <c r="FN209" s="334"/>
      <c r="FO209" s="334"/>
      <c r="FP209" s="334"/>
      <c r="FQ209" s="334"/>
      <c r="FR209" s="334"/>
      <c r="FS209" s="334"/>
      <c r="FT209" s="334"/>
      <c r="FU209" s="334"/>
      <c r="FV209" s="334"/>
      <c r="FW209" s="334"/>
      <c r="FX209" s="334"/>
      <c r="FY209" s="334"/>
      <c r="FZ209" s="334"/>
      <c r="GA209" s="334"/>
      <c r="GB209" s="334"/>
      <c r="GC209" s="334"/>
      <c r="GD209" s="334"/>
      <c r="GE209" s="334"/>
      <c r="GF209" s="334"/>
      <c r="GG209" s="334"/>
      <c r="GH209" s="334"/>
      <c r="GI209" s="334"/>
      <c r="GJ209" s="334"/>
      <c r="GK209" s="334"/>
      <c r="GL209" s="334"/>
      <c r="GM209" s="334"/>
      <c r="GN209" s="334"/>
      <c r="GO209" s="334"/>
      <c r="GP209" s="334"/>
      <c r="GQ209" s="334"/>
      <c r="GR209" s="334"/>
      <c r="GS209" s="334"/>
      <c r="GT209" s="334"/>
      <c r="GU209" s="334"/>
      <c r="GV209" s="334"/>
      <c r="GW209" s="334"/>
      <c r="GX209" s="334"/>
      <c r="GY209" s="334"/>
      <c r="GZ209" s="334"/>
      <c r="QQ209" s="152"/>
      <c r="QR209" s="153"/>
    </row>
    <row r="210" spans="3:460" ht="5.0999999999999996" customHeight="1" x14ac:dyDescent="0.3">
      <c r="C210" s="149"/>
      <c r="D210" s="150"/>
      <c r="DE210" s="333"/>
      <c r="DF210" s="333"/>
      <c r="DG210" s="333"/>
      <c r="DH210" s="333"/>
      <c r="DI210" s="333"/>
      <c r="DJ210" s="333"/>
      <c r="DK210" s="333"/>
      <c r="DL210" s="333"/>
      <c r="DM210" s="333"/>
      <c r="DN210" s="333"/>
      <c r="DO210" s="333"/>
      <c r="DP210" s="333"/>
      <c r="DQ210" s="333"/>
      <c r="DR210" s="333"/>
      <c r="DS210" s="333"/>
      <c r="DT210" s="333"/>
      <c r="DU210" s="333"/>
      <c r="DV210" s="333"/>
      <c r="DW210" s="333"/>
      <c r="DX210" s="333"/>
      <c r="DY210" s="333"/>
      <c r="DZ210" s="333"/>
      <c r="EA210" s="333"/>
      <c r="EB210" s="333"/>
      <c r="EC210" s="333"/>
      <c r="ED210" s="333"/>
      <c r="EE210" s="333"/>
      <c r="EF210" s="333"/>
      <c r="EG210" s="333"/>
      <c r="EH210" s="333"/>
      <c r="EI210" s="333"/>
      <c r="EJ210" s="333"/>
      <c r="EK210" s="333"/>
      <c r="EL210" s="333"/>
      <c r="EM210" s="333"/>
      <c r="EN210" s="333"/>
      <c r="EO210" s="333"/>
      <c r="EP210" s="333"/>
      <c r="EQ210" s="333"/>
      <c r="ER210" s="333"/>
      <c r="ES210" s="333"/>
      <c r="ET210" s="333"/>
      <c r="EU210" s="333"/>
      <c r="EV210" s="333"/>
      <c r="EW210" s="333"/>
      <c r="EX210" s="333"/>
      <c r="EY210" s="333"/>
      <c r="EZ210" s="333"/>
      <c r="FE210" s="334"/>
      <c r="FF210" s="334"/>
      <c r="FG210" s="334"/>
      <c r="FH210" s="334"/>
      <c r="FI210" s="334"/>
      <c r="FJ210" s="334"/>
      <c r="FK210" s="334"/>
      <c r="FL210" s="334"/>
      <c r="FM210" s="334"/>
      <c r="FN210" s="334"/>
      <c r="FO210" s="334"/>
      <c r="FP210" s="334"/>
      <c r="FQ210" s="334"/>
      <c r="FR210" s="334"/>
      <c r="FS210" s="334"/>
      <c r="FT210" s="334"/>
      <c r="FU210" s="334"/>
      <c r="FV210" s="334"/>
      <c r="FW210" s="334"/>
      <c r="FX210" s="334"/>
      <c r="FY210" s="334"/>
      <c r="FZ210" s="334"/>
      <c r="GA210" s="334"/>
      <c r="GB210" s="334"/>
      <c r="GC210" s="334"/>
      <c r="GD210" s="334"/>
      <c r="GE210" s="334"/>
      <c r="GF210" s="334"/>
      <c r="GG210" s="334"/>
      <c r="GH210" s="334"/>
      <c r="GI210" s="334"/>
      <c r="GJ210" s="334"/>
      <c r="GK210" s="334"/>
      <c r="GL210" s="334"/>
      <c r="GM210" s="334"/>
      <c r="GN210" s="334"/>
      <c r="GO210" s="334"/>
      <c r="GP210" s="334"/>
      <c r="GQ210" s="334"/>
      <c r="GR210" s="334"/>
      <c r="GS210" s="334"/>
      <c r="GT210" s="334"/>
      <c r="GU210" s="334"/>
      <c r="GV210" s="334"/>
      <c r="GW210" s="334"/>
      <c r="GX210" s="334"/>
      <c r="GY210" s="334"/>
      <c r="GZ210" s="334"/>
      <c r="QQ210" s="152"/>
      <c r="QR210" s="153"/>
    </row>
    <row r="211" spans="3:460" ht="5.0999999999999996" customHeight="1" x14ac:dyDescent="0.3">
      <c r="C211" s="149"/>
      <c r="D211" s="150"/>
      <c r="AW211" s="135">
        <v>10</v>
      </c>
      <c r="AX211" s="135">
        <v>3</v>
      </c>
      <c r="DE211" s="333"/>
      <c r="DF211" s="333"/>
      <c r="DG211" s="333"/>
      <c r="DH211" s="333"/>
      <c r="DI211" s="333"/>
      <c r="DJ211" s="333"/>
      <c r="DK211" s="333"/>
      <c r="DL211" s="333"/>
      <c r="DM211" s="333"/>
      <c r="DN211" s="333"/>
      <c r="DO211" s="333"/>
      <c r="DP211" s="333"/>
      <c r="DQ211" s="333"/>
      <c r="DR211" s="333"/>
      <c r="DS211" s="333"/>
      <c r="DT211" s="333"/>
      <c r="DU211" s="333"/>
      <c r="DV211" s="333"/>
      <c r="DW211" s="333"/>
      <c r="DX211" s="333"/>
      <c r="DY211" s="333"/>
      <c r="DZ211" s="333"/>
      <c r="EA211" s="333"/>
      <c r="EB211" s="333"/>
      <c r="EC211" s="333"/>
      <c r="ED211" s="333"/>
      <c r="EE211" s="333"/>
      <c r="EF211" s="333"/>
      <c r="EG211" s="333"/>
      <c r="EH211" s="333"/>
      <c r="EI211" s="333"/>
      <c r="EJ211" s="333"/>
      <c r="EK211" s="333"/>
      <c r="EL211" s="333"/>
      <c r="EM211" s="333"/>
      <c r="EN211" s="333"/>
      <c r="EO211" s="333"/>
      <c r="EP211" s="333"/>
      <c r="EQ211" s="333"/>
      <c r="ER211" s="333"/>
      <c r="ES211" s="333"/>
      <c r="ET211" s="333"/>
      <c r="EU211" s="333"/>
      <c r="EV211" s="333"/>
      <c r="EW211" s="333"/>
      <c r="EX211" s="333"/>
      <c r="EY211" s="333"/>
      <c r="EZ211" s="333"/>
      <c r="FE211" s="334"/>
      <c r="FF211" s="334"/>
      <c r="FG211" s="334"/>
      <c r="FH211" s="334"/>
      <c r="FI211" s="334"/>
      <c r="FJ211" s="334"/>
      <c r="FK211" s="334"/>
      <c r="FL211" s="334"/>
      <c r="FM211" s="334"/>
      <c r="FN211" s="334"/>
      <c r="FO211" s="334"/>
      <c r="FP211" s="334"/>
      <c r="FQ211" s="334"/>
      <c r="FR211" s="334"/>
      <c r="FS211" s="334"/>
      <c r="FT211" s="334"/>
      <c r="FU211" s="334"/>
      <c r="FV211" s="334"/>
      <c r="FW211" s="334"/>
      <c r="FX211" s="334"/>
      <c r="FY211" s="334"/>
      <c r="FZ211" s="334"/>
      <c r="GA211" s="334"/>
      <c r="GB211" s="334"/>
      <c r="GC211" s="334"/>
      <c r="GD211" s="334"/>
      <c r="GE211" s="334"/>
      <c r="GF211" s="334"/>
      <c r="GG211" s="334"/>
      <c r="GH211" s="334"/>
      <c r="GI211" s="334"/>
      <c r="GJ211" s="334"/>
      <c r="GK211" s="334"/>
      <c r="GL211" s="334"/>
      <c r="GM211" s="334"/>
      <c r="GN211" s="334"/>
      <c r="GO211" s="334"/>
      <c r="GP211" s="334"/>
      <c r="GQ211" s="334"/>
      <c r="GR211" s="334"/>
      <c r="GS211" s="334"/>
      <c r="GT211" s="334"/>
      <c r="GU211" s="334"/>
      <c r="GV211" s="334"/>
      <c r="GW211" s="334"/>
      <c r="GX211" s="334"/>
      <c r="GY211" s="334"/>
      <c r="GZ211" s="334"/>
      <c r="QQ211" s="152"/>
      <c r="QR211" s="153"/>
    </row>
    <row r="212" spans="3:460" ht="5.0999999999999996" customHeight="1" x14ac:dyDescent="0.3">
      <c r="C212" s="149"/>
      <c r="D212" s="150"/>
      <c r="DE212" s="333"/>
      <c r="DF212" s="333"/>
      <c r="DG212" s="333"/>
      <c r="DH212" s="333"/>
      <c r="DI212" s="333"/>
      <c r="DJ212" s="333"/>
      <c r="DK212" s="333"/>
      <c r="DL212" s="333"/>
      <c r="DM212" s="333"/>
      <c r="DN212" s="333"/>
      <c r="DO212" s="333"/>
      <c r="DP212" s="333"/>
      <c r="DQ212" s="333"/>
      <c r="DR212" s="333"/>
      <c r="DS212" s="333"/>
      <c r="DT212" s="333"/>
      <c r="DU212" s="333"/>
      <c r="DV212" s="333"/>
      <c r="DW212" s="333"/>
      <c r="DX212" s="333"/>
      <c r="DY212" s="333"/>
      <c r="DZ212" s="333"/>
      <c r="EA212" s="333"/>
      <c r="EB212" s="333"/>
      <c r="EC212" s="333"/>
      <c r="ED212" s="333"/>
      <c r="EE212" s="333"/>
      <c r="EF212" s="333"/>
      <c r="EG212" s="333"/>
      <c r="EH212" s="333"/>
      <c r="EI212" s="333"/>
      <c r="EJ212" s="333"/>
      <c r="EK212" s="333"/>
      <c r="EL212" s="333"/>
      <c r="EM212" s="333"/>
      <c r="EN212" s="333"/>
      <c r="EO212" s="333"/>
      <c r="EP212" s="333"/>
      <c r="EQ212" s="333"/>
      <c r="ER212" s="333"/>
      <c r="ES212" s="333"/>
      <c r="ET212" s="333"/>
      <c r="EU212" s="333"/>
      <c r="EV212" s="333"/>
      <c r="EW212" s="333"/>
      <c r="EX212" s="333"/>
      <c r="EY212" s="333"/>
      <c r="EZ212" s="333"/>
      <c r="FE212" s="334"/>
      <c r="FF212" s="334"/>
      <c r="FG212" s="334"/>
      <c r="FH212" s="334"/>
      <c r="FI212" s="334"/>
      <c r="FJ212" s="334"/>
      <c r="FK212" s="334"/>
      <c r="FL212" s="334"/>
      <c r="FM212" s="334"/>
      <c r="FN212" s="334"/>
      <c r="FO212" s="334"/>
      <c r="FP212" s="334"/>
      <c r="FQ212" s="334"/>
      <c r="FR212" s="334"/>
      <c r="FS212" s="334"/>
      <c r="FT212" s="334"/>
      <c r="FU212" s="334"/>
      <c r="FV212" s="334"/>
      <c r="FW212" s="334"/>
      <c r="FX212" s="334"/>
      <c r="FY212" s="334"/>
      <c r="FZ212" s="334"/>
      <c r="GA212" s="334"/>
      <c r="GB212" s="334"/>
      <c r="GC212" s="334"/>
      <c r="GD212" s="334"/>
      <c r="GE212" s="334"/>
      <c r="GF212" s="334"/>
      <c r="GG212" s="334"/>
      <c r="GH212" s="334"/>
      <c r="GI212" s="334"/>
      <c r="GJ212" s="334"/>
      <c r="GK212" s="334"/>
      <c r="GL212" s="334"/>
      <c r="GM212" s="334"/>
      <c r="GN212" s="334"/>
      <c r="GO212" s="334"/>
      <c r="GP212" s="334"/>
      <c r="GQ212" s="334"/>
      <c r="GR212" s="334"/>
      <c r="GS212" s="334"/>
      <c r="GT212" s="334"/>
      <c r="GU212" s="334"/>
      <c r="GV212" s="334"/>
      <c r="GW212" s="334"/>
      <c r="GX212" s="334"/>
      <c r="GY212" s="334"/>
      <c r="GZ212" s="334"/>
      <c r="QQ212" s="152"/>
      <c r="QR212" s="153"/>
    </row>
    <row r="213" spans="3:460" ht="5.0999999999999996" customHeight="1" x14ac:dyDescent="0.3">
      <c r="C213" s="149"/>
      <c r="D213" s="150"/>
      <c r="DE213" s="333"/>
      <c r="DF213" s="333"/>
      <c r="DG213" s="333"/>
      <c r="DH213" s="333"/>
      <c r="DI213" s="333"/>
      <c r="DJ213" s="333"/>
      <c r="DK213" s="333"/>
      <c r="DL213" s="333"/>
      <c r="DM213" s="333"/>
      <c r="DN213" s="333"/>
      <c r="DO213" s="333"/>
      <c r="DP213" s="333"/>
      <c r="DQ213" s="333"/>
      <c r="DR213" s="333"/>
      <c r="DS213" s="333"/>
      <c r="DT213" s="333"/>
      <c r="DU213" s="333"/>
      <c r="DV213" s="333"/>
      <c r="DW213" s="333"/>
      <c r="DX213" s="333"/>
      <c r="DY213" s="333"/>
      <c r="DZ213" s="333"/>
      <c r="EA213" s="333"/>
      <c r="EB213" s="333"/>
      <c r="EC213" s="333"/>
      <c r="ED213" s="333"/>
      <c r="EE213" s="333"/>
      <c r="EF213" s="333"/>
      <c r="EG213" s="333"/>
      <c r="EH213" s="333"/>
      <c r="EI213" s="333"/>
      <c r="EJ213" s="333"/>
      <c r="EK213" s="333"/>
      <c r="EL213" s="333"/>
      <c r="EM213" s="333"/>
      <c r="EN213" s="333"/>
      <c r="EO213" s="333"/>
      <c r="EP213" s="333"/>
      <c r="EQ213" s="333"/>
      <c r="ER213" s="333"/>
      <c r="ES213" s="333"/>
      <c r="ET213" s="333"/>
      <c r="EU213" s="333"/>
      <c r="EV213" s="333"/>
      <c r="EW213" s="333"/>
      <c r="EX213" s="333"/>
      <c r="EY213" s="333"/>
      <c r="EZ213" s="333"/>
      <c r="QQ213" s="152"/>
      <c r="QR213" s="153"/>
    </row>
    <row r="214" spans="3:460" ht="5.0999999999999996" customHeight="1" x14ac:dyDescent="0.3">
      <c r="C214" s="149"/>
      <c r="D214" s="150"/>
      <c r="DE214" s="333"/>
      <c r="DF214" s="333"/>
      <c r="DG214" s="333"/>
      <c r="DH214" s="333"/>
      <c r="DI214" s="333"/>
      <c r="DJ214" s="333"/>
      <c r="DK214" s="333"/>
      <c r="DL214" s="333"/>
      <c r="DM214" s="333"/>
      <c r="DN214" s="333"/>
      <c r="DO214" s="333"/>
      <c r="DP214" s="333"/>
      <c r="DQ214" s="333"/>
      <c r="DR214" s="333"/>
      <c r="DS214" s="333"/>
      <c r="DT214" s="333"/>
      <c r="DU214" s="333"/>
      <c r="DV214" s="333"/>
      <c r="DW214" s="333"/>
      <c r="DX214" s="333"/>
      <c r="DY214" s="333"/>
      <c r="DZ214" s="333"/>
      <c r="EA214" s="333"/>
      <c r="EB214" s="333"/>
      <c r="EC214" s="333"/>
      <c r="ED214" s="333"/>
      <c r="EE214" s="333"/>
      <c r="EF214" s="333"/>
      <c r="EG214" s="333"/>
      <c r="EH214" s="333"/>
      <c r="EI214" s="333"/>
      <c r="EJ214" s="333"/>
      <c r="EK214" s="333"/>
      <c r="EL214" s="333"/>
      <c r="EM214" s="333"/>
      <c r="EN214" s="333"/>
      <c r="EO214" s="333"/>
      <c r="EP214" s="333"/>
      <c r="EQ214" s="333"/>
      <c r="ER214" s="333"/>
      <c r="ES214" s="333"/>
      <c r="ET214" s="333"/>
      <c r="EU214" s="333"/>
      <c r="EV214" s="333"/>
      <c r="EW214" s="333"/>
      <c r="EX214" s="333"/>
      <c r="EY214" s="333"/>
      <c r="EZ214" s="333"/>
      <c r="QQ214" s="152"/>
      <c r="QR214" s="153"/>
    </row>
    <row r="215" spans="3:460" ht="5.0999999999999996" customHeight="1" x14ac:dyDescent="0.3">
      <c r="C215" s="149"/>
      <c r="D215" s="150"/>
      <c r="DE215" s="333"/>
      <c r="DF215" s="333"/>
      <c r="DG215" s="333"/>
      <c r="DH215" s="333"/>
      <c r="DI215" s="333"/>
      <c r="DJ215" s="333"/>
      <c r="DK215" s="333"/>
      <c r="DL215" s="333"/>
      <c r="DM215" s="333"/>
      <c r="DN215" s="333"/>
      <c r="DO215" s="333"/>
      <c r="DP215" s="333"/>
      <c r="DQ215" s="333"/>
      <c r="DR215" s="333"/>
      <c r="DS215" s="333"/>
      <c r="DT215" s="333"/>
      <c r="DU215" s="333"/>
      <c r="DV215" s="333"/>
      <c r="DW215" s="333"/>
      <c r="DX215" s="333"/>
      <c r="DY215" s="333"/>
      <c r="DZ215" s="333"/>
      <c r="EA215" s="333"/>
      <c r="EB215" s="333"/>
      <c r="EC215" s="333"/>
      <c r="ED215" s="333"/>
      <c r="EE215" s="333"/>
      <c r="EF215" s="333"/>
      <c r="EG215" s="333"/>
      <c r="EH215" s="333"/>
      <c r="EI215" s="333"/>
      <c r="EJ215" s="333"/>
      <c r="EK215" s="333"/>
      <c r="EL215" s="333"/>
      <c r="EM215" s="333"/>
      <c r="EN215" s="333"/>
      <c r="EO215" s="333"/>
      <c r="EP215" s="333"/>
      <c r="EQ215" s="333"/>
      <c r="ER215" s="333"/>
      <c r="ES215" s="333"/>
      <c r="ET215" s="333"/>
      <c r="EU215" s="333"/>
      <c r="EV215" s="333"/>
      <c r="EW215" s="333"/>
      <c r="EX215" s="333"/>
      <c r="EY215" s="333"/>
      <c r="EZ215" s="333"/>
      <c r="QQ215" s="152"/>
      <c r="QR215" s="153"/>
    </row>
    <row r="216" spans="3:460" ht="5.0999999999999996" customHeight="1" x14ac:dyDescent="0.3">
      <c r="C216" s="149"/>
      <c r="D216" s="150"/>
      <c r="DE216" s="333"/>
      <c r="DF216" s="333"/>
      <c r="DG216" s="333"/>
      <c r="DH216" s="333"/>
      <c r="DI216" s="333"/>
      <c r="DJ216" s="333"/>
      <c r="DK216" s="333"/>
      <c r="DL216" s="333"/>
      <c r="DM216" s="333"/>
      <c r="DN216" s="333"/>
      <c r="DO216" s="333"/>
      <c r="DP216" s="333"/>
      <c r="DQ216" s="333"/>
      <c r="DR216" s="333"/>
      <c r="DS216" s="333"/>
      <c r="DT216" s="333"/>
      <c r="DU216" s="333"/>
      <c r="DV216" s="333"/>
      <c r="DW216" s="333"/>
      <c r="DX216" s="333"/>
      <c r="DY216" s="333"/>
      <c r="DZ216" s="333"/>
      <c r="EA216" s="333"/>
      <c r="EB216" s="333"/>
      <c r="EC216" s="333"/>
      <c r="ED216" s="333"/>
      <c r="EE216" s="333"/>
      <c r="EF216" s="333"/>
      <c r="EG216" s="333"/>
      <c r="EH216" s="333"/>
      <c r="EI216" s="333"/>
      <c r="EJ216" s="333"/>
      <c r="EK216" s="333"/>
      <c r="EL216" s="333"/>
      <c r="EM216" s="333"/>
      <c r="EN216" s="333"/>
      <c r="EO216" s="333"/>
      <c r="EP216" s="333"/>
      <c r="EQ216" s="333"/>
      <c r="ER216" s="333"/>
      <c r="ES216" s="333"/>
      <c r="ET216" s="333"/>
      <c r="EU216" s="333"/>
      <c r="EV216" s="333"/>
      <c r="EW216" s="333"/>
      <c r="EX216" s="333"/>
      <c r="EY216" s="333"/>
      <c r="EZ216" s="333"/>
      <c r="QQ216" s="152"/>
      <c r="QR216" s="153"/>
    </row>
    <row r="217" spans="3:460" ht="5.0999999999999996" customHeight="1" x14ac:dyDescent="0.3">
      <c r="C217" s="149"/>
      <c r="D217" s="150"/>
      <c r="DE217" s="333"/>
      <c r="DF217" s="333"/>
      <c r="DG217" s="333"/>
      <c r="DH217" s="333"/>
      <c r="DI217" s="333"/>
      <c r="DJ217" s="333"/>
      <c r="DK217" s="333"/>
      <c r="DL217" s="333"/>
      <c r="DM217" s="333"/>
      <c r="DN217" s="333"/>
      <c r="DO217" s="333"/>
      <c r="DP217" s="333"/>
      <c r="DQ217" s="333"/>
      <c r="DR217" s="333"/>
      <c r="DS217" s="333"/>
      <c r="DT217" s="333"/>
      <c r="DU217" s="333"/>
      <c r="DV217" s="333"/>
      <c r="DW217" s="333"/>
      <c r="DX217" s="333"/>
      <c r="DY217" s="333"/>
      <c r="DZ217" s="333"/>
      <c r="EA217" s="333"/>
      <c r="EB217" s="333"/>
      <c r="EC217" s="333"/>
      <c r="ED217" s="333"/>
      <c r="EE217" s="333"/>
      <c r="EF217" s="333"/>
      <c r="EG217" s="333"/>
      <c r="EH217" s="333"/>
      <c r="EI217" s="333"/>
      <c r="EJ217" s="333"/>
      <c r="EK217" s="333"/>
      <c r="EL217" s="333"/>
      <c r="EM217" s="333"/>
      <c r="EN217" s="333"/>
      <c r="EO217" s="333"/>
      <c r="EP217" s="333"/>
      <c r="EQ217" s="333"/>
      <c r="ER217" s="333"/>
      <c r="ES217" s="333"/>
      <c r="ET217" s="333"/>
      <c r="EU217" s="333"/>
      <c r="EV217" s="333"/>
      <c r="EW217" s="333"/>
      <c r="EX217" s="333"/>
      <c r="EY217" s="333"/>
      <c r="EZ217" s="333"/>
      <c r="QQ217" s="152"/>
      <c r="QR217" s="153"/>
    </row>
    <row r="218" spans="3:460" ht="5.0999999999999996" customHeight="1" x14ac:dyDescent="0.3">
      <c r="C218" s="149"/>
      <c r="D218" s="150"/>
      <c r="DE218" s="333"/>
      <c r="DF218" s="333"/>
      <c r="DG218" s="333"/>
      <c r="DH218" s="333"/>
      <c r="DI218" s="333"/>
      <c r="DJ218" s="333"/>
      <c r="DK218" s="333"/>
      <c r="DL218" s="333"/>
      <c r="DM218" s="333"/>
      <c r="DN218" s="333"/>
      <c r="DO218" s="333"/>
      <c r="DP218" s="333"/>
      <c r="DQ218" s="333"/>
      <c r="DR218" s="333"/>
      <c r="DS218" s="333"/>
      <c r="DT218" s="333"/>
      <c r="DU218" s="333"/>
      <c r="DV218" s="333"/>
      <c r="DW218" s="333"/>
      <c r="DX218" s="333"/>
      <c r="DY218" s="333"/>
      <c r="DZ218" s="333"/>
      <c r="EA218" s="333"/>
      <c r="EB218" s="333"/>
      <c r="EC218" s="333"/>
      <c r="ED218" s="333"/>
      <c r="EE218" s="333"/>
      <c r="EF218" s="333"/>
      <c r="EG218" s="333"/>
      <c r="EH218" s="333"/>
      <c r="EI218" s="333"/>
      <c r="EJ218" s="333"/>
      <c r="EK218" s="333"/>
      <c r="EL218" s="333"/>
      <c r="EM218" s="333"/>
      <c r="EN218" s="333"/>
      <c r="EO218" s="333"/>
      <c r="EP218" s="333"/>
      <c r="EQ218" s="333"/>
      <c r="ER218" s="333"/>
      <c r="ES218" s="333"/>
      <c r="ET218" s="333"/>
      <c r="EU218" s="333"/>
      <c r="EV218" s="333"/>
      <c r="EW218" s="333"/>
      <c r="EX218" s="333"/>
      <c r="EY218" s="333"/>
      <c r="EZ218" s="333"/>
      <c r="QQ218" s="152"/>
      <c r="QR218" s="153"/>
    </row>
    <row r="219" spans="3:460" ht="5.0999999999999996" customHeight="1" x14ac:dyDescent="0.3">
      <c r="C219" s="149"/>
      <c r="D219" s="150"/>
      <c r="DE219" s="333"/>
      <c r="DF219" s="333"/>
      <c r="DG219" s="333"/>
      <c r="DH219" s="333"/>
      <c r="DI219" s="333"/>
      <c r="DJ219" s="333"/>
      <c r="DK219" s="333"/>
      <c r="DL219" s="333"/>
      <c r="DM219" s="333"/>
      <c r="DN219" s="333"/>
      <c r="DO219" s="333"/>
      <c r="DP219" s="333"/>
      <c r="DQ219" s="333"/>
      <c r="DR219" s="333"/>
      <c r="DS219" s="333"/>
      <c r="DT219" s="333"/>
      <c r="DU219" s="333"/>
      <c r="DV219" s="333"/>
      <c r="DW219" s="333"/>
      <c r="DX219" s="333"/>
      <c r="DY219" s="333"/>
      <c r="DZ219" s="333"/>
      <c r="EA219" s="333"/>
      <c r="EB219" s="333"/>
      <c r="EC219" s="333"/>
      <c r="ED219" s="333"/>
      <c r="EE219" s="333"/>
      <c r="EF219" s="333"/>
      <c r="EG219" s="333"/>
      <c r="EH219" s="333"/>
      <c r="EI219" s="333"/>
      <c r="EJ219" s="333"/>
      <c r="EK219" s="333"/>
      <c r="EL219" s="333"/>
      <c r="EM219" s="333"/>
      <c r="EN219" s="333"/>
      <c r="EO219" s="333"/>
      <c r="EP219" s="333"/>
      <c r="EQ219" s="333"/>
      <c r="ER219" s="333"/>
      <c r="ES219" s="333"/>
      <c r="ET219" s="333"/>
      <c r="EU219" s="333"/>
      <c r="EV219" s="333"/>
      <c r="EW219" s="333"/>
      <c r="EX219" s="333"/>
      <c r="EY219" s="333"/>
      <c r="EZ219" s="333"/>
      <c r="QQ219" s="152"/>
      <c r="QR219" s="153"/>
    </row>
    <row r="220" spans="3:460" ht="5.0999999999999996" customHeight="1" x14ac:dyDescent="0.3">
      <c r="C220" s="149"/>
      <c r="D220" s="150"/>
      <c r="DE220" s="333"/>
      <c r="DF220" s="333"/>
      <c r="DG220" s="333"/>
      <c r="DH220" s="333"/>
      <c r="DI220" s="333"/>
      <c r="DJ220" s="333"/>
      <c r="DK220" s="333"/>
      <c r="DL220" s="333"/>
      <c r="DM220" s="333"/>
      <c r="DN220" s="333"/>
      <c r="DO220" s="333"/>
      <c r="DP220" s="333"/>
      <c r="DQ220" s="333"/>
      <c r="DR220" s="333"/>
      <c r="DS220" s="333"/>
      <c r="DT220" s="333"/>
      <c r="DU220" s="333"/>
      <c r="DV220" s="333"/>
      <c r="DW220" s="333"/>
      <c r="DX220" s="333"/>
      <c r="DY220" s="333"/>
      <c r="DZ220" s="333"/>
      <c r="EA220" s="333"/>
      <c r="EB220" s="333"/>
      <c r="EC220" s="333"/>
      <c r="ED220" s="333"/>
      <c r="EE220" s="333"/>
      <c r="EF220" s="333"/>
      <c r="EG220" s="333"/>
      <c r="EH220" s="333"/>
      <c r="EI220" s="333"/>
      <c r="EJ220" s="333"/>
      <c r="EK220" s="333"/>
      <c r="EL220" s="333"/>
      <c r="EM220" s="333"/>
      <c r="EN220" s="333"/>
      <c r="EO220" s="333"/>
      <c r="EP220" s="333"/>
      <c r="EQ220" s="333"/>
      <c r="ER220" s="333"/>
      <c r="ES220" s="333"/>
      <c r="ET220" s="333"/>
      <c r="EU220" s="333"/>
      <c r="EV220" s="333"/>
      <c r="EW220" s="333"/>
      <c r="EX220" s="333"/>
      <c r="EY220" s="333"/>
      <c r="EZ220" s="333"/>
      <c r="QQ220" s="152"/>
      <c r="QR220" s="153"/>
    </row>
    <row r="221" spans="3:460" ht="5.0999999999999996" customHeight="1" x14ac:dyDescent="0.3">
      <c r="C221" s="149"/>
      <c r="D221" s="150"/>
      <c r="AW221" s="135">
        <v>10</v>
      </c>
      <c r="DE221" s="335"/>
      <c r="DF221" s="335"/>
      <c r="DG221" s="335"/>
      <c r="DH221" s="335"/>
      <c r="DI221" s="335"/>
      <c r="DJ221" s="335"/>
      <c r="DK221" s="335"/>
      <c r="DL221" s="335"/>
      <c r="DM221" s="335"/>
      <c r="DN221" s="335"/>
      <c r="DO221" s="335"/>
      <c r="DP221" s="335"/>
      <c r="DQ221" s="335"/>
      <c r="DR221" s="335"/>
      <c r="DS221" s="335"/>
      <c r="DT221" s="335"/>
      <c r="DU221" s="335"/>
      <c r="DV221" s="335"/>
      <c r="DW221" s="335"/>
      <c r="DX221" s="335"/>
      <c r="DY221" s="335"/>
      <c r="DZ221" s="335"/>
      <c r="EA221" s="335"/>
      <c r="EB221" s="335"/>
      <c r="EC221" s="335"/>
      <c r="ED221" s="335"/>
      <c r="EE221" s="335"/>
      <c r="EF221" s="335"/>
      <c r="EG221" s="335"/>
      <c r="EH221" s="335"/>
      <c r="EI221" s="335"/>
      <c r="EJ221" s="335"/>
      <c r="EK221" s="335"/>
      <c r="EL221" s="335"/>
      <c r="EM221" s="335"/>
      <c r="EN221" s="335"/>
      <c r="EO221" s="335"/>
      <c r="EP221" s="335"/>
      <c r="EQ221" s="335"/>
      <c r="ER221" s="335"/>
      <c r="ES221" s="335"/>
      <c r="ET221" s="335"/>
      <c r="EU221" s="335"/>
      <c r="EV221" s="336"/>
      <c r="EW221" s="336"/>
      <c r="EX221" s="336"/>
      <c r="EY221" s="336"/>
      <c r="EZ221" s="336"/>
      <c r="QQ221" s="152"/>
      <c r="QR221" s="153"/>
    </row>
    <row r="222" spans="3:460" ht="5.0999999999999996" customHeight="1" x14ac:dyDescent="0.3">
      <c r="C222" s="149"/>
      <c r="D222" s="150"/>
      <c r="DE222" s="335"/>
      <c r="DF222" s="335"/>
      <c r="DG222" s="335"/>
      <c r="DH222" s="335"/>
      <c r="DI222" s="335"/>
      <c r="DJ222" s="335"/>
      <c r="DK222" s="335"/>
      <c r="DL222" s="335"/>
      <c r="DM222" s="335"/>
      <c r="DN222" s="335"/>
      <c r="DO222" s="335"/>
      <c r="DP222" s="335"/>
      <c r="DQ222" s="335"/>
      <c r="DR222" s="335"/>
      <c r="DS222" s="335"/>
      <c r="DT222" s="335"/>
      <c r="DU222" s="335"/>
      <c r="DV222" s="335"/>
      <c r="DW222" s="335"/>
      <c r="DX222" s="335"/>
      <c r="DY222" s="335"/>
      <c r="DZ222" s="335"/>
      <c r="EA222" s="335"/>
      <c r="EB222" s="335"/>
      <c r="EC222" s="335"/>
      <c r="ED222" s="335"/>
      <c r="EE222" s="335"/>
      <c r="EF222" s="335"/>
      <c r="EG222" s="335"/>
      <c r="EH222" s="335"/>
      <c r="EI222" s="335"/>
      <c r="EJ222" s="335"/>
      <c r="EK222" s="335"/>
      <c r="EL222" s="335"/>
      <c r="EM222" s="335"/>
      <c r="EN222" s="335"/>
      <c r="EO222" s="335"/>
      <c r="EP222" s="335"/>
      <c r="EQ222" s="335"/>
      <c r="ER222" s="335"/>
      <c r="ES222" s="335"/>
      <c r="ET222" s="335"/>
      <c r="EU222" s="335"/>
      <c r="EV222" s="336"/>
      <c r="EW222" s="336"/>
      <c r="EX222" s="336"/>
      <c r="EY222" s="336"/>
      <c r="EZ222" s="336"/>
      <c r="QQ222" s="152"/>
      <c r="QR222" s="153"/>
    </row>
    <row r="223" spans="3:460" ht="5.0999999999999996" customHeight="1" x14ac:dyDescent="0.3">
      <c r="C223" s="149"/>
      <c r="D223" s="150"/>
      <c r="DE223" s="335"/>
      <c r="DF223" s="335"/>
      <c r="DG223" s="335"/>
      <c r="DH223" s="335"/>
      <c r="DI223" s="335"/>
      <c r="DJ223" s="335"/>
      <c r="DK223" s="335"/>
      <c r="DL223" s="335"/>
      <c r="DM223" s="335"/>
      <c r="DN223" s="335"/>
      <c r="DO223" s="335"/>
      <c r="DP223" s="335"/>
      <c r="DQ223" s="335"/>
      <c r="DR223" s="335"/>
      <c r="DS223" s="335"/>
      <c r="DT223" s="335"/>
      <c r="DU223" s="335"/>
      <c r="DV223" s="335"/>
      <c r="DW223" s="335"/>
      <c r="DX223" s="335"/>
      <c r="DY223" s="335"/>
      <c r="DZ223" s="335"/>
      <c r="EA223" s="335"/>
      <c r="EB223" s="335"/>
      <c r="EC223" s="335"/>
      <c r="ED223" s="335"/>
      <c r="EE223" s="335"/>
      <c r="EF223" s="335"/>
      <c r="EG223" s="335"/>
      <c r="EH223" s="335"/>
      <c r="EI223" s="335"/>
      <c r="EJ223" s="335"/>
      <c r="EK223" s="335"/>
      <c r="EL223" s="335"/>
      <c r="EM223" s="335"/>
      <c r="EN223" s="335"/>
      <c r="EO223" s="335"/>
      <c r="EP223" s="335"/>
      <c r="EQ223" s="335"/>
      <c r="ER223" s="335"/>
      <c r="ES223" s="335"/>
      <c r="ET223" s="335"/>
      <c r="EU223" s="335"/>
      <c r="EV223" s="336"/>
      <c r="EW223" s="336"/>
      <c r="EX223" s="336"/>
      <c r="EY223" s="336"/>
      <c r="EZ223" s="336"/>
      <c r="QQ223" s="152"/>
      <c r="QR223" s="153"/>
    </row>
    <row r="224" spans="3:460" ht="5.0999999999999996" customHeight="1" x14ac:dyDescent="0.3">
      <c r="C224" s="149"/>
      <c r="D224" s="150"/>
      <c r="DE224" s="335"/>
      <c r="DF224" s="335"/>
      <c r="DG224" s="335"/>
      <c r="DH224" s="335"/>
      <c r="DI224" s="335"/>
      <c r="DJ224" s="335"/>
      <c r="DK224" s="335"/>
      <c r="DL224" s="335"/>
      <c r="DM224" s="335"/>
      <c r="DN224" s="335"/>
      <c r="DO224" s="335"/>
      <c r="DP224" s="335"/>
      <c r="DQ224" s="335"/>
      <c r="DR224" s="335"/>
      <c r="DS224" s="335"/>
      <c r="DT224" s="335"/>
      <c r="DU224" s="335"/>
      <c r="DV224" s="335"/>
      <c r="DW224" s="335"/>
      <c r="DX224" s="335"/>
      <c r="DY224" s="335"/>
      <c r="DZ224" s="335"/>
      <c r="EA224" s="335"/>
      <c r="EB224" s="335"/>
      <c r="EC224" s="335"/>
      <c r="ED224" s="335"/>
      <c r="EE224" s="335"/>
      <c r="EF224" s="335"/>
      <c r="EG224" s="335"/>
      <c r="EH224" s="335"/>
      <c r="EI224" s="335"/>
      <c r="EJ224" s="335"/>
      <c r="EK224" s="335"/>
      <c r="EL224" s="335"/>
      <c r="EM224" s="335"/>
      <c r="EN224" s="335"/>
      <c r="EO224" s="335"/>
      <c r="EP224" s="335"/>
      <c r="EQ224" s="335"/>
      <c r="ER224" s="335"/>
      <c r="ES224" s="335"/>
      <c r="ET224" s="335"/>
      <c r="EU224" s="335"/>
      <c r="EV224" s="336"/>
      <c r="EW224" s="336"/>
      <c r="EX224" s="336"/>
      <c r="EY224" s="336"/>
      <c r="EZ224" s="336"/>
      <c r="QQ224" s="152"/>
      <c r="QR224" s="153"/>
    </row>
    <row r="225" spans="3:460" ht="5.0999999999999996" customHeight="1" x14ac:dyDescent="0.3">
      <c r="C225" s="149"/>
      <c r="D225" s="150"/>
      <c r="DE225" s="335"/>
      <c r="DF225" s="335"/>
      <c r="DG225" s="335"/>
      <c r="DH225" s="335"/>
      <c r="DI225" s="335"/>
      <c r="DJ225" s="335"/>
      <c r="DK225" s="335"/>
      <c r="DL225" s="335"/>
      <c r="DM225" s="335"/>
      <c r="DN225" s="335"/>
      <c r="DO225" s="335"/>
      <c r="DP225" s="335"/>
      <c r="DQ225" s="335"/>
      <c r="DR225" s="335"/>
      <c r="DS225" s="335"/>
      <c r="DT225" s="335"/>
      <c r="DU225" s="335"/>
      <c r="DV225" s="335"/>
      <c r="DW225" s="335"/>
      <c r="DX225" s="335"/>
      <c r="DY225" s="335"/>
      <c r="DZ225" s="335"/>
      <c r="EA225" s="335"/>
      <c r="EB225" s="335"/>
      <c r="EC225" s="335"/>
      <c r="ED225" s="335"/>
      <c r="EE225" s="335"/>
      <c r="EF225" s="335"/>
      <c r="EG225" s="335"/>
      <c r="EH225" s="335"/>
      <c r="EI225" s="335"/>
      <c r="EJ225" s="335"/>
      <c r="EK225" s="335"/>
      <c r="EL225" s="335"/>
      <c r="EM225" s="335"/>
      <c r="EN225" s="335"/>
      <c r="EO225" s="335"/>
      <c r="EP225" s="335"/>
      <c r="EQ225" s="335"/>
      <c r="ER225" s="335"/>
      <c r="ES225" s="335"/>
      <c r="ET225" s="335"/>
      <c r="EU225" s="335"/>
      <c r="EV225" s="336"/>
      <c r="EW225" s="336"/>
      <c r="EX225" s="336"/>
      <c r="EY225" s="336"/>
      <c r="EZ225" s="336"/>
      <c r="QQ225" s="152"/>
      <c r="QR225" s="153"/>
    </row>
    <row r="226" spans="3:460" ht="5.0999999999999996" customHeight="1" x14ac:dyDescent="0.3">
      <c r="C226" s="149"/>
      <c r="D226" s="150"/>
      <c r="DE226" s="335"/>
      <c r="DF226" s="335"/>
      <c r="DG226" s="335"/>
      <c r="DH226" s="335"/>
      <c r="DI226" s="335"/>
      <c r="DJ226" s="335"/>
      <c r="DK226" s="335"/>
      <c r="DL226" s="335"/>
      <c r="DM226" s="335"/>
      <c r="DN226" s="335"/>
      <c r="DO226" s="335"/>
      <c r="DP226" s="335"/>
      <c r="DQ226" s="335"/>
      <c r="DR226" s="335"/>
      <c r="DS226" s="335"/>
      <c r="DT226" s="335"/>
      <c r="DU226" s="335"/>
      <c r="DV226" s="335"/>
      <c r="DW226" s="335"/>
      <c r="DX226" s="335"/>
      <c r="DY226" s="335"/>
      <c r="DZ226" s="335"/>
      <c r="EA226" s="335"/>
      <c r="EB226" s="335"/>
      <c r="EC226" s="335"/>
      <c r="ED226" s="335"/>
      <c r="EE226" s="335"/>
      <c r="EF226" s="335"/>
      <c r="EG226" s="335"/>
      <c r="EH226" s="335"/>
      <c r="EI226" s="335"/>
      <c r="EJ226" s="335"/>
      <c r="EK226" s="335"/>
      <c r="EL226" s="335"/>
      <c r="EM226" s="335"/>
      <c r="EN226" s="335"/>
      <c r="EO226" s="335"/>
      <c r="EP226" s="335"/>
      <c r="EQ226" s="335"/>
      <c r="ER226" s="335"/>
      <c r="ES226" s="335"/>
      <c r="ET226" s="335"/>
      <c r="EU226" s="335"/>
      <c r="EV226" s="336"/>
      <c r="EW226" s="336"/>
      <c r="EX226" s="336"/>
      <c r="EY226" s="336"/>
      <c r="EZ226" s="336"/>
      <c r="QQ226" s="152"/>
      <c r="QR226" s="153"/>
    </row>
    <row r="227" spans="3:460" ht="5.0999999999999996" customHeight="1" x14ac:dyDescent="0.3">
      <c r="C227" s="149"/>
      <c r="D227" s="150"/>
      <c r="DE227" s="333"/>
      <c r="DF227" s="333"/>
      <c r="DG227" s="333"/>
      <c r="DH227" s="333"/>
      <c r="DI227" s="333"/>
      <c r="DJ227" s="333"/>
      <c r="DK227" s="333"/>
      <c r="DL227" s="333"/>
      <c r="DM227" s="333"/>
      <c r="DN227" s="333"/>
      <c r="DO227" s="333"/>
      <c r="DP227" s="333"/>
      <c r="DQ227" s="333"/>
      <c r="DR227" s="333"/>
      <c r="DS227" s="333"/>
      <c r="DT227" s="333"/>
      <c r="DU227" s="333"/>
      <c r="DV227" s="333"/>
      <c r="DW227" s="333"/>
      <c r="DX227" s="333"/>
      <c r="DY227" s="333"/>
      <c r="DZ227" s="333"/>
      <c r="EA227" s="333"/>
      <c r="EB227" s="333"/>
      <c r="EC227" s="333"/>
      <c r="ED227" s="333"/>
      <c r="EE227" s="333"/>
      <c r="EF227" s="333"/>
      <c r="EG227" s="333"/>
      <c r="EH227" s="333"/>
      <c r="EI227" s="333"/>
      <c r="EJ227" s="333"/>
      <c r="EK227" s="333"/>
      <c r="EL227" s="333"/>
      <c r="EM227" s="333"/>
      <c r="EN227" s="333"/>
      <c r="EO227" s="333"/>
      <c r="EP227" s="333"/>
      <c r="EQ227" s="333"/>
      <c r="ER227" s="333"/>
      <c r="ES227" s="333"/>
      <c r="ET227" s="333"/>
      <c r="EU227" s="333"/>
      <c r="EV227" s="333"/>
      <c r="EW227" s="333"/>
      <c r="EX227" s="333"/>
      <c r="EY227" s="333"/>
      <c r="EZ227" s="333"/>
      <c r="QQ227" s="152"/>
      <c r="QR227" s="153"/>
    </row>
    <row r="228" spans="3:460" ht="5.0999999999999996" customHeight="1" x14ac:dyDescent="0.3">
      <c r="C228" s="149"/>
      <c r="D228" s="150"/>
      <c r="DE228" s="333"/>
      <c r="DF228" s="333"/>
      <c r="DG228" s="333"/>
      <c r="DH228" s="333"/>
      <c r="DI228" s="333"/>
      <c r="DJ228" s="333"/>
      <c r="DK228" s="333"/>
      <c r="DL228" s="333"/>
      <c r="DM228" s="333"/>
      <c r="DN228" s="333"/>
      <c r="DO228" s="333"/>
      <c r="DP228" s="333"/>
      <c r="DQ228" s="333"/>
      <c r="DR228" s="333"/>
      <c r="DS228" s="333"/>
      <c r="DT228" s="333"/>
      <c r="DU228" s="333"/>
      <c r="DV228" s="333"/>
      <c r="DW228" s="333"/>
      <c r="DX228" s="333"/>
      <c r="DY228" s="333"/>
      <c r="DZ228" s="333"/>
      <c r="EA228" s="333"/>
      <c r="EB228" s="333"/>
      <c r="EC228" s="333"/>
      <c r="ED228" s="333"/>
      <c r="EE228" s="333"/>
      <c r="EF228" s="333"/>
      <c r="EG228" s="333"/>
      <c r="EH228" s="333"/>
      <c r="EI228" s="333"/>
      <c r="EJ228" s="333"/>
      <c r="EK228" s="333"/>
      <c r="EL228" s="333"/>
      <c r="EM228" s="333"/>
      <c r="EN228" s="333"/>
      <c r="EO228" s="333"/>
      <c r="EP228" s="333"/>
      <c r="EQ228" s="333"/>
      <c r="ER228" s="333"/>
      <c r="ES228" s="333"/>
      <c r="ET228" s="333"/>
      <c r="EU228" s="333"/>
      <c r="EV228" s="333"/>
      <c r="EW228" s="333"/>
      <c r="EX228" s="333"/>
      <c r="EY228" s="333"/>
      <c r="EZ228" s="333"/>
      <c r="QQ228" s="152"/>
      <c r="QR228" s="153"/>
    </row>
    <row r="229" spans="3:460" ht="5.0999999999999996" customHeight="1" x14ac:dyDescent="0.3">
      <c r="C229" s="149"/>
      <c r="D229" s="150"/>
      <c r="DE229" s="333"/>
      <c r="DF229" s="333"/>
      <c r="DG229" s="333"/>
      <c r="DH229" s="333"/>
      <c r="DI229" s="333"/>
      <c r="DJ229" s="333"/>
      <c r="DK229" s="333"/>
      <c r="DL229" s="333"/>
      <c r="DM229" s="333"/>
      <c r="DN229" s="333"/>
      <c r="DO229" s="333"/>
      <c r="DP229" s="333"/>
      <c r="DQ229" s="333"/>
      <c r="DR229" s="333"/>
      <c r="DS229" s="333"/>
      <c r="DT229" s="333"/>
      <c r="DU229" s="333"/>
      <c r="DV229" s="333"/>
      <c r="DW229" s="333"/>
      <c r="DX229" s="333"/>
      <c r="DY229" s="333"/>
      <c r="DZ229" s="333"/>
      <c r="EA229" s="333"/>
      <c r="EB229" s="333"/>
      <c r="EC229" s="333"/>
      <c r="ED229" s="333"/>
      <c r="EE229" s="333"/>
      <c r="EF229" s="333"/>
      <c r="EG229" s="333"/>
      <c r="EH229" s="333"/>
      <c r="EI229" s="333"/>
      <c r="EJ229" s="333"/>
      <c r="EK229" s="333"/>
      <c r="EL229" s="333"/>
      <c r="EM229" s="333"/>
      <c r="EN229" s="333"/>
      <c r="EO229" s="333"/>
      <c r="EP229" s="333"/>
      <c r="EQ229" s="333"/>
      <c r="ER229" s="333"/>
      <c r="ES229" s="333"/>
      <c r="ET229" s="333"/>
      <c r="EU229" s="333"/>
      <c r="EV229" s="333"/>
      <c r="EW229" s="333"/>
      <c r="EX229" s="333"/>
      <c r="EY229" s="333"/>
      <c r="EZ229" s="333"/>
      <c r="QQ229" s="152"/>
      <c r="QR229" s="153"/>
    </row>
    <row r="230" spans="3:460" ht="5.0999999999999996" customHeight="1" x14ac:dyDescent="0.3">
      <c r="C230" s="149"/>
      <c r="D230" s="150"/>
      <c r="DE230" s="333"/>
      <c r="DF230" s="333"/>
      <c r="DG230" s="333"/>
      <c r="DH230" s="333"/>
      <c r="DI230" s="333"/>
      <c r="DJ230" s="333"/>
      <c r="DK230" s="333"/>
      <c r="DL230" s="333"/>
      <c r="DM230" s="333"/>
      <c r="DN230" s="333"/>
      <c r="DO230" s="333"/>
      <c r="DP230" s="333"/>
      <c r="DQ230" s="333"/>
      <c r="DR230" s="333"/>
      <c r="DS230" s="333"/>
      <c r="DT230" s="333"/>
      <c r="DU230" s="333"/>
      <c r="DV230" s="333"/>
      <c r="DW230" s="333"/>
      <c r="DX230" s="333"/>
      <c r="DY230" s="333"/>
      <c r="DZ230" s="333"/>
      <c r="EA230" s="333"/>
      <c r="EB230" s="333"/>
      <c r="EC230" s="333"/>
      <c r="ED230" s="333"/>
      <c r="EE230" s="333"/>
      <c r="EF230" s="333"/>
      <c r="EG230" s="333"/>
      <c r="EH230" s="333"/>
      <c r="EI230" s="333"/>
      <c r="EJ230" s="333"/>
      <c r="EK230" s="333"/>
      <c r="EL230" s="333"/>
      <c r="EM230" s="333"/>
      <c r="EN230" s="333"/>
      <c r="EO230" s="333"/>
      <c r="EP230" s="333"/>
      <c r="EQ230" s="333"/>
      <c r="ER230" s="333"/>
      <c r="ES230" s="333"/>
      <c r="ET230" s="333"/>
      <c r="EU230" s="333"/>
      <c r="EV230" s="333"/>
      <c r="EW230" s="333"/>
      <c r="EX230" s="333"/>
      <c r="EY230" s="333"/>
      <c r="EZ230" s="333"/>
      <c r="QQ230" s="152"/>
      <c r="QR230" s="153"/>
    </row>
    <row r="231" spans="3:460" ht="5.0999999999999996" customHeight="1" x14ac:dyDescent="0.3">
      <c r="C231" s="149"/>
      <c r="D231" s="150"/>
      <c r="AW231" s="135">
        <v>10</v>
      </c>
      <c r="DE231" s="333"/>
      <c r="DF231" s="333"/>
      <c r="DG231" s="333"/>
      <c r="DH231" s="333"/>
      <c r="DI231" s="333"/>
      <c r="DJ231" s="333"/>
      <c r="DK231" s="333"/>
      <c r="DL231" s="333"/>
      <c r="DM231" s="333"/>
      <c r="DN231" s="333"/>
      <c r="DO231" s="333"/>
      <c r="DP231" s="333"/>
      <c r="DQ231" s="333"/>
      <c r="DR231" s="333"/>
      <c r="DS231" s="333"/>
      <c r="DT231" s="333"/>
      <c r="DU231" s="333"/>
      <c r="DV231" s="333"/>
      <c r="DW231" s="333"/>
      <c r="DX231" s="333"/>
      <c r="DY231" s="333"/>
      <c r="DZ231" s="333"/>
      <c r="EA231" s="333"/>
      <c r="EB231" s="333"/>
      <c r="EC231" s="333"/>
      <c r="ED231" s="333"/>
      <c r="EE231" s="333"/>
      <c r="EF231" s="333"/>
      <c r="EG231" s="333"/>
      <c r="EH231" s="333"/>
      <c r="EI231" s="333"/>
      <c r="EJ231" s="333"/>
      <c r="EK231" s="333"/>
      <c r="EL231" s="333"/>
      <c r="EM231" s="333"/>
      <c r="EN231" s="333"/>
      <c r="EO231" s="333"/>
      <c r="EP231" s="333"/>
      <c r="EQ231" s="333"/>
      <c r="ER231" s="333"/>
      <c r="ES231" s="333"/>
      <c r="ET231" s="333"/>
      <c r="EU231" s="333"/>
      <c r="EV231" s="333"/>
      <c r="EW231" s="333"/>
      <c r="EX231" s="333"/>
      <c r="EY231" s="333"/>
      <c r="EZ231" s="333"/>
      <c r="QQ231" s="152"/>
      <c r="QR231" s="153"/>
    </row>
    <row r="232" spans="3:460" ht="5.0999999999999996" customHeight="1" x14ac:dyDescent="0.3">
      <c r="C232" s="149"/>
      <c r="D232" s="150"/>
      <c r="DE232" s="333"/>
      <c r="DF232" s="333"/>
      <c r="DG232" s="333"/>
      <c r="DH232" s="333"/>
      <c r="DI232" s="333"/>
      <c r="DJ232" s="333"/>
      <c r="DK232" s="333"/>
      <c r="DL232" s="333"/>
      <c r="DM232" s="333"/>
      <c r="DN232" s="333"/>
      <c r="DO232" s="333"/>
      <c r="DP232" s="333"/>
      <c r="DQ232" s="333"/>
      <c r="DR232" s="333"/>
      <c r="DS232" s="333"/>
      <c r="DT232" s="333"/>
      <c r="DU232" s="333"/>
      <c r="DV232" s="333"/>
      <c r="DW232" s="333"/>
      <c r="DX232" s="333"/>
      <c r="DY232" s="333"/>
      <c r="DZ232" s="333"/>
      <c r="EA232" s="333"/>
      <c r="EB232" s="333"/>
      <c r="EC232" s="333"/>
      <c r="ED232" s="333"/>
      <c r="EE232" s="333"/>
      <c r="EF232" s="333"/>
      <c r="EG232" s="333"/>
      <c r="EH232" s="333"/>
      <c r="EI232" s="333"/>
      <c r="EJ232" s="333"/>
      <c r="EK232" s="333"/>
      <c r="EL232" s="333"/>
      <c r="EM232" s="333"/>
      <c r="EN232" s="333"/>
      <c r="EO232" s="333"/>
      <c r="EP232" s="333"/>
      <c r="EQ232" s="333"/>
      <c r="ER232" s="333"/>
      <c r="ES232" s="333"/>
      <c r="ET232" s="333"/>
      <c r="EU232" s="333"/>
      <c r="EV232" s="333"/>
      <c r="EW232" s="333"/>
      <c r="EX232" s="333"/>
      <c r="EY232" s="333"/>
      <c r="EZ232" s="333"/>
      <c r="QQ232" s="152"/>
      <c r="QR232" s="153"/>
    </row>
    <row r="233" spans="3:460" ht="5.0999999999999996" customHeight="1" x14ac:dyDescent="0.3">
      <c r="C233" s="149"/>
      <c r="D233" s="150"/>
      <c r="DE233" s="333"/>
      <c r="DF233" s="333"/>
      <c r="DG233" s="333"/>
      <c r="DH233" s="333"/>
      <c r="DI233" s="333"/>
      <c r="DJ233" s="333"/>
      <c r="DK233" s="333"/>
      <c r="DL233" s="333"/>
      <c r="DM233" s="333"/>
      <c r="DN233" s="333"/>
      <c r="DO233" s="333"/>
      <c r="DP233" s="333"/>
      <c r="DQ233" s="333"/>
      <c r="DR233" s="333"/>
      <c r="DS233" s="333"/>
      <c r="DT233" s="333"/>
      <c r="DU233" s="333"/>
      <c r="DV233" s="333"/>
      <c r="DW233" s="333"/>
      <c r="DX233" s="333"/>
      <c r="DY233" s="333"/>
      <c r="DZ233" s="333"/>
      <c r="EA233" s="333"/>
      <c r="EB233" s="333"/>
      <c r="EC233" s="333"/>
      <c r="ED233" s="333"/>
      <c r="EE233" s="333"/>
      <c r="EF233" s="333"/>
      <c r="EG233" s="333"/>
      <c r="EH233" s="333"/>
      <c r="EI233" s="333"/>
      <c r="EJ233" s="333"/>
      <c r="EK233" s="333"/>
      <c r="EL233" s="333"/>
      <c r="EM233" s="333"/>
      <c r="EN233" s="333"/>
      <c r="EO233" s="333"/>
      <c r="EP233" s="333"/>
      <c r="EQ233" s="333"/>
      <c r="ER233" s="333"/>
      <c r="ES233" s="333"/>
      <c r="ET233" s="333"/>
      <c r="EU233" s="333"/>
      <c r="EV233" s="333"/>
      <c r="EW233" s="333"/>
      <c r="EX233" s="333"/>
      <c r="EY233" s="333"/>
      <c r="EZ233" s="333"/>
      <c r="QQ233" s="152"/>
      <c r="QR233" s="153"/>
    </row>
    <row r="234" spans="3:460" ht="5.0999999999999996" customHeight="1" x14ac:dyDescent="0.3">
      <c r="C234" s="149"/>
      <c r="D234" s="150"/>
      <c r="DE234" s="333"/>
      <c r="DF234" s="333"/>
      <c r="DG234" s="333"/>
      <c r="DH234" s="333"/>
      <c r="DI234" s="333"/>
      <c r="DJ234" s="333"/>
      <c r="DK234" s="333"/>
      <c r="DL234" s="333"/>
      <c r="DM234" s="333"/>
      <c r="DN234" s="333"/>
      <c r="DO234" s="333"/>
      <c r="DP234" s="333"/>
      <c r="DQ234" s="333"/>
      <c r="DR234" s="333"/>
      <c r="DS234" s="333"/>
      <c r="DT234" s="333"/>
      <c r="DU234" s="333"/>
      <c r="DV234" s="333"/>
      <c r="DW234" s="333"/>
      <c r="DX234" s="333"/>
      <c r="DY234" s="333"/>
      <c r="DZ234" s="333"/>
      <c r="EA234" s="333"/>
      <c r="EB234" s="333"/>
      <c r="EC234" s="333"/>
      <c r="ED234" s="333"/>
      <c r="EE234" s="333"/>
      <c r="EF234" s="333"/>
      <c r="EG234" s="333"/>
      <c r="EH234" s="333"/>
      <c r="EI234" s="333"/>
      <c r="EJ234" s="333"/>
      <c r="EK234" s="333"/>
      <c r="EL234" s="333"/>
      <c r="EM234" s="333"/>
      <c r="EN234" s="333"/>
      <c r="EO234" s="333"/>
      <c r="EP234" s="333"/>
      <c r="EQ234" s="333"/>
      <c r="ER234" s="333"/>
      <c r="ES234" s="333"/>
      <c r="ET234" s="333"/>
      <c r="EU234" s="333"/>
      <c r="EV234" s="333"/>
      <c r="EW234" s="333"/>
      <c r="EX234" s="333"/>
      <c r="EY234" s="333"/>
      <c r="EZ234" s="333"/>
      <c r="QQ234" s="152"/>
      <c r="QR234" s="153"/>
    </row>
    <row r="235" spans="3:460" ht="5.0999999999999996" customHeight="1" x14ac:dyDescent="0.3">
      <c r="C235" s="149"/>
      <c r="D235" s="150"/>
      <c r="DE235" s="333"/>
      <c r="DF235" s="333"/>
      <c r="DG235" s="333"/>
      <c r="DH235" s="333"/>
      <c r="DI235" s="333"/>
      <c r="DJ235" s="333"/>
      <c r="DK235" s="333"/>
      <c r="DL235" s="333"/>
      <c r="DM235" s="333"/>
      <c r="DN235" s="333"/>
      <c r="DO235" s="333"/>
      <c r="DP235" s="333"/>
      <c r="DQ235" s="333"/>
      <c r="DR235" s="333"/>
      <c r="DS235" s="333"/>
      <c r="DT235" s="333"/>
      <c r="DU235" s="333"/>
      <c r="DV235" s="333"/>
      <c r="DW235" s="333"/>
      <c r="DX235" s="333"/>
      <c r="DY235" s="333"/>
      <c r="DZ235" s="333"/>
      <c r="EA235" s="333"/>
      <c r="EB235" s="333"/>
      <c r="EC235" s="333"/>
      <c r="ED235" s="333"/>
      <c r="EE235" s="333"/>
      <c r="EF235" s="333"/>
      <c r="EG235" s="333"/>
      <c r="EH235" s="333"/>
      <c r="EI235" s="333"/>
      <c r="EJ235" s="333"/>
      <c r="EK235" s="333"/>
      <c r="EL235" s="333"/>
      <c r="EM235" s="333"/>
      <c r="EN235" s="333"/>
      <c r="EO235" s="333"/>
      <c r="EP235" s="333"/>
      <c r="EQ235" s="333"/>
      <c r="ER235" s="333"/>
      <c r="ES235" s="333"/>
      <c r="ET235" s="333"/>
      <c r="EU235" s="333"/>
      <c r="EV235" s="333"/>
      <c r="EW235" s="333"/>
      <c r="EX235" s="333"/>
      <c r="EY235" s="333"/>
      <c r="EZ235" s="333"/>
      <c r="QQ235" s="152"/>
      <c r="QR235" s="153"/>
    </row>
    <row r="236" spans="3:460" ht="5.0999999999999996" customHeight="1" x14ac:dyDescent="0.3">
      <c r="C236" s="149"/>
      <c r="D236" s="150"/>
      <c r="DE236" s="333"/>
      <c r="DF236" s="333"/>
      <c r="DG236" s="333"/>
      <c r="DH236" s="333"/>
      <c r="DI236" s="333"/>
      <c r="DJ236" s="333"/>
      <c r="DK236" s="333"/>
      <c r="DL236" s="333"/>
      <c r="DM236" s="333"/>
      <c r="DN236" s="333"/>
      <c r="DO236" s="333"/>
      <c r="DP236" s="333"/>
      <c r="DQ236" s="333"/>
      <c r="DR236" s="333"/>
      <c r="DS236" s="333"/>
      <c r="DT236" s="333"/>
      <c r="DU236" s="333"/>
      <c r="DV236" s="333"/>
      <c r="DW236" s="333"/>
      <c r="DX236" s="333"/>
      <c r="DY236" s="333"/>
      <c r="DZ236" s="333"/>
      <c r="EA236" s="333"/>
      <c r="EB236" s="333"/>
      <c r="EC236" s="333"/>
      <c r="ED236" s="333"/>
      <c r="EE236" s="333"/>
      <c r="EF236" s="333"/>
      <c r="EG236" s="333"/>
      <c r="EH236" s="333"/>
      <c r="EI236" s="333"/>
      <c r="EJ236" s="333"/>
      <c r="EK236" s="333"/>
      <c r="EL236" s="333"/>
      <c r="EM236" s="333"/>
      <c r="EN236" s="333"/>
      <c r="EO236" s="333"/>
      <c r="EP236" s="333"/>
      <c r="EQ236" s="333"/>
      <c r="ER236" s="333"/>
      <c r="ES236" s="333"/>
      <c r="ET236" s="333"/>
      <c r="EU236" s="333"/>
      <c r="EV236" s="333"/>
      <c r="EW236" s="333"/>
      <c r="EX236" s="333"/>
      <c r="EY236" s="333"/>
      <c r="EZ236" s="333"/>
      <c r="QQ236" s="152"/>
      <c r="QR236" s="153"/>
    </row>
    <row r="237" spans="3:460" ht="5.0999999999999996" customHeight="1" x14ac:dyDescent="0.3">
      <c r="C237" s="149"/>
      <c r="D237" s="150"/>
      <c r="DE237" s="333"/>
      <c r="DF237" s="333"/>
      <c r="DG237" s="333"/>
      <c r="DH237" s="333"/>
      <c r="DI237" s="333"/>
      <c r="DJ237" s="333"/>
      <c r="DK237" s="333"/>
      <c r="DL237" s="333"/>
      <c r="DM237" s="333"/>
      <c r="DN237" s="333"/>
      <c r="DO237" s="333"/>
      <c r="DP237" s="333"/>
      <c r="DQ237" s="333"/>
      <c r="DR237" s="333"/>
      <c r="DS237" s="333"/>
      <c r="DT237" s="333"/>
      <c r="DU237" s="333"/>
      <c r="DV237" s="333"/>
      <c r="DW237" s="333"/>
      <c r="DX237" s="333"/>
      <c r="DY237" s="333"/>
      <c r="DZ237" s="333"/>
      <c r="EA237" s="333"/>
      <c r="EB237" s="333"/>
      <c r="EC237" s="333"/>
      <c r="ED237" s="333"/>
      <c r="EE237" s="333"/>
      <c r="EF237" s="333"/>
      <c r="EG237" s="333"/>
      <c r="EH237" s="333"/>
      <c r="EI237" s="333"/>
      <c r="EJ237" s="333"/>
      <c r="EK237" s="333"/>
      <c r="EL237" s="333"/>
      <c r="EM237" s="333"/>
      <c r="EN237" s="333"/>
      <c r="EO237" s="333"/>
      <c r="EP237" s="333"/>
      <c r="EQ237" s="333"/>
      <c r="ER237" s="333"/>
      <c r="ES237" s="333"/>
      <c r="ET237" s="333"/>
      <c r="EU237" s="333"/>
      <c r="EV237" s="333"/>
      <c r="EW237" s="333"/>
      <c r="EX237" s="333"/>
      <c r="EY237" s="333"/>
      <c r="EZ237" s="333"/>
      <c r="QQ237" s="152"/>
      <c r="QR237" s="153"/>
    </row>
    <row r="238" spans="3:460" ht="5.0999999999999996" customHeight="1" x14ac:dyDescent="0.3">
      <c r="C238" s="149"/>
      <c r="D238" s="150"/>
      <c r="DE238" s="333"/>
      <c r="DF238" s="333"/>
      <c r="DG238" s="333"/>
      <c r="DH238" s="333"/>
      <c r="DI238" s="333"/>
      <c r="DJ238" s="333"/>
      <c r="DK238" s="333"/>
      <c r="DL238" s="333"/>
      <c r="DM238" s="333"/>
      <c r="DN238" s="333"/>
      <c r="DO238" s="333"/>
      <c r="DP238" s="333"/>
      <c r="DQ238" s="333"/>
      <c r="DR238" s="333"/>
      <c r="DS238" s="333"/>
      <c r="DT238" s="333"/>
      <c r="DU238" s="333"/>
      <c r="DV238" s="333"/>
      <c r="DW238" s="333"/>
      <c r="DX238" s="333"/>
      <c r="DY238" s="333"/>
      <c r="DZ238" s="333"/>
      <c r="EA238" s="333"/>
      <c r="EB238" s="333"/>
      <c r="EC238" s="333"/>
      <c r="ED238" s="333"/>
      <c r="EE238" s="333"/>
      <c r="EF238" s="333"/>
      <c r="EG238" s="333"/>
      <c r="EH238" s="333"/>
      <c r="EI238" s="333"/>
      <c r="EJ238" s="333"/>
      <c r="EK238" s="333"/>
      <c r="EL238" s="333"/>
      <c r="EM238" s="333"/>
      <c r="EN238" s="333"/>
      <c r="EO238" s="333"/>
      <c r="EP238" s="333"/>
      <c r="EQ238" s="333"/>
      <c r="ER238" s="333"/>
      <c r="ES238" s="333"/>
      <c r="ET238" s="333"/>
      <c r="EU238" s="333"/>
      <c r="EV238" s="333"/>
      <c r="EW238" s="333"/>
      <c r="EX238" s="333"/>
      <c r="EY238" s="333"/>
      <c r="EZ238" s="333"/>
      <c r="QQ238" s="152"/>
      <c r="QR238" s="153"/>
    </row>
    <row r="239" spans="3:460" ht="5.0999999999999996" customHeight="1" x14ac:dyDescent="0.3">
      <c r="C239" s="149"/>
      <c r="D239" s="150"/>
      <c r="QQ239" s="152"/>
      <c r="QR239" s="153"/>
    </row>
    <row r="240" spans="3:460" ht="5.0999999999999996" customHeight="1" x14ac:dyDescent="0.3">
      <c r="C240" s="149"/>
      <c r="D240" s="150"/>
      <c r="QQ240" s="152"/>
      <c r="QR240" s="153"/>
    </row>
    <row r="241" spans="3:460" ht="5.0999999999999996" customHeight="1" thickBot="1" x14ac:dyDescent="0.35">
      <c r="C241" s="149"/>
      <c r="D241" s="150"/>
      <c r="QQ241" s="152"/>
      <c r="QR241" s="153"/>
    </row>
    <row r="242" spans="3:460" ht="5.0999999999999996" customHeight="1" thickBot="1" x14ac:dyDescent="0.35">
      <c r="C242" s="149"/>
      <c r="D242" s="150"/>
      <c r="ND242" s="135">
        <v>100</v>
      </c>
      <c r="OD242" s="354" t="s">
        <v>314</v>
      </c>
      <c r="OE242" s="355"/>
      <c r="OF242" s="355"/>
      <c r="OG242" s="355"/>
      <c r="OH242" s="355"/>
      <c r="OI242" s="355"/>
      <c r="OJ242" s="355"/>
      <c r="OK242" s="355"/>
      <c r="OL242" s="355"/>
      <c r="OM242" s="355"/>
      <c r="ON242" s="355"/>
      <c r="OO242" s="355"/>
      <c r="OP242" s="355"/>
      <c r="OQ242" s="355"/>
      <c r="OR242" s="355"/>
      <c r="OS242" s="355"/>
      <c r="OT242" s="355"/>
      <c r="OU242" s="355"/>
      <c r="OV242" s="355"/>
      <c r="OW242" s="355"/>
      <c r="OX242" s="355"/>
      <c r="OY242" s="355"/>
      <c r="OZ242" s="355"/>
      <c r="PA242" s="355"/>
      <c r="PB242" s="355"/>
      <c r="PC242" s="355"/>
      <c r="PD242" s="355"/>
      <c r="PE242" s="355"/>
      <c r="PF242" s="355"/>
      <c r="PG242" s="355"/>
      <c r="PH242" s="355"/>
      <c r="PI242" s="355"/>
      <c r="PJ242" s="355"/>
      <c r="PK242" s="355"/>
      <c r="PL242" s="355"/>
      <c r="PM242" s="355"/>
      <c r="PN242" s="355"/>
      <c r="PO242" s="355"/>
      <c r="PP242" s="355"/>
      <c r="PQ242" s="355"/>
      <c r="PR242" s="355"/>
      <c r="PS242" s="355"/>
      <c r="PT242" s="355"/>
      <c r="PU242" s="355"/>
      <c r="PV242" s="355"/>
      <c r="PW242" s="355"/>
      <c r="PX242" s="355"/>
      <c r="PY242" s="355"/>
      <c r="PZ242" s="355"/>
      <c r="QA242" s="356"/>
      <c r="QB242" s="363">
        <f>SUM(IR19,AX37,EX46,NM37,QF38,DN70,PY95,PY105,AV107,CR107,EN107,GJ107,IF107,LV40,PC37,GH71)</f>
        <v>100</v>
      </c>
      <c r="QC242" s="364"/>
      <c r="QD242" s="364"/>
      <c r="QE242" s="364"/>
      <c r="QF242" s="364"/>
      <c r="QG242" s="364"/>
      <c r="QH242" s="364"/>
      <c r="QI242" s="364"/>
      <c r="QJ242" s="364"/>
      <c r="QK242" s="364"/>
      <c r="QL242" s="364"/>
      <c r="QM242" s="365"/>
      <c r="QQ242" s="152"/>
      <c r="QR242" s="153"/>
    </row>
    <row r="243" spans="3:460" ht="5.0999999999999996" customHeight="1" x14ac:dyDescent="0.3">
      <c r="C243" s="149"/>
      <c r="D243" s="150"/>
      <c r="F243" s="346" t="s">
        <v>315</v>
      </c>
      <c r="G243" s="347"/>
      <c r="H243" s="347"/>
      <c r="I243" s="347"/>
      <c r="J243" s="347"/>
      <c r="K243" s="347"/>
      <c r="L243" s="347"/>
      <c r="M243" s="347"/>
      <c r="N243" s="347"/>
      <c r="O243" s="347"/>
      <c r="P243" s="347"/>
      <c r="Q243" s="347"/>
      <c r="R243" s="347"/>
      <c r="S243" s="347"/>
      <c r="T243" s="347"/>
      <c r="U243" s="347"/>
      <c r="V243" s="347"/>
      <c r="W243" s="347"/>
      <c r="X243" s="347"/>
      <c r="Y243" s="347"/>
      <c r="Z243" s="347"/>
      <c r="AA243" s="347"/>
      <c r="AB243" s="347"/>
      <c r="AC243" s="347"/>
      <c r="AD243" s="347"/>
      <c r="AE243" s="347"/>
      <c r="AF243" s="347"/>
      <c r="AG243" s="348"/>
      <c r="AH243" s="346" t="s">
        <v>316</v>
      </c>
      <c r="AI243" s="347"/>
      <c r="AJ243" s="347"/>
      <c r="AK243" s="347"/>
      <c r="AL243" s="347"/>
      <c r="AM243" s="347"/>
      <c r="AN243" s="347"/>
      <c r="AO243" s="347"/>
      <c r="AP243" s="347"/>
      <c r="AQ243" s="347"/>
      <c r="AR243" s="347"/>
      <c r="AS243" s="347"/>
      <c r="AT243" s="347"/>
      <c r="AU243" s="347"/>
      <c r="AV243" s="347"/>
      <c r="AW243" s="347"/>
      <c r="AX243" s="347"/>
      <c r="AY243" s="347"/>
      <c r="AZ243" s="347"/>
      <c r="BA243" s="347"/>
      <c r="BB243" s="347"/>
      <c r="BC243" s="347"/>
      <c r="BD243" s="347"/>
      <c r="BE243" s="347"/>
      <c r="BF243" s="347"/>
      <c r="BG243" s="347"/>
      <c r="BH243" s="347"/>
      <c r="BI243" s="348"/>
      <c r="BJ243" s="346" t="s">
        <v>317</v>
      </c>
      <c r="BK243" s="347"/>
      <c r="BL243" s="347"/>
      <c r="BM243" s="347"/>
      <c r="BN243" s="347"/>
      <c r="BO243" s="347"/>
      <c r="BP243" s="347"/>
      <c r="BQ243" s="347"/>
      <c r="BR243" s="347"/>
      <c r="BS243" s="347"/>
      <c r="BT243" s="347"/>
      <c r="BU243" s="347"/>
      <c r="BV243" s="347"/>
      <c r="BW243" s="347"/>
      <c r="BX243" s="347"/>
      <c r="BY243" s="347"/>
      <c r="BZ243" s="347"/>
      <c r="CA243" s="347"/>
      <c r="CB243" s="347"/>
      <c r="CC243" s="347"/>
      <c r="CD243" s="347"/>
      <c r="CE243" s="347"/>
      <c r="CF243" s="347"/>
      <c r="CG243" s="347"/>
      <c r="CH243" s="347"/>
      <c r="CI243" s="347"/>
      <c r="CJ243" s="347"/>
      <c r="CK243" s="348"/>
      <c r="OD243" s="357"/>
      <c r="OE243" s="358"/>
      <c r="OF243" s="358"/>
      <c r="OG243" s="358"/>
      <c r="OH243" s="358"/>
      <c r="OI243" s="358"/>
      <c r="OJ243" s="358"/>
      <c r="OK243" s="358"/>
      <c r="OL243" s="358"/>
      <c r="OM243" s="358"/>
      <c r="ON243" s="358"/>
      <c r="OO243" s="358"/>
      <c r="OP243" s="358"/>
      <c r="OQ243" s="358"/>
      <c r="OR243" s="358"/>
      <c r="OS243" s="358"/>
      <c r="OT243" s="358"/>
      <c r="OU243" s="358"/>
      <c r="OV243" s="358"/>
      <c r="OW243" s="358"/>
      <c r="OX243" s="358"/>
      <c r="OY243" s="358"/>
      <c r="OZ243" s="358"/>
      <c r="PA243" s="358"/>
      <c r="PB243" s="358"/>
      <c r="PC243" s="358"/>
      <c r="PD243" s="358"/>
      <c r="PE243" s="358"/>
      <c r="PF243" s="358"/>
      <c r="PG243" s="358"/>
      <c r="PH243" s="358"/>
      <c r="PI243" s="358"/>
      <c r="PJ243" s="358"/>
      <c r="PK243" s="358"/>
      <c r="PL243" s="358"/>
      <c r="PM243" s="358"/>
      <c r="PN243" s="358"/>
      <c r="PO243" s="358"/>
      <c r="PP243" s="358"/>
      <c r="PQ243" s="358"/>
      <c r="PR243" s="358"/>
      <c r="PS243" s="358"/>
      <c r="PT243" s="358"/>
      <c r="PU243" s="358"/>
      <c r="PV243" s="358"/>
      <c r="PW243" s="358"/>
      <c r="PX243" s="358"/>
      <c r="PY243" s="358"/>
      <c r="PZ243" s="358"/>
      <c r="QA243" s="359"/>
      <c r="QB243" s="366"/>
      <c r="QC243" s="367"/>
      <c r="QD243" s="367"/>
      <c r="QE243" s="367"/>
      <c r="QF243" s="367"/>
      <c r="QG243" s="367"/>
      <c r="QH243" s="367"/>
      <c r="QI243" s="367"/>
      <c r="QJ243" s="367"/>
      <c r="QK243" s="367"/>
      <c r="QL243" s="367"/>
      <c r="QM243" s="368"/>
      <c r="QQ243" s="152"/>
      <c r="QR243" s="153"/>
    </row>
    <row r="244" spans="3:460" ht="5.0999999999999996" customHeight="1" x14ac:dyDescent="0.3">
      <c r="C244" s="149"/>
      <c r="D244" s="150"/>
      <c r="F244" s="349"/>
      <c r="G244" s="333"/>
      <c r="H244" s="333"/>
      <c r="I244" s="333"/>
      <c r="J244" s="333"/>
      <c r="K244" s="333"/>
      <c r="L244" s="333"/>
      <c r="M244" s="333"/>
      <c r="N244" s="333"/>
      <c r="O244" s="333"/>
      <c r="P244" s="333"/>
      <c r="Q244" s="333"/>
      <c r="R244" s="333"/>
      <c r="S244" s="333"/>
      <c r="T244" s="333"/>
      <c r="U244" s="333"/>
      <c r="V244" s="333"/>
      <c r="W244" s="333"/>
      <c r="X244" s="333"/>
      <c r="Y244" s="333"/>
      <c r="Z244" s="333"/>
      <c r="AA244" s="333"/>
      <c r="AB244" s="333"/>
      <c r="AC244" s="333"/>
      <c r="AD244" s="333"/>
      <c r="AE244" s="333"/>
      <c r="AF244" s="333"/>
      <c r="AG244" s="350"/>
      <c r="AH244" s="349"/>
      <c r="AI244" s="333"/>
      <c r="AJ244" s="333"/>
      <c r="AK244" s="333"/>
      <c r="AL244" s="333"/>
      <c r="AM244" s="333"/>
      <c r="AN244" s="333"/>
      <c r="AO244" s="333"/>
      <c r="AP244" s="333"/>
      <c r="AQ244" s="333"/>
      <c r="AR244" s="333"/>
      <c r="AS244" s="333"/>
      <c r="AT244" s="333"/>
      <c r="AU244" s="333"/>
      <c r="AV244" s="333"/>
      <c r="AW244" s="333"/>
      <c r="AX244" s="333"/>
      <c r="AY244" s="333"/>
      <c r="AZ244" s="333"/>
      <c r="BA244" s="333"/>
      <c r="BB244" s="333"/>
      <c r="BC244" s="333"/>
      <c r="BD244" s="333"/>
      <c r="BE244" s="333"/>
      <c r="BF244" s="333"/>
      <c r="BG244" s="333"/>
      <c r="BH244" s="333"/>
      <c r="BI244" s="350"/>
      <c r="BJ244" s="349"/>
      <c r="BK244" s="333"/>
      <c r="BL244" s="333"/>
      <c r="BM244" s="333"/>
      <c r="BN244" s="333"/>
      <c r="BO244" s="333"/>
      <c r="BP244" s="333"/>
      <c r="BQ244" s="333"/>
      <c r="BR244" s="333"/>
      <c r="BS244" s="333"/>
      <c r="BT244" s="333"/>
      <c r="BU244" s="333"/>
      <c r="BV244" s="333"/>
      <c r="BW244" s="333"/>
      <c r="BX244" s="333"/>
      <c r="BY244" s="333"/>
      <c r="BZ244" s="333"/>
      <c r="CA244" s="333"/>
      <c r="CB244" s="333"/>
      <c r="CC244" s="333"/>
      <c r="CD244" s="333"/>
      <c r="CE244" s="333"/>
      <c r="CF244" s="333"/>
      <c r="CG244" s="333"/>
      <c r="CH244" s="333"/>
      <c r="CI244" s="333"/>
      <c r="CJ244" s="333"/>
      <c r="CK244" s="350"/>
      <c r="OD244" s="357"/>
      <c r="OE244" s="358"/>
      <c r="OF244" s="358"/>
      <c r="OG244" s="358"/>
      <c r="OH244" s="358"/>
      <c r="OI244" s="358"/>
      <c r="OJ244" s="358"/>
      <c r="OK244" s="358"/>
      <c r="OL244" s="358"/>
      <c r="OM244" s="358"/>
      <c r="ON244" s="358"/>
      <c r="OO244" s="358"/>
      <c r="OP244" s="358"/>
      <c r="OQ244" s="358"/>
      <c r="OR244" s="358"/>
      <c r="OS244" s="358"/>
      <c r="OT244" s="358"/>
      <c r="OU244" s="358"/>
      <c r="OV244" s="358"/>
      <c r="OW244" s="358"/>
      <c r="OX244" s="358"/>
      <c r="OY244" s="358"/>
      <c r="OZ244" s="358"/>
      <c r="PA244" s="358"/>
      <c r="PB244" s="358"/>
      <c r="PC244" s="358"/>
      <c r="PD244" s="358"/>
      <c r="PE244" s="358"/>
      <c r="PF244" s="358"/>
      <c r="PG244" s="358"/>
      <c r="PH244" s="358"/>
      <c r="PI244" s="358"/>
      <c r="PJ244" s="358"/>
      <c r="PK244" s="358"/>
      <c r="PL244" s="358"/>
      <c r="PM244" s="358"/>
      <c r="PN244" s="358"/>
      <c r="PO244" s="358"/>
      <c r="PP244" s="358"/>
      <c r="PQ244" s="358"/>
      <c r="PR244" s="358"/>
      <c r="PS244" s="358"/>
      <c r="PT244" s="358"/>
      <c r="PU244" s="358"/>
      <c r="PV244" s="358"/>
      <c r="PW244" s="358"/>
      <c r="PX244" s="358"/>
      <c r="PY244" s="358"/>
      <c r="PZ244" s="358"/>
      <c r="QA244" s="359"/>
      <c r="QB244" s="366"/>
      <c r="QC244" s="367"/>
      <c r="QD244" s="367"/>
      <c r="QE244" s="367"/>
      <c r="QF244" s="367"/>
      <c r="QG244" s="367"/>
      <c r="QH244" s="367"/>
      <c r="QI244" s="367"/>
      <c r="QJ244" s="367"/>
      <c r="QK244" s="367"/>
      <c r="QL244" s="367"/>
      <c r="QM244" s="368"/>
      <c r="QQ244" s="152"/>
      <c r="QR244" s="153"/>
    </row>
    <row r="245" spans="3:460" ht="5.0999999999999996" customHeight="1" x14ac:dyDescent="0.3">
      <c r="C245" s="149"/>
      <c r="D245" s="150"/>
      <c r="F245" s="349"/>
      <c r="G245" s="333"/>
      <c r="H245" s="333"/>
      <c r="I245" s="333"/>
      <c r="J245" s="333"/>
      <c r="K245" s="333"/>
      <c r="L245" s="333"/>
      <c r="M245" s="333"/>
      <c r="N245" s="333"/>
      <c r="O245" s="333"/>
      <c r="P245" s="333"/>
      <c r="Q245" s="333"/>
      <c r="R245" s="333"/>
      <c r="S245" s="333"/>
      <c r="T245" s="333"/>
      <c r="U245" s="333"/>
      <c r="V245" s="333"/>
      <c r="W245" s="333"/>
      <c r="X245" s="333"/>
      <c r="Y245" s="333"/>
      <c r="Z245" s="333"/>
      <c r="AA245" s="333"/>
      <c r="AB245" s="333"/>
      <c r="AC245" s="333"/>
      <c r="AD245" s="333"/>
      <c r="AE245" s="333"/>
      <c r="AF245" s="333"/>
      <c r="AG245" s="350"/>
      <c r="AH245" s="349"/>
      <c r="AI245" s="333"/>
      <c r="AJ245" s="333"/>
      <c r="AK245" s="333"/>
      <c r="AL245" s="333"/>
      <c r="AM245" s="333"/>
      <c r="AN245" s="333"/>
      <c r="AO245" s="333"/>
      <c r="AP245" s="333"/>
      <c r="AQ245" s="333"/>
      <c r="AR245" s="333"/>
      <c r="AS245" s="333"/>
      <c r="AT245" s="333"/>
      <c r="AU245" s="333"/>
      <c r="AV245" s="333"/>
      <c r="AW245" s="333"/>
      <c r="AX245" s="333"/>
      <c r="AY245" s="333"/>
      <c r="AZ245" s="333"/>
      <c r="BA245" s="333"/>
      <c r="BB245" s="333"/>
      <c r="BC245" s="333"/>
      <c r="BD245" s="333"/>
      <c r="BE245" s="333"/>
      <c r="BF245" s="333"/>
      <c r="BG245" s="333"/>
      <c r="BH245" s="333"/>
      <c r="BI245" s="350"/>
      <c r="BJ245" s="349"/>
      <c r="BK245" s="333"/>
      <c r="BL245" s="333"/>
      <c r="BM245" s="333"/>
      <c r="BN245" s="333"/>
      <c r="BO245" s="333"/>
      <c r="BP245" s="333"/>
      <c r="BQ245" s="333"/>
      <c r="BR245" s="333"/>
      <c r="BS245" s="333"/>
      <c r="BT245" s="333"/>
      <c r="BU245" s="333"/>
      <c r="BV245" s="333"/>
      <c r="BW245" s="333"/>
      <c r="BX245" s="333"/>
      <c r="BY245" s="333"/>
      <c r="BZ245" s="333"/>
      <c r="CA245" s="333"/>
      <c r="CB245" s="333"/>
      <c r="CC245" s="333"/>
      <c r="CD245" s="333"/>
      <c r="CE245" s="333"/>
      <c r="CF245" s="333"/>
      <c r="CG245" s="333"/>
      <c r="CH245" s="333"/>
      <c r="CI245" s="333"/>
      <c r="CJ245" s="333"/>
      <c r="CK245" s="350"/>
      <c r="OD245" s="357"/>
      <c r="OE245" s="358"/>
      <c r="OF245" s="358"/>
      <c r="OG245" s="358"/>
      <c r="OH245" s="358"/>
      <c r="OI245" s="358"/>
      <c r="OJ245" s="358"/>
      <c r="OK245" s="358"/>
      <c r="OL245" s="358"/>
      <c r="OM245" s="358"/>
      <c r="ON245" s="358"/>
      <c r="OO245" s="358"/>
      <c r="OP245" s="358"/>
      <c r="OQ245" s="358"/>
      <c r="OR245" s="358"/>
      <c r="OS245" s="358"/>
      <c r="OT245" s="358"/>
      <c r="OU245" s="358"/>
      <c r="OV245" s="358"/>
      <c r="OW245" s="358"/>
      <c r="OX245" s="358"/>
      <c r="OY245" s="358"/>
      <c r="OZ245" s="358"/>
      <c r="PA245" s="358"/>
      <c r="PB245" s="358"/>
      <c r="PC245" s="358"/>
      <c r="PD245" s="358"/>
      <c r="PE245" s="358"/>
      <c r="PF245" s="358"/>
      <c r="PG245" s="358"/>
      <c r="PH245" s="358"/>
      <c r="PI245" s="358"/>
      <c r="PJ245" s="358"/>
      <c r="PK245" s="358"/>
      <c r="PL245" s="358"/>
      <c r="PM245" s="358"/>
      <c r="PN245" s="358"/>
      <c r="PO245" s="358"/>
      <c r="PP245" s="358"/>
      <c r="PQ245" s="358"/>
      <c r="PR245" s="358"/>
      <c r="PS245" s="358"/>
      <c r="PT245" s="358"/>
      <c r="PU245" s="358"/>
      <c r="PV245" s="358"/>
      <c r="PW245" s="358"/>
      <c r="PX245" s="358"/>
      <c r="PY245" s="358"/>
      <c r="PZ245" s="358"/>
      <c r="QA245" s="359"/>
      <c r="QB245" s="366"/>
      <c r="QC245" s="367"/>
      <c r="QD245" s="367"/>
      <c r="QE245" s="367"/>
      <c r="QF245" s="367"/>
      <c r="QG245" s="367"/>
      <c r="QH245" s="367"/>
      <c r="QI245" s="367"/>
      <c r="QJ245" s="367"/>
      <c r="QK245" s="367"/>
      <c r="QL245" s="367"/>
      <c r="QM245" s="368"/>
      <c r="QQ245" s="152"/>
      <c r="QR245" s="153"/>
    </row>
    <row r="246" spans="3:460" ht="5.0999999999999996" customHeight="1" x14ac:dyDescent="0.3">
      <c r="C246" s="149"/>
      <c r="D246" s="150"/>
      <c r="F246" s="349"/>
      <c r="G246" s="333"/>
      <c r="H246" s="333"/>
      <c r="I246" s="333"/>
      <c r="J246" s="333"/>
      <c r="K246" s="333"/>
      <c r="L246" s="333"/>
      <c r="M246" s="333"/>
      <c r="N246" s="333"/>
      <c r="O246" s="333"/>
      <c r="P246" s="333"/>
      <c r="Q246" s="333"/>
      <c r="R246" s="333"/>
      <c r="S246" s="333"/>
      <c r="T246" s="333"/>
      <c r="U246" s="333"/>
      <c r="V246" s="333"/>
      <c r="W246" s="333"/>
      <c r="X246" s="333"/>
      <c r="Y246" s="333"/>
      <c r="Z246" s="333"/>
      <c r="AA246" s="333"/>
      <c r="AB246" s="333"/>
      <c r="AC246" s="333"/>
      <c r="AD246" s="333"/>
      <c r="AE246" s="333"/>
      <c r="AF246" s="333"/>
      <c r="AG246" s="350"/>
      <c r="AH246" s="349"/>
      <c r="AI246" s="333"/>
      <c r="AJ246" s="333"/>
      <c r="AK246" s="333"/>
      <c r="AL246" s="333"/>
      <c r="AM246" s="333"/>
      <c r="AN246" s="333"/>
      <c r="AO246" s="333"/>
      <c r="AP246" s="333"/>
      <c r="AQ246" s="333"/>
      <c r="AR246" s="333"/>
      <c r="AS246" s="333"/>
      <c r="AT246" s="333"/>
      <c r="AU246" s="333"/>
      <c r="AV246" s="333"/>
      <c r="AW246" s="333"/>
      <c r="AX246" s="333"/>
      <c r="AY246" s="333"/>
      <c r="AZ246" s="333"/>
      <c r="BA246" s="333"/>
      <c r="BB246" s="333"/>
      <c r="BC246" s="333"/>
      <c r="BD246" s="333"/>
      <c r="BE246" s="333"/>
      <c r="BF246" s="333"/>
      <c r="BG246" s="333"/>
      <c r="BH246" s="333"/>
      <c r="BI246" s="350"/>
      <c r="BJ246" s="349"/>
      <c r="BK246" s="333"/>
      <c r="BL246" s="333"/>
      <c r="BM246" s="333"/>
      <c r="BN246" s="333"/>
      <c r="BO246" s="333"/>
      <c r="BP246" s="333"/>
      <c r="BQ246" s="333"/>
      <c r="BR246" s="333"/>
      <c r="BS246" s="333"/>
      <c r="BT246" s="333"/>
      <c r="BU246" s="333"/>
      <c r="BV246" s="333"/>
      <c r="BW246" s="333"/>
      <c r="BX246" s="333"/>
      <c r="BY246" s="333"/>
      <c r="BZ246" s="333"/>
      <c r="CA246" s="333"/>
      <c r="CB246" s="333"/>
      <c r="CC246" s="333"/>
      <c r="CD246" s="333"/>
      <c r="CE246" s="333"/>
      <c r="CF246" s="333"/>
      <c r="CG246" s="333"/>
      <c r="CH246" s="333"/>
      <c r="CI246" s="333"/>
      <c r="CJ246" s="333"/>
      <c r="CK246" s="350"/>
      <c r="OD246" s="357"/>
      <c r="OE246" s="358"/>
      <c r="OF246" s="358"/>
      <c r="OG246" s="358"/>
      <c r="OH246" s="358"/>
      <c r="OI246" s="358"/>
      <c r="OJ246" s="358"/>
      <c r="OK246" s="358"/>
      <c r="OL246" s="358"/>
      <c r="OM246" s="358"/>
      <c r="ON246" s="358"/>
      <c r="OO246" s="358"/>
      <c r="OP246" s="358"/>
      <c r="OQ246" s="358"/>
      <c r="OR246" s="358"/>
      <c r="OS246" s="358"/>
      <c r="OT246" s="358"/>
      <c r="OU246" s="358"/>
      <c r="OV246" s="358"/>
      <c r="OW246" s="358"/>
      <c r="OX246" s="358"/>
      <c r="OY246" s="358"/>
      <c r="OZ246" s="358"/>
      <c r="PA246" s="358"/>
      <c r="PB246" s="358"/>
      <c r="PC246" s="358"/>
      <c r="PD246" s="358"/>
      <c r="PE246" s="358"/>
      <c r="PF246" s="358"/>
      <c r="PG246" s="358"/>
      <c r="PH246" s="358"/>
      <c r="PI246" s="358"/>
      <c r="PJ246" s="358"/>
      <c r="PK246" s="358"/>
      <c r="PL246" s="358"/>
      <c r="PM246" s="358"/>
      <c r="PN246" s="358"/>
      <c r="PO246" s="358"/>
      <c r="PP246" s="358"/>
      <c r="PQ246" s="358"/>
      <c r="PR246" s="358"/>
      <c r="PS246" s="358"/>
      <c r="PT246" s="358"/>
      <c r="PU246" s="358"/>
      <c r="PV246" s="358"/>
      <c r="PW246" s="358"/>
      <c r="PX246" s="358"/>
      <c r="PY246" s="358"/>
      <c r="PZ246" s="358"/>
      <c r="QA246" s="359"/>
      <c r="QB246" s="366"/>
      <c r="QC246" s="367"/>
      <c r="QD246" s="367"/>
      <c r="QE246" s="367"/>
      <c r="QF246" s="367"/>
      <c r="QG246" s="367"/>
      <c r="QH246" s="367"/>
      <c r="QI246" s="367"/>
      <c r="QJ246" s="367"/>
      <c r="QK246" s="367"/>
      <c r="QL246" s="367"/>
      <c r="QM246" s="368"/>
      <c r="QQ246" s="152"/>
      <c r="QR246" s="153"/>
    </row>
    <row r="247" spans="3:460" ht="5.0999999999999996" customHeight="1" thickBot="1" x14ac:dyDescent="0.35">
      <c r="C247" s="149"/>
      <c r="D247" s="150"/>
      <c r="F247" s="351"/>
      <c r="G247" s="352"/>
      <c r="H247" s="352"/>
      <c r="I247" s="352"/>
      <c r="J247" s="352"/>
      <c r="K247" s="352"/>
      <c r="L247" s="352"/>
      <c r="M247" s="352"/>
      <c r="N247" s="352"/>
      <c r="O247" s="352"/>
      <c r="P247" s="352"/>
      <c r="Q247" s="352"/>
      <c r="R247" s="352"/>
      <c r="S247" s="352"/>
      <c r="T247" s="352"/>
      <c r="U247" s="352"/>
      <c r="V247" s="352"/>
      <c r="W247" s="352"/>
      <c r="X247" s="352"/>
      <c r="Y247" s="352"/>
      <c r="Z247" s="352"/>
      <c r="AA247" s="352"/>
      <c r="AB247" s="352"/>
      <c r="AC247" s="352"/>
      <c r="AD247" s="352"/>
      <c r="AE247" s="352"/>
      <c r="AF247" s="352"/>
      <c r="AG247" s="353"/>
      <c r="AH247" s="351"/>
      <c r="AI247" s="352"/>
      <c r="AJ247" s="352"/>
      <c r="AK247" s="352"/>
      <c r="AL247" s="352"/>
      <c r="AM247" s="352"/>
      <c r="AN247" s="352"/>
      <c r="AO247" s="352"/>
      <c r="AP247" s="352"/>
      <c r="AQ247" s="352"/>
      <c r="AR247" s="352"/>
      <c r="AS247" s="352"/>
      <c r="AT247" s="352"/>
      <c r="AU247" s="352"/>
      <c r="AV247" s="352"/>
      <c r="AW247" s="352"/>
      <c r="AX247" s="352"/>
      <c r="AY247" s="352"/>
      <c r="AZ247" s="352"/>
      <c r="BA247" s="352"/>
      <c r="BB247" s="352"/>
      <c r="BC247" s="352"/>
      <c r="BD247" s="352"/>
      <c r="BE247" s="352"/>
      <c r="BF247" s="352"/>
      <c r="BG247" s="352"/>
      <c r="BH247" s="352"/>
      <c r="BI247" s="353"/>
      <c r="BJ247" s="351"/>
      <c r="BK247" s="352"/>
      <c r="BL247" s="352"/>
      <c r="BM247" s="352"/>
      <c r="BN247" s="352"/>
      <c r="BO247" s="352"/>
      <c r="BP247" s="352"/>
      <c r="BQ247" s="352"/>
      <c r="BR247" s="352"/>
      <c r="BS247" s="352"/>
      <c r="BT247" s="352"/>
      <c r="BU247" s="352"/>
      <c r="BV247" s="352"/>
      <c r="BW247" s="352"/>
      <c r="BX247" s="352"/>
      <c r="BY247" s="352"/>
      <c r="BZ247" s="352"/>
      <c r="CA247" s="352"/>
      <c r="CB247" s="352"/>
      <c r="CC247" s="352"/>
      <c r="CD247" s="352"/>
      <c r="CE247" s="352"/>
      <c r="CF247" s="352"/>
      <c r="CG247" s="352"/>
      <c r="CH247" s="352"/>
      <c r="CI247" s="352"/>
      <c r="CJ247" s="352"/>
      <c r="CK247" s="353"/>
      <c r="OD247" s="357"/>
      <c r="OE247" s="358"/>
      <c r="OF247" s="358"/>
      <c r="OG247" s="358"/>
      <c r="OH247" s="358"/>
      <c r="OI247" s="358"/>
      <c r="OJ247" s="358"/>
      <c r="OK247" s="358"/>
      <c r="OL247" s="358"/>
      <c r="OM247" s="358"/>
      <c r="ON247" s="358"/>
      <c r="OO247" s="358"/>
      <c r="OP247" s="358"/>
      <c r="OQ247" s="358"/>
      <c r="OR247" s="358"/>
      <c r="OS247" s="358"/>
      <c r="OT247" s="358"/>
      <c r="OU247" s="358"/>
      <c r="OV247" s="358"/>
      <c r="OW247" s="358"/>
      <c r="OX247" s="358"/>
      <c r="OY247" s="358"/>
      <c r="OZ247" s="358"/>
      <c r="PA247" s="358"/>
      <c r="PB247" s="358"/>
      <c r="PC247" s="358"/>
      <c r="PD247" s="358"/>
      <c r="PE247" s="358"/>
      <c r="PF247" s="358"/>
      <c r="PG247" s="358"/>
      <c r="PH247" s="358"/>
      <c r="PI247" s="358"/>
      <c r="PJ247" s="358"/>
      <c r="PK247" s="358"/>
      <c r="PL247" s="358"/>
      <c r="PM247" s="358"/>
      <c r="PN247" s="358"/>
      <c r="PO247" s="358"/>
      <c r="PP247" s="358"/>
      <c r="PQ247" s="358"/>
      <c r="PR247" s="358"/>
      <c r="PS247" s="358"/>
      <c r="PT247" s="358"/>
      <c r="PU247" s="358"/>
      <c r="PV247" s="358"/>
      <c r="PW247" s="358"/>
      <c r="PX247" s="358"/>
      <c r="PY247" s="358"/>
      <c r="PZ247" s="358"/>
      <c r="QA247" s="359"/>
      <c r="QB247" s="366"/>
      <c r="QC247" s="367"/>
      <c r="QD247" s="367"/>
      <c r="QE247" s="367"/>
      <c r="QF247" s="367"/>
      <c r="QG247" s="367"/>
      <c r="QH247" s="367"/>
      <c r="QI247" s="367"/>
      <c r="QJ247" s="367"/>
      <c r="QK247" s="367"/>
      <c r="QL247" s="367"/>
      <c r="QM247" s="368"/>
      <c r="QQ247" s="152"/>
      <c r="QR247" s="153"/>
    </row>
    <row r="248" spans="3:460" ht="5.0999999999999996" customHeight="1" x14ac:dyDescent="0.3">
      <c r="C248" s="149"/>
      <c r="D248" s="150"/>
      <c r="F248" s="346"/>
      <c r="G248" s="347"/>
      <c r="H248" s="347"/>
      <c r="I248" s="347"/>
      <c r="J248" s="347"/>
      <c r="K248" s="347"/>
      <c r="L248" s="347"/>
      <c r="M248" s="347"/>
      <c r="N248" s="347"/>
      <c r="O248" s="347"/>
      <c r="P248" s="347"/>
      <c r="Q248" s="347"/>
      <c r="R248" s="347"/>
      <c r="S248" s="347"/>
      <c r="T248" s="347"/>
      <c r="U248" s="347"/>
      <c r="V248" s="347"/>
      <c r="W248" s="347"/>
      <c r="X248" s="347"/>
      <c r="Y248" s="347"/>
      <c r="Z248" s="347"/>
      <c r="AA248" s="347"/>
      <c r="AB248" s="347"/>
      <c r="AC248" s="347"/>
      <c r="AD248" s="347"/>
      <c r="AE248" s="347"/>
      <c r="AF248" s="347"/>
      <c r="AG248" s="348"/>
      <c r="AH248" s="346"/>
      <c r="AI248" s="347"/>
      <c r="AJ248" s="347"/>
      <c r="AK248" s="347"/>
      <c r="AL248" s="347"/>
      <c r="AM248" s="347"/>
      <c r="AN248" s="347"/>
      <c r="AO248" s="347"/>
      <c r="AP248" s="347"/>
      <c r="AQ248" s="347"/>
      <c r="AR248" s="347"/>
      <c r="AS248" s="347"/>
      <c r="AT248" s="347"/>
      <c r="AU248" s="347"/>
      <c r="AV248" s="347"/>
      <c r="AW248" s="347"/>
      <c r="AX248" s="347"/>
      <c r="AY248" s="347"/>
      <c r="AZ248" s="347"/>
      <c r="BA248" s="347"/>
      <c r="BB248" s="347"/>
      <c r="BC248" s="347"/>
      <c r="BD248" s="347"/>
      <c r="BE248" s="347"/>
      <c r="BF248" s="347"/>
      <c r="BG248" s="347"/>
      <c r="BH248" s="347"/>
      <c r="BI248" s="348"/>
      <c r="BJ248" s="346"/>
      <c r="BK248" s="347"/>
      <c r="BL248" s="347"/>
      <c r="BM248" s="347"/>
      <c r="BN248" s="347"/>
      <c r="BO248" s="347"/>
      <c r="BP248" s="347"/>
      <c r="BQ248" s="347"/>
      <c r="BR248" s="347"/>
      <c r="BS248" s="347"/>
      <c r="BT248" s="347"/>
      <c r="BU248" s="347"/>
      <c r="BV248" s="347"/>
      <c r="BW248" s="347"/>
      <c r="BX248" s="347"/>
      <c r="BY248" s="347"/>
      <c r="BZ248" s="347"/>
      <c r="CA248" s="347"/>
      <c r="CB248" s="347"/>
      <c r="CC248" s="347"/>
      <c r="CD248" s="347"/>
      <c r="CE248" s="347"/>
      <c r="CF248" s="347"/>
      <c r="CG248" s="347"/>
      <c r="CH248" s="347"/>
      <c r="CI248" s="347"/>
      <c r="CJ248" s="347"/>
      <c r="CK248" s="348"/>
      <c r="OD248" s="357"/>
      <c r="OE248" s="358"/>
      <c r="OF248" s="358"/>
      <c r="OG248" s="358"/>
      <c r="OH248" s="358"/>
      <c r="OI248" s="358"/>
      <c r="OJ248" s="358"/>
      <c r="OK248" s="358"/>
      <c r="OL248" s="358"/>
      <c r="OM248" s="358"/>
      <c r="ON248" s="358"/>
      <c r="OO248" s="358"/>
      <c r="OP248" s="358"/>
      <c r="OQ248" s="358"/>
      <c r="OR248" s="358"/>
      <c r="OS248" s="358"/>
      <c r="OT248" s="358"/>
      <c r="OU248" s="358"/>
      <c r="OV248" s="358"/>
      <c r="OW248" s="358"/>
      <c r="OX248" s="358"/>
      <c r="OY248" s="358"/>
      <c r="OZ248" s="358"/>
      <c r="PA248" s="358"/>
      <c r="PB248" s="358"/>
      <c r="PC248" s="358"/>
      <c r="PD248" s="358"/>
      <c r="PE248" s="358"/>
      <c r="PF248" s="358"/>
      <c r="PG248" s="358"/>
      <c r="PH248" s="358"/>
      <c r="PI248" s="358"/>
      <c r="PJ248" s="358"/>
      <c r="PK248" s="358"/>
      <c r="PL248" s="358"/>
      <c r="PM248" s="358"/>
      <c r="PN248" s="358"/>
      <c r="PO248" s="358"/>
      <c r="PP248" s="358"/>
      <c r="PQ248" s="358"/>
      <c r="PR248" s="358"/>
      <c r="PS248" s="358"/>
      <c r="PT248" s="358"/>
      <c r="PU248" s="358"/>
      <c r="PV248" s="358"/>
      <c r="PW248" s="358"/>
      <c r="PX248" s="358"/>
      <c r="PY248" s="358"/>
      <c r="PZ248" s="358"/>
      <c r="QA248" s="359"/>
      <c r="QB248" s="366"/>
      <c r="QC248" s="367"/>
      <c r="QD248" s="367"/>
      <c r="QE248" s="367"/>
      <c r="QF248" s="367"/>
      <c r="QG248" s="367"/>
      <c r="QH248" s="367"/>
      <c r="QI248" s="367"/>
      <c r="QJ248" s="367"/>
      <c r="QK248" s="367"/>
      <c r="QL248" s="367"/>
      <c r="QM248" s="368"/>
      <c r="QQ248" s="152"/>
      <c r="QR248" s="153"/>
    </row>
    <row r="249" spans="3:460" ht="5.0999999999999996" customHeight="1" x14ac:dyDescent="0.3">
      <c r="C249" s="149"/>
      <c r="D249" s="150"/>
      <c r="F249" s="349"/>
      <c r="G249" s="333"/>
      <c r="H249" s="333"/>
      <c r="I249" s="333"/>
      <c r="J249" s="333"/>
      <c r="K249" s="333"/>
      <c r="L249" s="333"/>
      <c r="M249" s="333"/>
      <c r="N249" s="333"/>
      <c r="O249" s="333"/>
      <c r="P249" s="333"/>
      <c r="Q249" s="333"/>
      <c r="R249" s="333"/>
      <c r="S249" s="333"/>
      <c r="T249" s="333"/>
      <c r="U249" s="333"/>
      <c r="V249" s="333"/>
      <c r="W249" s="333"/>
      <c r="X249" s="333"/>
      <c r="Y249" s="333"/>
      <c r="Z249" s="333"/>
      <c r="AA249" s="333"/>
      <c r="AB249" s="333"/>
      <c r="AC249" s="333"/>
      <c r="AD249" s="333"/>
      <c r="AE249" s="333"/>
      <c r="AF249" s="333"/>
      <c r="AG249" s="350"/>
      <c r="AH249" s="349"/>
      <c r="AI249" s="333"/>
      <c r="AJ249" s="333"/>
      <c r="AK249" s="333"/>
      <c r="AL249" s="333"/>
      <c r="AM249" s="333"/>
      <c r="AN249" s="333"/>
      <c r="AO249" s="333"/>
      <c r="AP249" s="333"/>
      <c r="AQ249" s="333"/>
      <c r="AR249" s="333"/>
      <c r="AS249" s="333"/>
      <c r="AT249" s="333"/>
      <c r="AU249" s="333"/>
      <c r="AV249" s="333"/>
      <c r="AW249" s="333"/>
      <c r="AX249" s="333"/>
      <c r="AY249" s="333"/>
      <c r="AZ249" s="333"/>
      <c r="BA249" s="333"/>
      <c r="BB249" s="333"/>
      <c r="BC249" s="333"/>
      <c r="BD249" s="333"/>
      <c r="BE249" s="333"/>
      <c r="BF249" s="333"/>
      <c r="BG249" s="333"/>
      <c r="BH249" s="333"/>
      <c r="BI249" s="350"/>
      <c r="BJ249" s="349"/>
      <c r="BK249" s="333"/>
      <c r="BL249" s="333"/>
      <c r="BM249" s="333"/>
      <c r="BN249" s="333"/>
      <c r="BO249" s="333"/>
      <c r="BP249" s="333"/>
      <c r="BQ249" s="333"/>
      <c r="BR249" s="333"/>
      <c r="BS249" s="333"/>
      <c r="BT249" s="333"/>
      <c r="BU249" s="333"/>
      <c r="BV249" s="333"/>
      <c r="BW249" s="333"/>
      <c r="BX249" s="333"/>
      <c r="BY249" s="333"/>
      <c r="BZ249" s="333"/>
      <c r="CA249" s="333"/>
      <c r="CB249" s="333"/>
      <c r="CC249" s="333"/>
      <c r="CD249" s="333"/>
      <c r="CE249" s="333"/>
      <c r="CF249" s="333"/>
      <c r="CG249" s="333"/>
      <c r="CH249" s="333"/>
      <c r="CI249" s="333"/>
      <c r="CJ249" s="333"/>
      <c r="CK249" s="350"/>
      <c r="OD249" s="357"/>
      <c r="OE249" s="358"/>
      <c r="OF249" s="358"/>
      <c r="OG249" s="358"/>
      <c r="OH249" s="358"/>
      <c r="OI249" s="358"/>
      <c r="OJ249" s="358"/>
      <c r="OK249" s="358"/>
      <c r="OL249" s="358"/>
      <c r="OM249" s="358"/>
      <c r="ON249" s="358"/>
      <c r="OO249" s="358"/>
      <c r="OP249" s="358"/>
      <c r="OQ249" s="358"/>
      <c r="OR249" s="358"/>
      <c r="OS249" s="358"/>
      <c r="OT249" s="358"/>
      <c r="OU249" s="358"/>
      <c r="OV249" s="358"/>
      <c r="OW249" s="358"/>
      <c r="OX249" s="358"/>
      <c r="OY249" s="358"/>
      <c r="OZ249" s="358"/>
      <c r="PA249" s="358"/>
      <c r="PB249" s="358"/>
      <c r="PC249" s="358"/>
      <c r="PD249" s="358"/>
      <c r="PE249" s="358"/>
      <c r="PF249" s="358"/>
      <c r="PG249" s="358"/>
      <c r="PH249" s="358"/>
      <c r="PI249" s="358"/>
      <c r="PJ249" s="358"/>
      <c r="PK249" s="358"/>
      <c r="PL249" s="358"/>
      <c r="PM249" s="358"/>
      <c r="PN249" s="358"/>
      <c r="PO249" s="358"/>
      <c r="PP249" s="358"/>
      <c r="PQ249" s="358"/>
      <c r="PR249" s="358"/>
      <c r="PS249" s="358"/>
      <c r="PT249" s="358"/>
      <c r="PU249" s="358"/>
      <c r="PV249" s="358"/>
      <c r="PW249" s="358"/>
      <c r="PX249" s="358"/>
      <c r="PY249" s="358"/>
      <c r="PZ249" s="358"/>
      <c r="QA249" s="359"/>
      <c r="QB249" s="366"/>
      <c r="QC249" s="367"/>
      <c r="QD249" s="367"/>
      <c r="QE249" s="367"/>
      <c r="QF249" s="367"/>
      <c r="QG249" s="367"/>
      <c r="QH249" s="367"/>
      <c r="QI249" s="367"/>
      <c r="QJ249" s="367"/>
      <c r="QK249" s="367"/>
      <c r="QL249" s="367"/>
      <c r="QM249" s="368"/>
      <c r="QQ249" s="152"/>
      <c r="QR249" s="153"/>
    </row>
    <row r="250" spans="3:460" ht="5.0999999999999996" customHeight="1" thickBot="1" x14ac:dyDescent="0.35">
      <c r="C250" s="149"/>
      <c r="D250" s="150"/>
      <c r="F250" s="349"/>
      <c r="G250" s="333"/>
      <c r="H250" s="333"/>
      <c r="I250" s="333"/>
      <c r="J250" s="333"/>
      <c r="K250" s="333"/>
      <c r="L250" s="333"/>
      <c r="M250" s="333"/>
      <c r="N250" s="333"/>
      <c r="O250" s="333"/>
      <c r="P250" s="333"/>
      <c r="Q250" s="333"/>
      <c r="R250" s="333"/>
      <c r="S250" s="333"/>
      <c r="T250" s="333"/>
      <c r="U250" s="333"/>
      <c r="V250" s="333"/>
      <c r="W250" s="333"/>
      <c r="X250" s="333"/>
      <c r="Y250" s="333"/>
      <c r="Z250" s="333"/>
      <c r="AA250" s="333"/>
      <c r="AB250" s="333"/>
      <c r="AC250" s="333"/>
      <c r="AD250" s="333"/>
      <c r="AE250" s="333"/>
      <c r="AF250" s="333"/>
      <c r="AG250" s="350"/>
      <c r="AH250" s="349"/>
      <c r="AI250" s="333"/>
      <c r="AJ250" s="333"/>
      <c r="AK250" s="333"/>
      <c r="AL250" s="333"/>
      <c r="AM250" s="333"/>
      <c r="AN250" s="333"/>
      <c r="AO250" s="333"/>
      <c r="AP250" s="333"/>
      <c r="AQ250" s="333"/>
      <c r="AR250" s="333"/>
      <c r="AS250" s="333"/>
      <c r="AT250" s="333"/>
      <c r="AU250" s="333"/>
      <c r="AV250" s="333"/>
      <c r="AW250" s="333"/>
      <c r="AX250" s="333"/>
      <c r="AY250" s="333"/>
      <c r="AZ250" s="333"/>
      <c r="BA250" s="333"/>
      <c r="BB250" s="333"/>
      <c r="BC250" s="333"/>
      <c r="BD250" s="333"/>
      <c r="BE250" s="333"/>
      <c r="BF250" s="333"/>
      <c r="BG250" s="333"/>
      <c r="BH250" s="333"/>
      <c r="BI250" s="350"/>
      <c r="BJ250" s="349"/>
      <c r="BK250" s="333"/>
      <c r="BL250" s="333"/>
      <c r="BM250" s="333"/>
      <c r="BN250" s="333"/>
      <c r="BO250" s="333"/>
      <c r="BP250" s="333"/>
      <c r="BQ250" s="333"/>
      <c r="BR250" s="333"/>
      <c r="BS250" s="333"/>
      <c r="BT250" s="333"/>
      <c r="BU250" s="333"/>
      <c r="BV250" s="333"/>
      <c r="BW250" s="333"/>
      <c r="BX250" s="333"/>
      <c r="BY250" s="333"/>
      <c r="BZ250" s="333"/>
      <c r="CA250" s="333"/>
      <c r="CB250" s="333"/>
      <c r="CC250" s="333"/>
      <c r="CD250" s="333"/>
      <c r="CE250" s="333"/>
      <c r="CF250" s="333"/>
      <c r="CG250" s="333"/>
      <c r="CH250" s="333"/>
      <c r="CI250" s="333"/>
      <c r="CJ250" s="333"/>
      <c r="CK250" s="350"/>
      <c r="OD250" s="360"/>
      <c r="OE250" s="361"/>
      <c r="OF250" s="361"/>
      <c r="OG250" s="361"/>
      <c r="OH250" s="361"/>
      <c r="OI250" s="361"/>
      <c r="OJ250" s="361"/>
      <c r="OK250" s="361"/>
      <c r="OL250" s="361"/>
      <c r="OM250" s="361"/>
      <c r="ON250" s="361"/>
      <c r="OO250" s="361"/>
      <c r="OP250" s="361"/>
      <c r="OQ250" s="361"/>
      <c r="OR250" s="361"/>
      <c r="OS250" s="361"/>
      <c r="OT250" s="361"/>
      <c r="OU250" s="361"/>
      <c r="OV250" s="361"/>
      <c r="OW250" s="361"/>
      <c r="OX250" s="361"/>
      <c r="OY250" s="361"/>
      <c r="OZ250" s="361"/>
      <c r="PA250" s="361"/>
      <c r="PB250" s="361"/>
      <c r="PC250" s="361"/>
      <c r="PD250" s="361"/>
      <c r="PE250" s="361"/>
      <c r="PF250" s="361"/>
      <c r="PG250" s="361"/>
      <c r="PH250" s="361"/>
      <c r="PI250" s="361"/>
      <c r="PJ250" s="361"/>
      <c r="PK250" s="361"/>
      <c r="PL250" s="361"/>
      <c r="PM250" s="361"/>
      <c r="PN250" s="361"/>
      <c r="PO250" s="361"/>
      <c r="PP250" s="361"/>
      <c r="PQ250" s="361"/>
      <c r="PR250" s="361"/>
      <c r="PS250" s="361"/>
      <c r="PT250" s="361"/>
      <c r="PU250" s="361"/>
      <c r="PV250" s="361"/>
      <c r="PW250" s="361"/>
      <c r="PX250" s="361"/>
      <c r="PY250" s="361"/>
      <c r="PZ250" s="361"/>
      <c r="QA250" s="362"/>
      <c r="QB250" s="369"/>
      <c r="QC250" s="370"/>
      <c r="QD250" s="370"/>
      <c r="QE250" s="370"/>
      <c r="QF250" s="370"/>
      <c r="QG250" s="370"/>
      <c r="QH250" s="370"/>
      <c r="QI250" s="370"/>
      <c r="QJ250" s="370"/>
      <c r="QK250" s="370"/>
      <c r="QL250" s="370"/>
      <c r="QM250" s="371"/>
      <c r="QQ250" s="152"/>
      <c r="QR250" s="153"/>
    </row>
    <row r="251" spans="3:460" ht="5.0999999999999996" customHeight="1" x14ac:dyDescent="0.3">
      <c r="C251" s="149"/>
      <c r="D251" s="150"/>
      <c r="F251" s="349"/>
      <c r="G251" s="333"/>
      <c r="H251" s="333"/>
      <c r="I251" s="333"/>
      <c r="J251" s="333"/>
      <c r="K251" s="333"/>
      <c r="L251" s="333"/>
      <c r="M251" s="333"/>
      <c r="N251" s="333"/>
      <c r="O251" s="333"/>
      <c r="P251" s="333"/>
      <c r="Q251" s="333"/>
      <c r="R251" s="333"/>
      <c r="S251" s="333"/>
      <c r="T251" s="333"/>
      <c r="U251" s="333"/>
      <c r="V251" s="333"/>
      <c r="W251" s="333"/>
      <c r="X251" s="333"/>
      <c r="Y251" s="333"/>
      <c r="Z251" s="333"/>
      <c r="AA251" s="333"/>
      <c r="AB251" s="333"/>
      <c r="AC251" s="333"/>
      <c r="AD251" s="333"/>
      <c r="AE251" s="333"/>
      <c r="AF251" s="333"/>
      <c r="AG251" s="350"/>
      <c r="AH251" s="349"/>
      <c r="AI251" s="333"/>
      <c r="AJ251" s="333"/>
      <c r="AK251" s="333"/>
      <c r="AL251" s="333"/>
      <c r="AM251" s="333"/>
      <c r="AN251" s="333"/>
      <c r="AO251" s="333"/>
      <c r="AP251" s="333"/>
      <c r="AQ251" s="333"/>
      <c r="AR251" s="333"/>
      <c r="AS251" s="333"/>
      <c r="AT251" s="333"/>
      <c r="AU251" s="333"/>
      <c r="AV251" s="333"/>
      <c r="AW251" s="333"/>
      <c r="AX251" s="333"/>
      <c r="AY251" s="333"/>
      <c r="AZ251" s="333"/>
      <c r="BA251" s="333"/>
      <c r="BB251" s="333"/>
      <c r="BC251" s="333"/>
      <c r="BD251" s="333"/>
      <c r="BE251" s="333"/>
      <c r="BF251" s="333"/>
      <c r="BG251" s="333"/>
      <c r="BH251" s="333"/>
      <c r="BI251" s="350"/>
      <c r="BJ251" s="349"/>
      <c r="BK251" s="333"/>
      <c r="BL251" s="333"/>
      <c r="BM251" s="333"/>
      <c r="BN251" s="333"/>
      <c r="BO251" s="333"/>
      <c r="BP251" s="333"/>
      <c r="BQ251" s="333"/>
      <c r="BR251" s="333"/>
      <c r="BS251" s="333"/>
      <c r="BT251" s="333"/>
      <c r="BU251" s="333"/>
      <c r="BV251" s="333"/>
      <c r="BW251" s="333"/>
      <c r="BX251" s="333"/>
      <c r="BY251" s="333"/>
      <c r="BZ251" s="333"/>
      <c r="CA251" s="333"/>
      <c r="CB251" s="333"/>
      <c r="CC251" s="333"/>
      <c r="CD251" s="333"/>
      <c r="CE251" s="333"/>
      <c r="CF251" s="333"/>
      <c r="CG251" s="333"/>
      <c r="CH251" s="333"/>
      <c r="CI251" s="333"/>
      <c r="CJ251" s="333"/>
      <c r="CK251" s="350"/>
      <c r="QQ251" s="152"/>
      <c r="QR251" s="153"/>
    </row>
    <row r="252" spans="3:460" ht="5.0999999999999996" customHeight="1" thickBot="1" x14ac:dyDescent="0.35">
      <c r="C252" s="149"/>
      <c r="D252" s="150"/>
      <c r="F252" s="351"/>
      <c r="G252" s="352"/>
      <c r="H252" s="352"/>
      <c r="I252" s="352"/>
      <c r="J252" s="352"/>
      <c r="K252" s="352"/>
      <c r="L252" s="352"/>
      <c r="M252" s="352"/>
      <c r="N252" s="352"/>
      <c r="O252" s="352"/>
      <c r="P252" s="352"/>
      <c r="Q252" s="352"/>
      <c r="R252" s="352"/>
      <c r="S252" s="352"/>
      <c r="T252" s="352"/>
      <c r="U252" s="352"/>
      <c r="V252" s="352"/>
      <c r="W252" s="352"/>
      <c r="X252" s="352"/>
      <c r="Y252" s="352"/>
      <c r="Z252" s="352"/>
      <c r="AA252" s="352"/>
      <c r="AB252" s="352"/>
      <c r="AC252" s="352"/>
      <c r="AD252" s="352"/>
      <c r="AE252" s="352"/>
      <c r="AF252" s="352"/>
      <c r="AG252" s="353"/>
      <c r="AH252" s="351"/>
      <c r="AI252" s="352"/>
      <c r="AJ252" s="352"/>
      <c r="AK252" s="352"/>
      <c r="AL252" s="352"/>
      <c r="AM252" s="352"/>
      <c r="AN252" s="352"/>
      <c r="AO252" s="352"/>
      <c r="AP252" s="352"/>
      <c r="AQ252" s="352"/>
      <c r="AR252" s="352"/>
      <c r="AS252" s="352"/>
      <c r="AT252" s="352"/>
      <c r="AU252" s="352"/>
      <c r="AV252" s="352"/>
      <c r="AW252" s="352"/>
      <c r="AX252" s="352"/>
      <c r="AY252" s="352"/>
      <c r="AZ252" s="352"/>
      <c r="BA252" s="352"/>
      <c r="BB252" s="352"/>
      <c r="BC252" s="352"/>
      <c r="BD252" s="352"/>
      <c r="BE252" s="352"/>
      <c r="BF252" s="352"/>
      <c r="BG252" s="352"/>
      <c r="BH252" s="352"/>
      <c r="BI252" s="353"/>
      <c r="BJ252" s="351"/>
      <c r="BK252" s="352"/>
      <c r="BL252" s="352"/>
      <c r="BM252" s="352"/>
      <c r="BN252" s="352"/>
      <c r="BO252" s="352"/>
      <c r="BP252" s="352"/>
      <c r="BQ252" s="352"/>
      <c r="BR252" s="352"/>
      <c r="BS252" s="352"/>
      <c r="BT252" s="352"/>
      <c r="BU252" s="352"/>
      <c r="BV252" s="352"/>
      <c r="BW252" s="352"/>
      <c r="BX252" s="352"/>
      <c r="BY252" s="352"/>
      <c r="BZ252" s="352"/>
      <c r="CA252" s="352"/>
      <c r="CB252" s="352"/>
      <c r="CC252" s="352"/>
      <c r="CD252" s="352"/>
      <c r="CE252" s="352"/>
      <c r="CF252" s="352"/>
      <c r="CG252" s="352"/>
      <c r="CH252" s="352"/>
      <c r="CI252" s="352"/>
      <c r="CJ252" s="352"/>
      <c r="CK252" s="353"/>
      <c r="QQ252" s="152"/>
      <c r="QR252" s="153"/>
    </row>
    <row r="253" spans="3:460" ht="5.0999999999999996" customHeight="1" thickBot="1" x14ac:dyDescent="0.35">
      <c r="C253" s="149"/>
      <c r="D253" s="150"/>
      <c r="F253" s="346"/>
      <c r="G253" s="347"/>
      <c r="H253" s="347"/>
      <c r="I253" s="347"/>
      <c r="J253" s="347"/>
      <c r="K253" s="347"/>
      <c r="L253" s="347"/>
      <c r="M253" s="347"/>
      <c r="N253" s="347"/>
      <c r="O253" s="347"/>
      <c r="P253" s="347"/>
      <c r="Q253" s="347"/>
      <c r="R253" s="347"/>
      <c r="S253" s="347"/>
      <c r="T253" s="347"/>
      <c r="U253" s="347"/>
      <c r="V253" s="347"/>
      <c r="W253" s="347"/>
      <c r="X253" s="347"/>
      <c r="Y253" s="347"/>
      <c r="Z253" s="347"/>
      <c r="AA253" s="347"/>
      <c r="AB253" s="347"/>
      <c r="AC253" s="347"/>
      <c r="AD253" s="347"/>
      <c r="AE253" s="347"/>
      <c r="AF253" s="347"/>
      <c r="AG253" s="348"/>
      <c r="AH253" s="346"/>
      <c r="AI253" s="347"/>
      <c r="AJ253" s="347"/>
      <c r="AK253" s="347"/>
      <c r="AL253" s="347"/>
      <c r="AM253" s="347"/>
      <c r="AN253" s="347"/>
      <c r="AO253" s="347"/>
      <c r="AP253" s="347"/>
      <c r="AQ253" s="347"/>
      <c r="AR253" s="347"/>
      <c r="AS253" s="347"/>
      <c r="AT253" s="347"/>
      <c r="AU253" s="347"/>
      <c r="AV253" s="347"/>
      <c r="AW253" s="347"/>
      <c r="AX253" s="347"/>
      <c r="AY253" s="347"/>
      <c r="AZ253" s="347"/>
      <c r="BA253" s="347"/>
      <c r="BB253" s="347"/>
      <c r="BC253" s="347"/>
      <c r="BD253" s="347"/>
      <c r="BE253" s="347"/>
      <c r="BF253" s="347"/>
      <c r="BG253" s="347"/>
      <c r="BH253" s="347"/>
      <c r="BI253" s="348"/>
      <c r="BJ253" s="346"/>
      <c r="BK253" s="347"/>
      <c r="BL253" s="347"/>
      <c r="BM253" s="347"/>
      <c r="BN253" s="347"/>
      <c r="BO253" s="347"/>
      <c r="BP253" s="347"/>
      <c r="BQ253" s="347"/>
      <c r="BR253" s="347"/>
      <c r="BS253" s="347"/>
      <c r="BT253" s="347"/>
      <c r="BU253" s="347"/>
      <c r="BV253" s="347"/>
      <c r="BW253" s="347"/>
      <c r="BX253" s="347"/>
      <c r="BY253" s="347"/>
      <c r="BZ253" s="347"/>
      <c r="CA253" s="347"/>
      <c r="CB253" s="347"/>
      <c r="CC253" s="347"/>
      <c r="CD253" s="347"/>
      <c r="CE253" s="347"/>
      <c r="CF253" s="347"/>
      <c r="CG253" s="347"/>
      <c r="CH253" s="347"/>
      <c r="CI253" s="347"/>
      <c r="CJ253" s="347"/>
      <c r="CK253" s="348"/>
      <c r="QQ253" s="152"/>
      <c r="QR253" s="153"/>
    </row>
    <row r="254" spans="3:460" ht="5.0999999999999996" customHeight="1" x14ac:dyDescent="0.3">
      <c r="C254" s="149"/>
      <c r="D254" s="150"/>
      <c r="F254" s="349"/>
      <c r="G254" s="333"/>
      <c r="H254" s="333"/>
      <c r="I254" s="333"/>
      <c r="J254" s="333"/>
      <c r="K254" s="333"/>
      <c r="L254" s="333"/>
      <c r="M254" s="333"/>
      <c r="N254" s="333"/>
      <c r="O254" s="333"/>
      <c r="P254" s="333"/>
      <c r="Q254" s="333"/>
      <c r="R254" s="333"/>
      <c r="S254" s="333"/>
      <c r="T254" s="333"/>
      <c r="U254" s="333"/>
      <c r="V254" s="333"/>
      <c r="W254" s="333"/>
      <c r="X254" s="333"/>
      <c r="Y254" s="333"/>
      <c r="Z254" s="333"/>
      <c r="AA254" s="333"/>
      <c r="AB254" s="333"/>
      <c r="AC254" s="333"/>
      <c r="AD254" s="333"/>
      <c r="AE254" s="333"/>
      <c r="AF254" s="333"/>
      <c r="AG254" s="350"/>
      <c r="AH254" s="349"/>
      <c r="AI254" s="333"/>
      <c r="AJ254" s="333"/>
      <c r="AK254" s="333"/>
      <c r="AL254" s="333"/>
      <c r="AM254" s="333"/>
      <c r="AN254" s="333"/>
      <c r="AO254" s="333"/>
      <c r="AP254" s="333"/>
      <c r="AQ254" s="333"/>
      <c r="AR254" s="333"/>
      <c r="AS254" s="333"/>
      <c r="AT254" s="333"/>
      <c r="AU254" s="333"/>
      <c r="AV254" s="333"/>
      <c r="AW254" s="333"/>
      <c r="AX254" s="333"/>
      <c r="AY254" s="333"/>
      <c r="AZ254" s="333"/>
      <c r="BA254" s="333"/>
      <c r="BB254" s="333"/>
      <c r="BC254" s="333"/>
      <c r="BD254" s="333"/>
      <c r="BE254" s="333"/>
      <c r="BF254" s="333"/>
      <c r="BG254" s="333"/>
      <c r="BH254" s="333"/>
      <c r="BI254" s="350"/>
      <c r="BJ254" s="349"/>
      <c r="BK254" s="333"/>
      <c r="BL254" s="333"/>
      <c r="BM254" s="333"/>
      <c r="BN254" s="333"/>
      <c r="BO254" s="333"/>
      <c r="BP254" s="333"/>
      <c r="BQ254" s="333"/>
      <c r="BR254" s="333"/>
      <c r="BS254" s="333"/>
      <c r="BT254" s="333"/>
      <c r="BU254" s="333"/>
      <c r="BV254" s="333"/>
      <c r="BW254" s="333"/>
      <c r="BX254" s="333"/>
      <c r="BY254" s="333"/>
      <c r="BZ254" s="333"/>
      <c r="CA254" s="333"/>
      <c r="CB254" s="333"/>
      <c r="CC254" s="333"/>
      <c r="CD254" s="333"/>
      <c r="CE254" s="333"/>
      <c r="CF254" s="333"/>
      <c r="CG254" s="333"/>
      <c r="CH254" s="333"/>
      <c r="CI254" s="333"/>
      <c r="CJ254" s="333"/>
      <c r="CK254" s="350"/>
      <c r="NK254" s="346" t="s">
        <v>318</v>
      </c>
      <c r="NL254" s="347"/>
      <c r="NM254" s="347"/>
      <c r="NN254" s="347"/>
      <c r="NO254" s="347"/>
      <c r="NP254" s="347"/>
      <c r="NQ254" s="347"/>
      <c r="NR254" s="347"/>
      <c r="NS254" s="347"/>
      <c r="NT254" s="347"/>
      <c r="NU254" s="347"/>
      <c r="NV254" s="347"/>
      <c r="NW254" s="347"/>
      <c r="NX254" s="347"/>
      <c r="NY254" s="347"/>
      <c r="NZ254" s="347"/>
      <c r="OA254" s="347"/>
      <c r="OB254" s="347"/>
      <c r="OC254" s="347"/>
      <c r="OD254" s="347"/>
      <c r="OE254" s="347"/>
      <c r="OF254" s="347"/>
      <c r="OG254" s="347"/>
      <c r="OH254" s="347"/>
      <c r="OI254" s="347"/>
      <c r="OJ254" s="347"/>
      <c r="OK254" s="347"/>
      <c r="OL254" s="348"/>
      <c r="OM254" s="346" t="s">
        <v>319</v>
      </c>
      <c r="ON254" s="347"/>
      <c r="OO254" s="347"/>
      <c r="OP254" s="347"/>
      <c r="OQ254" s="347"/>
      <c r="OR254" s="347"/>
      <c r="OS254" s="347"/>
      <c r="OT254" s="347"/>
      <c r="OU254" s="347"/>
      <c r="OV254" s="347"/>
      <c r="OW254" s="347"/>
      <c r="OX254" s="347"/>
      <c r="OY254" s="347"/>
      <c r="OZ254" s="347"/>
      <c r="PA254" s="347"/>
      <c r="PB254" s="347"/>
      <c r="PC254" s="347"/>
      <c r="PD254" s="347"/>
      <c r="PE254" s="347"/>
      <c r="PF254" s="347"/>
      <c r="PG254" s="347"/>
      <c r="PH254" s="347"/>
      <c r="PI254" s="347"/>
      <c r="PJ254" s="347"/>
      <c r="PK254" s="347"/>
      <c r="PL254" s="347"/>
      <c r="PM254" s="347"/>
      <c r="PN254" s="348"/>
      <c r="PO254" s="346" t="s">
        <v>390</v>
      </c>
      <c r="PP254" s="347"/>
      <c r="PQ254" s="347"/>
      <c r="PR254" s="347"/>
      <c r="PS254" s="347"/>
      <c r="PT254" s="347"/>
      <c r="PU254" s="347"/>
      <c r="PV254" s="347"/>
      <c r="PW254" s="347"/>
      <c r="PX254" s="347"/>
      <c r="PY254" s="347"/>
      <c r="PZ254" s="347"/>
      <c r="QA254" s="347"/>
      <c r="QB254" s="347"/>
      <c r="QC254" s="347"/>
      <c r="QD254" s="347"/>
      <c r="QE254" s="347"/>
      <c r="QF254" s="347"/>
      <c r="QG254" s="347"/>
      <c r="QH254" s="347"/>
      <c r="QI254" s="347"/>
      <c r="QJ254" s="347"/>
      <c r="QK254" s="347"/>
      <c r="QL254" s="347"/>
      <c r="QM254" s="347"/>
      <c r="QN254" s="347"/>
      <c r="QO254" s="347"/>
      <c r="QP254" s="348"/>
      <c r="QQ254" s="152"/>
      <c r="QR254" s="153"/>
    </row>
    <row r="255" spans="3:460" ht="5.0999999999999996" customHeight="1" x14ac:dyDescent="0.3">
      <c r="C255" s="149"/>
      <c r="D255" s="150"/>
      <c r="F255" s="349"/>
      <c r="G255" s="333"/>
      <c r="H255" s="333"/>
      <c r="I255" s="333"/>
      <c r="J255" s="333"/>
      <c r="K255" s="333"/>
      <c r="L255" s="333"/>
      <c r="M255" s="333"/>
      <c r="N255" s="333"/>
      <c r="O255" s="333"/>
      <c r="P255" s="333"/>
      <c r="Q255" s="333"/>
      <c r="R255" s="333"/>
      <c r="S255" s="333"/>
      <c r="T255" s="333"/>
      <c r="U255" s="333"/>
      <c r="V255" s="333"/>
      <c r="W255" s="333"/>
      <c r="X255" s="333"/>
      <c r="Y255" s="333"/>
      <c r="Z255" s="333"/>
      <c r="AA255" s="333"/>
      <c r="AB255" s="333"/>
      <c r="AC255" s="333"/>
      <c r="AD255" s="333"/>
      <c r="AE255" s="333"/>
      <c r="AF255" s="333"/>
      <c r="AG255" s="350"/>
      <c r="AH255" s="349"/>
      <c r="AI255" s="333"/>
      <c r="AJ255" s="333"/>
      <c r="AK255" s="333"/>
      <c r="AL255" s="333"/>
      <c r="AM255" s="333"/>
      <c r="AN255" s="333"/>
      <c r="AO255" s="333"/>
      <c r="AP255" s="333"/>
      <c r="AQ255" s="333"/>
      <c r="AR255" s="333"/>
      <c r="AS255" s="333"/>
      <c r="AT255" s="333"/>
      <c r="AU255" s="333"/>
      <c r="AV255" s="333"/>
      <c r="AW255" s="333"/>
      <c r="AX255" s="333"/>
      <c r="AY255" s="333"/>
      <c r="AZ255" s="333"/>
      <c r="BA255" s="333"/>
      <c r="BB255" s="333"/>
      <c r="BC255" s="333"/>
      <c r="BD255" s="333"/>
      <c r="BE255" s="333"/>
      <c r="BF255" s="333"/>
      <c r="BG255" s="333"/>
      <c r="BH255" s="333"/>
      <c r="BI255" s="350"/>
      <c r="BJ255" s="349"/>
      <c r="BK255" s="333"/>
      <c r="BL255" s="333"/>
      <c r="BM255" s="333"/>
      <c r="BN255" s="333"/>
      <c r="BO255" s="333"/>
      <c r="BP255" s="333"/>
      <c r="BQ255" s="333"/>
      <c r="BR255" s="333"/>
      <c r="BS255" s="333"/>
      <c r="BT255" s="333"/>
      <c r="BU255" s="333"/>
      <c r="BV255" s="333"/>
      <c r="BW255" s="333"/>
      <c r="BX255" s="333"/>
      <c r="BY255" s="333"/>
      <c r="BZ255" s="333"/>
      <c r="CA255" s="333"/>
      <c r="CB255" s="333"/>
      <c r="CC255" s="333"/>
      <c r="CD255" s="333"/>
      <c r="CE255" s="333"/>
      <c r="CF255" s="333"/>
      <c r="CG255" s="333"/>
      <c r="CH255" s="333"/>
      <c r="CI255" s="333"/>
      <c r="CJ255" s="333"/>
      <c r="CK255" s="350"/>
      <c r="NK255" s="349"/>
      <c r="NL255" s="333"/>
      <c r="NM255" s="333"/>
      <c r="NN255" s="333"/>
      <c r="NO255" s="333"/>
      <c r="NP255" s="333"/>
      <c r="NQ255" s="333"/>
      <c r="NR255" s="333"/>
      <c r="NS255" s="333"/>
      <c r="NT255" s="333"/>
      <c r="NU255" s="333"/>
      <c r="NV255" s="333"/>
      <c r="NW255" s="333"/>
      <c r="NX255" s="333"/>
      <c r="NY255" s="333"/>
      <c r="NZ255" s="333"/>
      <c r="OA255" s="333"/>
      <c r="OB255" s="333"/>
      <c r="OC255" s="333"/>
      <c r="OD255" s="333"/>
      <c r="OE255" s="333"/>
      <c r="OF255" s="333"/>
      <c r="OG255" s="333"/>
      <c r="OH255" s="333"/>
      <c r="OI255" s="333"/>
      <c r="OJ255" s="333"/>
      <c r="OK255" s="333"/>
      <c r="OL255" s="350"/>
      <c r="OM255" s="349"/>
      <c r="ON255" s="333"/>
      <c r="OO255" s="333"/>
      <c r="OP255" s="333"/>
      <c r="OQ255" s="333"/>
      <c r="OR255" s="333"/>
      <c r="OS255" s="333"/>
      <c r="OT255" s="333"/>
      <c r="OU255" s="333"/>
      <c r="OV255" s="333"/>
      <c r="OW255" s="333"/>
      <c r="OX255" s="333"/>
      <c r="OY255" s="333"/>
      <c r="OZ255" s="333"/>
      <c r="PA255" s="333"/>
      <c r="PB255" s="333"/>
      <c r="PC255" s="333"/>
      <c r="PD255" s="333"/>
      <c r="PE255" s="333"/>
      <c r="PF255" s="333"/>
      <c r="PG255" s="333"/>
      <c r="PH255" s="333"/>
      <c r="PI255" s="333"/>
      <c r="PJ255" s="333"/>
      <c r="PK255" s="333"/>
      <c r="PL255" s="333"/>
      <c r="PM255" s="333"/>
      <c r="PN255" s="350"/>
      <c r="PO255" s="349"/>
      <c r="PP255" s="333"/>
      <c r="PQ255" s="333"/>
      <c r="PR255" s="333"/>
      <c r="PS255" s="333"/>
      <c r="PT255" s="333"/>
      <c r="PU255" s="333"/>
      <c r="PV255" s="333"/>
      <c r="PW255" s="333"/>
      <c r="PX255" s="333"/>
      <c r="PY255" s="333"/>
      <c r="PZ255" s="333"/>
      <c r="QA255" s="333"/>
      <c r="QB255" s="333"/>
      <c r="QC255" s="333"/>
      <c r="QD255" s="333"/>
      <c r="QE255" s="333"/>
      <c r="QF255" s="333"/>
      <c r="QG255" s="333"/>
      <c r="QH255" s="333"/>
      <c r="QI255" s="333"/>
      <c r="QJ255" s="333"/>
      <c r="QK255" s="333"/>
      <c r="QL255" s="333"/>
      <c r="QM255" s="333"/>
      <c r="QN255" s="333"/>
      <c r="QO255" s="333"/>
      <c r="QP255" s="350"/>
      <c r="QQ255" s="152"/>
      <c r="QR255" s="153"/>
    </row>
    <row r="256" spans="3:460" ht="5.0999999999999996" customHeight="1" x14ac:dyDescent="0.3">
      <c r="C256" s="149"/>
      <c r="D256" s="150"/>
      <c r="F256" s="349"/>
      <c r="G256" s="333"/>
      <c r="H256" s="333"/>
      <c r="I256" s="333"/>
      <c r="J256" s="333"/>
      <c r="K256" s="333"/>
      <c r="L256" s="333"/>
      <c r="M256" s="333"/>
      <c r="N256" s="333"/>
      <c r="O256" s="333"/>
      <c r="P256" s="333"/>
      <c r="Q256" s="333"/>
      <c r="R256" s="333"/>
      <c r="S256" s="333"/>
      <c r="T256" s="333"/>
      <c r="U256" s="333"/>
      <c r="V256" s="333"/>
      <c r="W256" s="333"/>
      <c r="X256" s="333"/>
      <c r="Y256" s="333"/>
      <c r="Z256" s="333"/>
      <c r="AA256" s="333"/>
      <c r="AB256" s="333"/>
      <c r="AC256" s="333"/>
      <c r="AD256" s="333"/>
      <c r="AE256" s="333"/>
      <c r="AF256" s="333"/>
      <c r="AG256" s="350"/>
      <c r="AH256" s="349"/>
      <c r="AI256" s="333"/>
      <c r="AJ256" s="333"/>
      <c r="AK256" s="333"/>
      <c r="AL256" s="333"/>
      <c r="AM256" s="333"/>
      <c r="AN256" s="333"/>
      <c r="AO256" s="333"/>
      <c r="AP256" s="333"/>
      <c r="AQ256" s="333"/>
      <c r="AR256" s="333"/>
      <c r="AS256" s="333"/>
      <c r="AT256" s="333"/>
      <c r="AU256" s="333"/>
      <c r="AV256" s="333"/>
      <c r="AW256" s="333"/>
      <c r="AX256" s="333"/>
      <c r="AY256" s="333"/>
      <c r="AZ256" s="333"/>
      <c r="BA256" s="333"/>
      <c r="BB256" s="333"/>
      <c r="BC256" s="333"/>
      <c r="BD256" s="333"/>
      <c r="BE256" s="333"/>
      <c r="BF256" s="333"/>
      <c r="BG256" s="333"/>
      <c r="BH256" s="333"/>
      <c r="BI256" s="350"/>
      <c r="BJ256" s="349"/>
      <c r="BK256" s="333"/>
      <c r="BL256" s="333"/>
      <c r="BM256" s="333"/>
      <c r="BN256" s="333"/>
      <c r="BO256" s="333"/>
      <c r="BP256" s="333"/>
      <c r="BQ256" s="333"/>
      <c r="BR256" s="333"/>
      <c r="BS256" s="333"/>
      <c r="BT256" s="333"/>
      <c r="BU256" s="333"/>
      <c r="BV256" s="333"/>
      <c r="BW256" s="333"/>
      <c r="BX256" s="333"/>
      <c r="BY256" s="333"/>
      <c r="BZ256" s="333"/>
      <c r="CA256" s="333"/>
      <c r="CB256" s="333"/>
      <c r="CC256" s="333"/>
      <c r="CD256" s="333"/>
      <c r="CE256" s="333"/>
      <c r="CF256" s="333"/>
      <c r="CG256" s="333"/>
      <c r="CH256" s="333"/>
      <c r="CI256" s="333"/>
      <c r="CJ256" s="333"/>
      <c r="CK256" s="350"/>
      <c r="NK256" s="349"/>
      <c r="NL256" s="333"/>
      <c r="NM256" s="333"/>
      <c r="NN256" s="333"/>
      <c r="NO256" s="333"/>
      <c r="NP256" s="333"/>
      <c r="NQ256" s="333"/>
      <c r="NR256" s="333"/>
      <c r="NS256" s="333"/>
      <c r="NT256" s="333"/>
      <c r="NU256" s="333"/>
      <c r="NV256" s="333"/>
      <c r="NW256" s="333"/>
      <c r="NX256" s="333"/>
      <c r="NY256" s="333"/>
      <c r="NZ256" s="333"/>
      <c r="OA256" s="333"/>
      <c r="OB256" s="333"/>
      <c r="OC256" s="333"/>
      <c r="OD256" s="333"/>
      <c r="OE256" s="333"/>
      <c r="OF256" s="333"/>
      <c r="OG256" s="333"/>
      <c r="OH256" s="333"/>
      <c r="OI256" s="333"/>
      <c r="OJ256" s="333"/>
      <c r="OK256" s="333"/>
      <c r="OL256" s="350"/>
      <c r="OM256" s="349"/>
      <c r="ON256" s="333"/>
      <c r="OO256" s="333"/>
      <c r="OP256" s="333"/>
      <c r="OQ256" s="333"/>
      <c r="OR256" s="333"/>
      <c r="OS256" s="333"/>
      <c r="OT256" s="333"/>
      <c r="OU256" s="333"/>
      <c r="OV256" s="333"/>
      <c r="OW256" s="333"/>
      <c r="OX256" s="333"/>
      <c r="OY256" s="333"/>
      <c r="OZ256" s="333"/>
      <c r="PA256" s="333"/>
      <c r="PB256" s="333"/>
      <c r="PC256" s="333"/>
      <c r="PD256" s="333"/>
      <c r="PE256" s="333"/>
      <c r="PF256" s="333"/>
      <c r="PG256" s="333"/>
      <c r="PH256" s="333"/>
      <c r="PI256" s="333"/>
      <c r="PJ256" s="333"/>
      <c r="PK256" s="333"/>
      <c r="PL256" s="333"/>
      <c r="PM256" s="333"/>
      <c r="PN256" s="350"/>
      <c r="PO256" s="349"/>
      <c r="PP256" s="333"/>
      <c r="PQ256" s="333"/>
      <c r="PR256" s="333"/>
      <c r="PS256" s="333"/>
      <c r="PT256" s="333"/>
      <c r="PU256" s="333"/>
      <c r="PV256" s="333"/>
      <c r="PW256" s="333"/>
      <c r="PX256" s="333"/>
      <c r="PY256" s="333"/>
      <c r="PZ256" s="333"/>
      <c r="QA256" s="333"/>
      <c r="QB256" s="333"/>
      <c r="QC256" s="333"/>
      <c r="QD256" s="333"/>
      <c r="QE256" s="333"/>
      <c r="QF256" s="333"/>
      <c r="QG256" s="333"/>
      <c r="QH256" s="333"/>
      <c r="QI256" s="333"/>
      <c r="QJ256" s="333"/>
      <c r="QK256" s="333"/>
      <c r="QL256" s="333"/>
      <c r="QM256" s="333"/>
      <c r="QN256" s="333"/>
      <c r="QO256" s="333"/>
      <c r="QP256" s="350"/>
      <c r="QQ256" s="152"/>
      <c r="QR256" s="153"/>
    </row>
    <row r="257" spans="3:483" ht="5.0999999999999996" customHeight="1" thickBot="1" x14ac:dyDescent="0.35">
      <c r="C257" s="149"/>
      <c r="D257" s="150"/>
      <c r="F257" s="351"/>
      <c r="G257" s="352"/>
      <c r="H257" s="352"/>
      <c r="I257" s="352"/>
      <c r="J257" s="352"/>
      <c r="K257" s="352"/>
      <c r="L257" s="352"/>
      <c r="M257" s="352"/>
      <c r="N257" s="352"/>
      <c r="O257" s="352"/>
      <c r="P257" s="352"/>
      <c r="Q257" s="352"/>
      <c r="R257" s="352"/>
      <c r="S257" s="352"/>
      <c r="T257" s="352"/>
      <c r="U257" s="352"/>
      <c r="V257" s="352"/>
      <c r="W257" s="352"/>
      <c r="X257" s="352"/>
      <c r="Y257" s="352"/>
      <c r="Z257" s="352"/>
      <c r="AA257" s="352"/>
      <c r="AB257" s="352"/>
      <c r="AC257" s="352"/>
      <c r="AD257" s="352"/>
      <c r="AE257" s="352"/>
      <c r="AF257" s="352"/>
      <c r="AG257" s="353"/>
      <c r="AH257" s="351"/>
      <c r="AI257" s="352"/>
      <c r="AJ257" s="352"/>
      <c r="AK257" s="352"/>
      <c r="AL257" s="352"/>
      <c r="AM257" s="352"/>
      <c r="AN257" s="352"/>
      <c r="AO257" s="352"/>
      <c r="AP257" s="352"/>
      <c r="AQ257" s="352"/>
      <c r="AR257" s="352"/>
      <c r="AS257" s="352"/>
      <c r="AT257" s="352"/>
      <c r="AU257" s="352"/>
      <c r="AV257" s="352"/>
      <c r="AW257" s="352"/>
      <c r="AX257" s="352"/>
      <c r="AY257" s="352"/>
      <c r="AZ257" s="352"/>
      <c r="BA257" s="352"/>
      <c r="BB257" s="352"/>
      <c r="BC257" s="352"/>
      <c r="BD257" s="352"/>
      <c r="BE257" s="352"/>
      <c r="BF257" s="352"/>
      <c r="BG257" s="352"/>
      <c r="BH257" s="352"/>
      <c r="BI257" s="353"/>
      <c r="BJ257" s="351"/>
      <c r="BK257" s="352"/>
      <c r="BL257" s="352"/>
      <c r="BM257" s="352"/>
      <c r="BN257" s="352"/>
      <c r="BO257" s="352"/>
      <c r="BP257" s="352"/>
      <c r="BQ257" s="352"/>
      <c r="BR257" s="352"/>
      <c r="BS257" s="352"/>
      <c r="BT257" s="352"/>
      <c r="BU257" s="352"/>
      <c r="BV257" s="352"/>
      <c r="BW257" s="352"/>
      <c r="BX257" s="352"/>
      <c r="BY257" s="352"/>
      <c r="BZ257" s="352"/>
      <c r="CA257" s="352"/>
      <c r="CB257" s="352"/>
      <c r="CC257" s="352"/>
      <c r="CD257" s="352"/>
      <c r="CE257" s="352"/>
      <c r="CF257" s="352"/>
      <c r="CG257" s="352"/>
      <c r="CH257" s="352"/>
      <c r="CI257" s="352"/>
      <c r="CJ257" s="352"/>
      <c r="CK257" s="353"/>
      <c r="NK257" s="349"/>
      <c r="NL257" s="333"/>
      <c r="NM257" s="333"/>
      <c r="NN257" s="333"/>
      <c r="NO257" s="333"/>
      <c r="NP257" s="333"/>
      <c r="NQ257" s="333"/>
      <c r="NR257" s="333"/>
      <c r="NS257" s="333"/>
      <c r="NT257" s="333"/>
      <c r="NU257" s="333"/>
      <c r="NV257" s="333"/>
      <c r="NW257" s="333"/>
      <c r="NX257" s="333"/>
      <c r="NY257" s="333"/>
      <c r="NZ257" s="333"/>
      <c r="OA257" s="333"/>
      <c r="OB257" s="333"/>
      <c r="OC257" s="333"/>
      <c r="OD257" s="333"/>
      <c r="OE257" s="333"/>
      <c r="OF257" s="333"/>
      <c r="OG257" s="333"/>
      <c r="OH257" s="333"/>
      <c r="OI257" s="333"/>
      <c r="OJ257" s="333"/>
      <c r="OK257" s="333"/>
      <c r="OL257" s="350"/>
      <c r="OM257" s="349"/>
      <c r="ON257" s="333"/>
      <c r="OO257" s="333"/>
      <c r="OP257" s="333"/>
      <c r="OQ257" s="333"/>
      <c r="OR257" s="333"/>
      <c r="OS257" s="333"/>
      <c r="OT257" s="333"/>
      <c r="OU257" s="333"/>
      <c r="OV257" s="333"/>
      <c r="OW257" s="333"/>
      <c r="OX257" s="333"/>
      <c r="OY257" s="333"/>
      <c r="OZ257" s="333"/>
      <c r="PA257" s="333"/>
      <c r="PB257" s="333"/>
      <c r="PC257" s="333"/>
      <c r="PD257" s="333"/>
      <c r="PE257" s="333"/>
      <c r="PF257" s="333"/>
      <c r="PG257" s="333"/>
      <c r="PH257" s="333"/>
      <c r="PI257" s="333"/>
      <c r="PJ257" s="333"/>
      <c r="PK257" s="333"/>
      <c r="PL257" s="333"/>
      <c r="PM257" s="333"/>
      <c r="PN257" s="350"/>
      <c r="PO257" s="349"/>
      <c r="PP257" s="333"/>
      <c r="PQ257" s="333"/>
      <c r="PR257" s="333"/>
      <c r="PS257" s="333"/>
      <c r="PT257" s="333"/>
      <c r="PU257" s="333"/>
      <c r="PV257" s="333"/>
      <c r="PW257" s="333"/>
      <c r="PX257" s="333"/>
      <c r="PY257" s="333"/>
      <c r="PZ257" s="333"/>
      <c r="QA257" s="333"/>
      <c r="QB257" s="333"/>
      <c r="QC257" s="333"/>
      <c r="QD257" s="333"/>
      <c r="QE257" s="333"/>
      <c r="QF257" s="333"/>
      <c r="QG257" s="333"/>
      <c r="QH257" s="333"/>
      <c r="QI257" s="333"/>
      <c r="QJ257" s="333"/>
      <c r="QK257" s="333"/>
      <c r="QL257" s="333"/>
      <c r="QM257" s="333"/>
      <c r="QN257" s="333"/>
      <c r="QO257" s="333"/>
      <c r="QP257" s="350"/>
      <c r="QQ257" s="152"/>
      <c r="QR257" s="153"/>
    </row>
    <row r="258" spans="3:483" ht="5.0999999999999996" customHeight="1" thickBot="1" x14ac:dyDescent="0.35">
      <c r="C258" s="149"/>
      <c r="D258" s="150"/>
      <c r="NK258" s="351"/>
      <c r="NL258" s="352"/>
      <c r="NM258" s="352"/>
      <c r="NN258" s="352"/>
      <c r="NO258" s="352"/>
      <c r="NP258" s="352"/>
      <c r="NQ258" s="352"/>
      <c r="NR258" s="352"/>
      <c r="NS258" s="352"/>
      <c r="NT258" s="352"/>
      <c r="NU258" s="352"/>
      <c r="NV258" s="352"/>
      <c r="NW258" s="352"/>
      <c r="NX258" s="352"/>
      <c r="NY258" s="352"/>
      <c r="NZ258" s="352"/>
      <c r="OA258" s="352"/>
      <c r="OB258" s="352"/>
      <c r="OC258" s="352"/>
      <c r="OD258" s="352"/>
      <c r="OE258" s="352"/>
      <c r="OF258" s="352"/>
      <c r="OG258" s="352"/>
      <c r="OH258" s="352"/>
      <c r="OI258" s="352"/>
      <c r="OJ258" s="352"/>
      <c r="OK258" s="352"/>
      <c r="OL258" s="353"/>
      <c r="OM258" s="351"/>
      <c r="ON258" s="352"/>
      <c r="OO258" s="352"/>
      <c r="OP258" s="352"/>
      <c r="OQ258" s="352"/>
      <c r="OR258" s="352"/>
      <c r="OS258" s="352"/>
      <c r="OT258" s="352"/>
      <c r="OU258" s="352"/>
      <c r="OV258" s="352"/>
      <c r="OW258" s="352"/>
      <c r="OX258" s="352"/>
      <c r="OY258" s="352"/>
      <c r="OZ258" s="352"/>
      <c r="PA258" s="352"/>
      <c r="PB258" s="352"/>
      <c r="PC258" s="352"/>
      <c r="PD258" s="352"/>
      <c r="PE258" s="352"/>
      <c r="PF258" s="352"/>
      <c r="PG258" s="352"/>
      <c r="PH258" s="352"/>
      <c r="PI258" s="352"/>
      <c r="PJ258" s="352"/>
      <c r="PK258" s="352"/>
      <c r="PL258" s="352"/>
      <c r="PM258" s="352"/>
      <c r="PN258" s="353"/>
      <c r="PO258" s="351"/>
      <c r="PP258" s="352"/>
      <c r="PQ258" s="352"/>
      <c r="PR258" s="352"/>
      <c r="PS258" s="352"/>
      <c r="PT258" s="352"/>
      <c r="PU258" s="352"/>
      <c r="PV258" s="352"/>
      <c r="PW258" s="352"/>
      <c r="PX258" s="352"/>
      <c r="PY258" s="352"/>
      <c r="PZ258" s="352"/>
      <c r="QA258" s="352"/>
      <c r="QB258" s="352"/>
      <c r="QC258" s="352"/>
      <c r="QD258" s="352"/>
      <c r="QE258" s="352"/>
      <c r="QF258" s="352"/>
      <c r="QG258" s="352"/>
      <c r="QH258" s="352"/>
      <c r="QI258" s="352"/>
      <c r="QJ258" s="352"/>
      <c r="QK258" s="352"/>
      <c r="QL258" s="352"/>
      <c r="QM258" s="352"/>
      <c r="QN258" s="352"/>
      <c r="QO258" s="352"/>
      <c r="QP258" s="353"/>
      <c r="QQ258" s="152"/>
      <c r="QR258" s="153"/>
    </row>
    <row r="259" spans="3:483" ht="5.0999999999999996" customHeight="1" x14ac:dyDescent="0.3">
      <c r="C259" s="149"/>
      <c r="D259" s="150"/>
      <c r="QQ259" s="152"/>
      <c r="QR259" s="153"/>
    </row>
    <row r="260" spans="3:483" ht="5.0999999999999996" customHeight="1" x14ac:dyDescent="0.3">
      <c r="C260" s="149"/>
      <c r="D260" s="150"/>
      <c r="QQ260" s="152"/>
      <c r="QR260" s="153"/>
    </row>
    <row r="261" spans="3:483" ht="5.0999999999999996" customHeight="1" x14ac:dyDescent="0.3">
      <c r="C261" s="149"/>
      <c r="D261" s="189"/>
      <c r="E261" s="166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6"/>
      <c r="AG261" s="166"/>
      <c r="AH261" s="166"/>
      <c r="AI261" s="166"/>
      <c r="AJ261" s="166"/>
      <c r="AK261" s="166"/>
      <c r="AL261" s="166"/>
      <c r="AM261" s="166"/>
      <c r="AN261" s="166"/>
      <c r="AO261" s="166"/>
      <c r="AP261" s="166"/>
      <c r="AQ261" s="166"/>
      <c r="AR261" s="166"/>
      <c r="AS261" s="166"/>
      <c r="AT261" s="166"/>
      <c r="AU261" s="166"/>
      <c r="AV261" s="166"/>
      <c r="AW261" s="166"/>
      <c r="AX261" s="166"/>
      <c r="AY261" s="166"/>
      <c r="AZ261" s="166"/>
      <c r="BA261" s="166"/>
      <c r="BB261" s="166"/>
      <c r="BC261" s="166"/>
      <c r="BD261" s="166"/>
      <c r="BE261" s="166"/>
      <c r="BF261" s="166"/>
      <c r="BG261" s="166"/>
      <c r="BH261" s="166"/>
      <c r="BI261" s="166"/>
      <c r="BJ261" s="166"/>
      <c r="BK261" s="166"/>
      <c r="BL261" s="166"/>
      <c r="BM261" s="166"/>
      <c r="BN261" s="166"/>
      <c r="BO261" s="166"/>
      <c r="BP261" s="166"/>
      <c r="BQ261" s="166"/>
      <c r="BR261" s="166"/>
      <c r="BS261" s="166"/>
      <c r="BT261" s="166"/>
      <c r="BU261" s="166"/>
      <c r="BV261" s="166"/>
      <c r="BW261" s="166"/>
      <c r="BX261" s="166"/>
      <c r="BY261" s="166"/>
      <c r="BZ261" s="166"/>
      <c r="CA261" s="166"/>
      <c r="CB261" s="166"/>
      <c r="CC261" s="166"/>
      <c r="CD261" s="166"/>
      <c r="CE261" s="166"/>
      <c r="CF261" s="166"/>
      <c r="CG261" s="166"/>
      <c r="CH261" s="166"/>
      <c r="CI261" s="166"/>
      <c r="CJ261" s="166"/>
      <c r="CK261" s="166"/>
      <c r="CL261" s="166"/>
      <c r="CM261" s="166"/>
      <c r="CN261" s="166"/>
      <c r="CO261" s="166"/>
      <c r="CP261" s="166"/>
      <c r="CQ261" s="166"/>
      <c r="CR261" s="166"/>
      <c r="CS261" s="166"/>
      <c r="CT261" s="166"/>
      <c r="CU261" s="166"/>
      <c r="CV261" s="166"/>
      <c r="CW261" s="166"/>
      <c r="CX261" s="166"/>
      <c r="CY261" s="166"/>
      <c r="CZ261" s="166"/>
      <c r="DA261" s="166"/>
      <c r="DB261" s="166"/>
      <c r="DC261" s="166"/>
      <c r="DD261" s="166"/>
      <c r="DE261" s="166"/>
      <c r="DF261" s="166"/>
      <c r="DG261" s="166"/>
      <c r="DH261" s="166"/>
      <c r="DI261" s="166"/>
      <c r="DJ261" s="166"/>
      <c r="DK261" s="166"/>
      <c r="DL261" s="166"/>
      <c r="DM261" s="166"/>
      <c r="DN261" s="166"/>
      <c r="DO261" s="166"/>
      <c r="DP261" s="166"/>
      <c r="DQ261" s="166"/>
      <c r="DR261" s="166"/>
      <c r="DS261" s="166"/>
      <c r="DT261" s="166"/>
      <c r="DU261" s="166"/>
      <c r="DV261" s="166"/>
      <c r="DW261" s="166"/>
      <c r="DX261" s="166"/>
      <c r="DY261" s="166"/>
      <c r="DZ261" s="166"/>
      <c r="EA261" s="166"/>
      <c r="EB261" s="166"/>
      <c r="EC261" s="166"/>
      <c r="ED261" s="166"/>
      <c r="EE261" s="166"/>
      <c r="EF261" s="166"/>
      <c r="EG261" s="166"/>
      <c r="EH261" s="166"/>
      <c r="EI261" s="166"/>
      <c r="EJ261" s="166"/>
      <c r="EK261" s="166"/>
      <c r="EL261" s="166"/>
      <c r="EM261" s="166"/>
      <c r="EN261" s="166"/>
      <c r="EO261" s="166"/>
      <c r="EP261" s="166"/>
      <c r="EQ261" s="166"/>
      <c r="ER261" s="166"/>
      <c r="ES261" s="166"/>
      <c r="ET261" s="166"/>
      <c r="EU261" s="166"/>
      <c r="EV261" s="166"/>
      <c r="EW261" s="166"/>
      <c r="EX261" s="166"/>
      <c r="EY261" s="166"/>
      <c r="EZ261" s="166"/>
      <c r="FA261" s="166"/>
      <c r="FB261" s="166"/>
      <c r="FC261" s="166"/>
      <c r="FD261" s="166"/>
      <c r="FE261" s="166"/>
      <c r="FF261" s="166"/>
      <c r="FG261" s="166"/>
      <c r="FH261" s="166"/>
      <c r="FI261" s="166"/>
      <c r="FJ261" s="166"/>
      <c r="FK261" s="166"/>
      <c r="FL261" s="166"/>
      <c r="FM261" s="166"/>
      <c r="FN261" s="166"/>
      <c r="FO261" s="166"/>
      <c r="FP261" s="166"/>
      <c r="FQ261" s="166"/>
      <c r="FR261" s="166"/>
      <c r="FS261" s="166"/>
      <c r="FT261" s="166"/>
      <c r="FU261" s="166"/>
      <c r="FV261" s="166"/>
      <c r="FW261" s="166"/>
      <c r="FX261" s="166"/>
      <c r="FY261" s="166"/>
      <c r="FZ261" s="166"/>
      <c r="GA261" s="166"/>
      <c r="GB261" s="166"/>
      <c r="GC261" s="166"/>
      <c r="GD261" s="166"/>
      <c r="GE261" s="166"/>
      <c r="GF261" s="166"/>
      <c r="GG261" s="166"/>
      <c r="GH261" s="166"/>
      <c r="GI261" s="166"/>
      <c r="GJ261" s="166"/>
      <c r="GK261" s="166"/>
      <c r="GL261" s="166"/>
      <c r="GM261" s="166"/>
      <c r="GN261" s="166"/>
      <c r="GO261" s="166"/>
      <c r="GP261" s="166"/>
      <c r="GQ261" s="166"/>
      <c r="GR261" s="166"/>
      <c r="GS261" s="166"/>
      <c r="GT261" s="166"/>
      <c r="GU261" s="166"/>
      <c r="GV261" s="166"/>
      <c r="GW261" s="166"/>
      <c r="GX261" s="166"/>
      <c r="GY261" s="166"/>
      <c r="GZ261" s="166"/>
      <c r="HA261" s="166"/>
      <c r="HB261" s="166"/>
      <c r="HC261" s="166"/>
      <c r="HD261" s="166"/>
      <c r="HE261" s="166"/>
      <c r="HF261" s="166"/>
      <c r="HG261" s="166"/>
      <c r="HH261" s="166"/>
      <c r="HI261" s="166"/>
      <c r="HJ261" s="166"/>
      <c r="HK261" s="166"/>
      <c r="HL261" s="166"/>
      <c r="HM261" s="166"/>
      <c r="HN261" s="166"/>
      <c r="HO261" s="166"/>
      <c r="HP261" s="166"/>
      <c r="HQ261" s="166"/>
      <c r="HR261" s="166"/>
      <c r="HS261" s="166"/>
      <c r="HT261" s="166"/>
      <c r="HU261" s="166"/>
      <c r="HV261" s="166"/>
      <c r="HW261" s="166"/>
      <c r="HX261" s="166"/>
      <c r="HY261" s="166"/>
      <c r="HZ261" s="166"/>
      <c r="IA261" s="166"/>
      <c r="IB261" s="166"/>
      <c r="IC261" s="166"/>
      <c r="ID261" s="166"/>
      <c r="IE261" s="166"/>
      <c r="IF261" s="166"/>
      <c r="IG261" s="166"/>
      <c r="IH261" s="166"/>
      <c r="II261" s="166"/>
      <c r="IJ261" s="166"/>
      <c r="IK261" s="166"/>
      <c r="IL261" s="166"/>
      <c r="IM261" s="166"/>
      <c r="IN261" s="166"/>
      <c r="IO261" s="166"/>
      <c r="IP261" s="166"/>
      <c r="IQ261" s="166"/>
      <c r="IR261" s="166"/>
      <c r="IS261" s="166"/>
      <c r="IT261" s="166"/>
      <c r="IU261" s="166"/>
      <c r="IV261" s="166"/>
      <c r="IW261" s="166"/>
      <c r="IX261" s="166"/>
      <c r="IY261" s="166"/>
      <c r="IZ261" s="166"/>
      <c r="JA261" s="166"/>
      <c r="JB261" s="166"/>
      <c r="JC261" s="166"/>
      <c r="JD261" s="166"/>
      <c r="JE261" s="166"/>
      <c r="JF261" s="166"/>
      <c r="JG261" s="166"/>
      <c r="JH261" s="166"/>
      <c r="JI261" s="166"/>
      <c r="JJ261" s="166"/>
      <c r="JK261" s="166"/>
      <c r="JL261" s="166"/>
      <c r="JM261" s="166"/>
      <c r="JN261" s="166"/>
      <c r="JO261" s="166"/>
      <c r="JP261" s="166"/>
      <c r="JQ261" s="166"/>
      <c r="JR261" s="166"/>
      <c r="JS261" s="166"/>
      <c r="JT261" s="166"/>
      <c r="JU261" s="166"/>
      <c r="JV261" s="166"/>
      <c r="JW261" s="166"/>
      <c r="JX261" s="166"/>
      <c r="JY261" s="166"/>
      <c r="JZ261" s="166"/>
      <c r="KA261" s="166"/>
      <c r="KB261" s="166"/>
      <c r="KC261" s="166"/>
      <c r="KD261" s="166"/>
      <c r="KE261" s="166"/>
      <c r="KF261" s="166"/>
      <c r="KG261" s="166"/>
      <c r="KH261" s="166"/>
      <c r="KI261" s="166"/>
      <c r="KJ261" s="166"/>
      <c r="KK261" s="166"/>
      <c r="KL261" s="166"/>
      <c r="KM261" s="166"/>
      <c r="KN261" s="166"/>
      <c r="KO261" s="166"/>
      <c r="KP261" s="166"/>
      <c r="KQ261" s="166"/>
      <c r="KR261" s="166"/>
      <c r="KS261" s="166"/>
      <c r="KT261" s="166"/>
      <c r="KU261" s="166"/>
      <c r="KV261" s="166"/>
      <c r="KW261" s="166"/>
      <c r="KX261" s="166"/>
      <c r="KY261" s="166"/>
      <c r="KZ261" s="166"/>
      <c r="LA261" s="166"/>
      <c r="LB261" s="166"/>
      <c r="LC261" s="166"/>
      <c r="LD261" s="166"/>
      <c r="LE261" s="166"/>
      <c r="LF261" s="166"/>
      <c r="LG261" s="166"/>
      <c r="LH261" s="166"/>
      <c r="LI261" s="166"/>
      <c r="LJ261" s="166"/>
      <c r="LK261" s="166"/>
      <c r="LL261" s="166"/>
      <c r="LM261" s="166"/>
      <c r="LN261" s="166"/>
      <c r="LO261" s="166"/>
      <c r="LP261" s="166"/>
      <c r="LQ261" s="166"/>
      <c r="LR261" s="166"/>
      <c r="LS261" s="166"/>
      <c r="LT261" s="166"/>
      <c r="LU261" s="166"/>
      <c r="LV261" s="166"/>
      <c r="LW261" s="166"/>
      <c r="LX261" s="166"/>
      <c r="LY261" s="166"/>
      <c r="LZ261" s="166"/>
      <c r="MA261" s="166"/>
      <c r="MB261" s="166"/>
      <c r="MC261" s="166"/>
      <c r="MD261" s="166"/>
      <c r="ME261" s="166"/>
      <c r="MF261" s="166"/>
      <c r="MG261" s="166"/>
      <c r="MH261" s="166"/>
      <c r="MI261" s="166"/>
      <c r="MJ261" s="166"/>
      <c r="MK261" s="166"/>
      <c r="ML261" s="166"/>
      <c r="MM261" s="166"/>
      <c r="MN261" s="166"/>
      <c r="MO261" s="166"/>
      <c r="MP261" s="166"/>
      <c r="MQ261" s="166"/>
      <c r="MR261" s="166"/>
      <c r="MS261" s="166"/>
      <c r="MT261" s="166"/>
      <c r="MU261" s="166"/>
      <c r="MV261" s="166"/>
      <c r="MW261" s="166"/>
      <c r="MX261" s="166"/>
      <c r="MY261" s="166"/>
      <c r="MZ261" s="166"/>
      <c r="NA261" s="166"/>
      <c r="NB261" s="166"/>
      <c r="NC261" s="166"/>
      <c r="ND261" s="166"/>
      <c r="NE261" s="166"/>
      <c r="NF261" s="166"/>
      <c r="NG261" s="166"/>
      <c r="NH261" s="166"/>
      <c r="NI261" s="166"/>
      <c r="NJ261" s="166"/>
      <c r="NK261" s="166"/>
      <c r="NL261" s="166"/>
      <c r="NM261" s="166"/>
      <c r="NN261" s="166"/>
      <c r="NO261" s="166"/>
      <c r="NP261" s="166"/>
      <c r="NQ261" s="166"/>
      <c r="NR261" s="166"/>
      <c r="NS261" s="166"/>
      <c r="NT261" s="166"/>
      <c r="NU261" s="166"/>
      <c r="NV261" s="166"/>
      <c r="NW261" s="166"/>
      <c r="NX261" s="166"/>
      <c r="NY261" s="166"/>
      <c r="NZ261" s="166"/>
      <c r="OA261" s="166"/>
      <c r="OB261" s="166"/>
      <c r="OC261" s="166"/>
      <c r="OD261" s="166"/>
      <c r="OE261" s="166"/>
      <c r="OF261" s="166"/>
      <c r="OG261" s="166"/>
      <c r="OH261" s="166"/>
      <c r="OI261" s="166"/>
      <c r="OJ261" s="166"/>
      <c r="OK261" s="166"/>
      <c r="OL261" s="166"/>
      <c r="OM261" s="166"/>
      <c r="ON261" s="166"/>
      <c r="OO261" s="166"/>
      <c r="OP261" s="166"/>
      <c r="OQ261" s="166"/>
      <c r="OR261" s="166"/>
      <c r="OS261" s="166"/>
      <c r="OT261" s="166"/>
      <c r="OU261" s="166"/>
      <c r="OV261" s="166"/>
      <c r="OW261" s="166"/>
      <c r="OX261" s="166"/>
      <c r="OY261" s="166"/>
      <c r="OZ261" s="166"/>
      <c r="PA261" s="166"/>
      <c r="PB261" s="166"/>
      <c r="PC261" s="166"/>
      <c r="PD261" s="166"/>
      <c r="PE261" s="166"/>
      <c r="PF261" s="166"/>
      <c r="PG261" s="166"/>
      <c r="PH261" s="166"/>
      <c r="PI261" s="166"/>
      <c r="PJ261" s="166"/>
      <c r="PK261" s="166"/>
      <c r="PL261" s="166"/>
      <c r="PM261" s="166"/>
      <c r="PN261" s="166"/>
      <c r="PO261" s="166"/>
      <c r="PP261" s="166"/>
      <c r="PQ261" s="166"/>
      <c r="PR261" s="166"/>
      <c r="PS261" s="166"/>
      <c r="PT261" s="166"/>
      <c r="PU261" s="166"/>
      <c r="PV261" s="166"/>
      <c r="PW261" s="166"/>
      <c r="PX261" s="166"/>
      <c r="PY261" s="166"/>
      <c r="PZ261" s="166"/>
      <c r="QA261" s="166"/>
      <c r="QB261" s="166"/>
      <c r="QC261" s="166"/>
      <c r="QD261" s="166"/>
      <c r="QE261" s="166"/>
      <c r="QF261" s="166"/>
      <c r="QG261" s="166"/>
      <c r="QH261" s="166"/>
      <c r="QI261" s="166"/>
      <c r="QJ261" s="166"/>
      <c r="QK261" s="166"/>
      <c r="QL261" s="166"/>
      <c r="QM261" s="166"/>
      <c r="QN261" s="166"/>
      <c r="QO261" s="166"/>
      <c r="QP261" s="166"/>
      <c r="QQ261" s="190"/>
      <c r="QR261" s="153"/>
    </row>
    <row r="262" spans="3:483" ht="5.0999999999999996" customHeight="1" thickBot="1" x14ac:dyDescent="0.35">
      <c r="C262" s="191"/>
      <c r="D262" s="192"/>
      <c r="E262" s="192"/>
      <c r="F262" s="192"/>
      <c r="G262" s="192"/>
      <c r="H262" s="192"/>
      <c r="I262" s="192"/>
      <c r="J262" s="192"/>
      <c r="K262" s="192"/>
      <c r="L262" s="192"/>
      <c r="M262" s="192"/>
      <c r="N262" s="192"/>
      <c r="O262" s="192"/>
      <c r="P262" s="192"/>
      <c r="Q262" s="192"/>
      <c r="R262" s="192"/>
      <c r="S262" s="192"/>
      <c r="T262" s="192"/>
      <c r="U262" s="192"/>
      <c r="V262" s="192"/>
      <c r="W262" s="192"/>
      <c r="X262" s="192"/>
      <c r="Y262" s="192"/>
      <c r="Z262" s="192"/>
      <c r="AA262" s="192"/>
      <c r="AB262" s="192"/>
      <c r="AC262" s="192"/>
      <c r="AD262" s="192"/>
      <c r="AE262" s="192"/>
      <c r="AF262" s="192"/>
      <c r="AG262" s="192"/>
      <c r="AH262" s="192"/>
      <c r="AI262" s="192"/>
      <c r="AJ262" s="192"/>
      <c r="AK262" s="192"/>
      <c r="AL262" s="192"/>
      <c r="AM262" s="192"/>
      <c r="AN262" s="192"/>
      <c r="AO262" s="192"/>
      <c r="AP262" s="192"/>
      <c r="AQ262" s="192"/>
      <c r="AR262" s="192"/>
      <c r="AS262" s="192"/>
      <c r="AT262" s="192"/>
      <c r="AU262" s="192"/>
      <c r="AV262" s="192"/>
      <c r="AW262" s="192"/>
      <c r="AX262" s="192"/>
      <c r="AY262" s="192"/>
      <c r="AZ262" s="192"/>
      <c r="BA262" s="192"/>
      <c r="BB262" s="192"/>
      <c r="BC262" s="192"/>
      <c r="BD262" s="192"/>
      <c r="BE262" s="192"/>
      <c r="BF262" s="192"/>
      <c r="BG262" s="192"/>
      <c r="BH262" s="192"/>
      <c r="BI262" s="192"/>
      <c r="BJ262" s="192"/>
      <c r="BK262" s="192"/>
      <c r="BL262" s="192"/>
      <c r="BM262" s="192"/>
      <c r="BN262" s="192"/>
      <c r="BO262" s="192"/>
      <c r="BP262" s="192"/>
      <c r="BQ262" s="192"/>
      <c r="BR262" s="192"/>
      <c r="BS262" s="192"/>
      <c r="BT262" s="192"/>
      <c r="BU262" s="192"/>
      <c r="BV262" s="192"/>
      <c r="BW262" s="192"/>
      <c r="BX262" s="192"/>
      <c r="BY262" s="192"/>
      <c r="BZ262" s="192"/>
      <c r="CA262" s="192"/>
      <c r="CB262" s="192"/>
      <c r="CC262" s="192"/>
      <c r="CD262" s="192"/>
      <c r="CE262" s="192"/>
      <c r="CF262" s="192"/>
      <c r="CG262" s="192"/>
      <c r="CH262" s="192"/>
      <c r="CI262" s="192"/>
      <c r="CJ262" s="192"/>
      <c r="CK262" s="192"/>
      <c r="CL262" s="192"/>
      <c r="CM262" s="192"/>
      <c r="CN262" s="192"/>
      <c r="CO262" s="192"/>
      <c r="CP262" s="192"/>
      <c r="CQ262" s="192"/>
      <c r="CR262" s="192"/>
      <c r="CS262" s="192"/>
      <c r="CT262" s="192"/>
      <c r="CU262" s="192"/>
      <c r="CV262" s="192"/>
      <c r="CW262" s="192"/>
      <c r="CX262" s="192"/>
      <c r="CY262" s="192"/>
      <c r="CZ262" s="192"/>
      <c r="DA262" s="192"/>
      <c r="DB262" s="192"/>
      <c r="DC262" s="192"/>
      <c r="DD262" s="192"/>
      <c r="DE262" s="192"/>
      <c r="DF262" s="192"/>
      <c r="DG262" s="192"/>
      <c r="DH262" s="192"/>
      <c r="DI262" s="192"/>
      <c r="DJ262" s="192"/>
      <c r="DK262" s="192"/>
      <c r="DL262" s="192"/>
      <c r="DM262" s="192"/>
      <c r="DN262" s="192"/>
      <c r="DO262" s="192"/>
      <c r="DP262" s="192"/>
      <c r="DQ262" s="192"/>
      <c r="DR262" s="192"/>
      <c r="DS262" s="192"/>
      <c r="DT262" s="192"/>
      <c r="DU262" s="192"/>
      <c r="DV262" s="192"/>
      <c r="DW262" s="192"/>
      <c r="DX262" s="192"/>
      <c r="DY262" s="192"/>
      <c r="DZ262" s="192"/>
      <c r="EA262" s="192"/>
      <c r="EB262" s="192"/>
      <c r="EC262" s="192"/>
      <c r="ED262" s="192"/>
      <c r="EE262" s="192"/>
      <c r="EF262" s="192"/>
      <c r="EG262" s="192"/>
      <c r="EH262" s="192"/>
      <c r="EI262" s="192"/>
      <c r="EJ262" s="192"/>
      <c r="EK262" s="192"/>
      <c r="EL262" s="192"/>
      <c r="EM262" s="192"/>
      <c r="EN262" s="192"/>
      <c r="EO262" s="192"/>
      <c r="EP262" s="192"/>
      <c r="EQ262" s="192"/>
      <c r="ER262" s="192"/>
      <c r="ES262" s="192"/>
      <c r="ET262" s="192"/>
      <c r="EU262" s="192"/>
      <c r="EV262" s="192"/>
      <c r="EW262" s="192"/>
      <c r="EX262" s="192"/>
      <c r="EY262" s="192"/>
      <c r="EZ262" s="192"/>
      <c r="FA262" s="192"/>
      <c r="FB262" s="192"/>
      <c r="FC262" s="192"/>
      <c r="FD262" s="192"/>
      <c r="FE262" s="192"/>
      <c r="FF262" s="192"/>
      <c r="FG262" s="192"/>
      <c r="FH262" s="192"/>
      <c r="FI262" s="192"/>
      <c r="FJ262" s="192"/>
      <c r="FK262" s="192"/>
      <c r="FL262" s="192"/>
      <c r="FM262" s="192"/>
      <c r="FN262" s="192"/>
      <c r="FO262" s="192"/>
      <c r="FP262" s="192"/>
      <c r="FQ262" s="192"/>
      <c r="FR262" s="192"/>
      <c r="FS262" s="192"/>
      <c r="FT262" s="192"/>
      <c r="FU262" s="192"/>
      <c r="FV262" s="192"/>
      <c r="FW262" s="192"/>
      <c r="FX262" s="192"/>
      <c r="FY262" s="192"/>
      <c r="FZ262" s="192"/>
      <c r="GA262" s="192"/>
      <c r="GB262" s="192"/>
      <c r="GC262" s="192"/>
      <c r="GD262" s="192"/>
      <c r="GE262" s="192"/>
      <c r="GF262" s="192"/>
      <c r="GG262" s="192"/>
      <c r="GH262" s="192"/>
      <c r="GI262" s="192"/>
      <c r="GJ262" s="192"/>
      <c r="GK262" s="192"/>
      <c r="GL262" s="192"/>
      <c r="GM262" s="192"/>
      <c r="GN262" s="192"/>
      <c r="GO262" s="192"/>
      <c r="GP262" s="192"/>
      <c r="GQ262" s="192"/>
      <c r="GR262" s="192"/>
      <c r="GS262" s="192"/>
      <c r="GT262" s="192"/>
      <c r="GU262" s="192"/>
      <c r="GV262" s="192"/>
      <c r="GW262" s="192"/>
      <c r="GX262" s="192"/>
      <c r="GY262" s="192"/>
      <c r="GZ262" s="192"/>
      <c r="HA262" s="192"/>
      <c r="HB262" s="192"/>
      <c r="HC262" s="192"/>
      <c r="HD262" s="192"/>
      <c r="HE262" s="192"/>
      <c r="HF262" s="192"/>
      <c r="HG262" s="192"/>
      <c r="HH262" s="192"/>
      <c r="HI262" s="192"/>
      <c r="HJ262" s="192"/>
      <c r="HK262" s="192"/>
      <c r="HL262" s="192"/>
      <c r="HM262" s="192"/>
      <c r="HN262" s="192"/>
      <c r="HO262" s="192"/>
      <c r="HP262" s="192"/>
      <c r="HQ262" s="192"/>
      <c r="HR262" s="192"/>
      <c r="HS262" s="192"/>
      <c r="HT262" s="192"/>
      <c r="HU262" s="192"/>
      <c r="HV262" s="192"/>
      <c r="HW262" s="192"/>
      <c r="HX262" s="192"/>
      <c r="HY262" s="192"/>
      <c r="HZ262" s="192"/>
      <c r="IA262" s="192"/>
      <c r="IB262" s="192"/>
      <c r="IC262" s="192"/>
      <c r="ID262" s="192"/>
      <c r="IE262" s="192"/>
      <c r="IF262" s="192"/>
      <c r="IG262" s="192"/>
      <c r="IH262" s="192"/>
      <c r="II262" s="192"/>
      <c r="IJ262" s="192"/>
      <c r="IK262" s="192"/>
      <c r="IL262" s="192"/>
      <c r="IM262" s="192"/>
      <c r="IN262" s="192"/>
      <c r="IO262" s="192"/>
      <c r="IP262" s="192"/>
      <c r="IQ262" s="192"/>
      <c r="IR262" s="192"/>
      <c r="IS262" s="192"/>
      <c r="IT262" s="192"/>
      <c r="IU262" s="192"/>
      <c r="IV262" s="192"/>
      <c r="IW262" s="192"/>
      <c r="IX262" s="192"/>
      <c r="IY262" s="192"/>
      <c r="IZ262" s="192"/>
      <c r="JA262" s="192"/>
      <c r="JB262" s="192"/>
      <c r="JC262" s="192"/>
      <c r="JD262" s="192"/>
      <c r="JE262" s="192"/>
      <c r="JF262" s="192"/>
      <c r="JG262" s="192"/>
      <c r="JH262" s="192"/>
      <c r="JI262" s="192"/>
      <c r="JJ262" s="192"/>
      <c r="JK262" s="192"/>
      <c r="JL262" s="192"/>
      <c r="JM262" s="192"/>
      <c r="JN262" s="192"/>
      <c r="JO262" s="192"/>
      <c r="JP262" s="192"/>
      <c r="JQ262" s="192"/>
      <c r="JR262" s="192"/>
      <c r="JS262" s="192"/>
      <c r="JT262" s="192"/>
      <c r="JU262" s="192"/>
      <c r="JV262" s="192"/>
      <c r="JW262" s="192"/>
      <c r="JX262" s="192"/>
      <c r="JY262" s="192"/>
      <c r="JZ262" s="192"/>
      <c r="KA262" s="192"/>
      <c r="KB262" s="192"/>
      <c r="KC262" s="192"/>
      <c r="KD262" s="192"/>
      <c r="KE262" s="192"/>
      <c r="KF262" s="192"/>
      <c r="KG262" s="192"/>
      <c r="KH262" s="192"/>
      <c r="KI262" s="192"/>
      <c r="KJ262" s="192"/>
      <c r="KK262" s="192"/>
      <c r="KL262" s="192"/>
      <c r="KM262" s="192"/>
      <c r="KN262" s="192"/>
      <c r="KO262" s="192"/>
      <c r="KP262" s="192"/>
      <c r="KQ262" s="192"/>
      <c r="KR262" s="192"/>
      <c r="KS262" s="192"/>
      <c r="KT262" s="192"/>
      <c r="KU262" s="192"/>
      <c r="KV262" s="192"/>
      <c r="KW262" s="192"/>
      <c r="KX262" s="192"/>
      <c r="KY262" s="192"/>
      <c r="KZ262" s="192"/>
      <c r="LA262" s="192"/>
      <c r="LB262" s="192"/>
      <c r="LC262" s="192"/>
      <c r="LD262" s="192"/>
      <c r="LE262" s="192"/>
      <c r="LF262" s="192"/>
      <c r="LG262" s="192"/>
      <c r="LH262" s="192"/>
      <c r="LI262" s="192"/>
      <c r="LJ262" s="192"/>
      <c r="LK262" s="192"/>
      <c r="LL262" s="192"/>
      <c r="LM262" s="192"/>
      <c r="LN262" s="192"/>
      <c r="LO262" s="192"/>
      <c r="LP262" s="192"/>
      <c r="LQ262" s="192"/>
      <c r="LR262" s="192"/>
      <c r="LS262" s="192"/>
      <c r="LT262" s="192"/>
      <c r="LU262" s="192"/>
      <c r="LV262" s="192"/>
      <c r="LW262" s="192"/>
      <c r="LX262" s="192"/>
      <c r="LY262" s="192"/>
      <c r="LZ262" s="192"/>
      <c r="MA262" s="192"/>
      <c r="MB262" s="192"/>
      <c r="MC262" s="192"/>
      <c r="MD262" s="192"/>
      <c r="ME262" s="192"/>
      <c r="MF262" s="192"/>
      <c r="MG262" s="192"/>
      <c r="MH262" s="192"/>
      <c r="MI262" s="192"/>
      <c r="MJ262" s="192"/>
      <c r="MK262" s="192"/>
      <c r="ML262" s="192"/>
      <c r="MM262" s="192"/>
      <c r="MN262" s="192"/>
      <c r="MO262" s="192"/>
      <c r="MP262" s="192"/>
      <c r="MQ262" s="192"/>
      <c r="MR262" s="192"/>
      <c r="MS262" s="192"/>
      <c r="MT262" s="192"/>
      <c r="MU262" s="192"/>
      <c r="MV262" s="192"/>
      <c r="MW262" s="192"/>
      <c r="MX262" s="192"/>
      <c r="MY262" s="192"/>
      <c r="MZ262" s="192"/>
      <c r="NA262" s="192"/>
      <c r="NB262" s="192"/>
      <c r="NC262" s="192"/>
      <c r="ND262" s="192"/>
      <c r="NE262" s="192"/>
      <c r="NF262" s="192"/>
      <c r="NG262" s="192"/>
      <c r="NH262" s="192"/>
      <c r="NI262" s="192"/>
      <c r="NJ262" s="192"/>
      <c r="NK262" s="192"/>
      <c r="NL262" s="192"/>
      <c r="NM262" s="192"/>
      <c r="NN262" s="192"/>
      <c r="NO262" s="192"/>
      <c r="NP262" s="192"/>
      <c r="NQ262" s="192"/>
      <c r="NR262" s="192"/>
      <c r="NS262" s="192"/>
      <c r="NT262" s="192"/>
      <c r="NU262" s="192"/>
      <c r="NV262" s="192"/>
      <c r="NW262" s="192"/>
      <c r="NX262" s="192"/>
      <c r="NY262" s="192"/>
      <c r="NZ262" s="192"/>
      <c r="OA262" s="192"/>
      <c r="OB262" s="192"/>
      <c r="OC262" s="192"/>
      <c r="OD262" s="192"/>
      <c r="OE262" s="192"/>
      <c r="OF262" s="192"/>
      <c r="OG262" s="192"/>
      <c r="OH262" s="192"/>
      <c r="OI262" s="192"/>
      <c r="OJ262" s="192"/>
      <c r="OK262" s="192"/>
      <c r="OL262" s="192"/>
      <c r="OM262" s="192"/>
      <c r="ON262" s="192"/>
      <c r="OO262" s="192"/>
      <c r="OP262" s="192"/>
      <c r="OQ262" s="192"/>
      <c r="OR262" s="192"/>
      <c r="OS262" s="192"/>
      <c r="OT262" s="192"/>
      <c r="OU262" s="192"/>
      <c r="OV262" s="192"/>
      <c r="OW262" s="192"/>
      <c r="OX262" s="192"/>
      <c r="OY262" s="192"/>
      <c r="OZ262" s="192"/>
      <c r="PA262" s="192"/>
      <c r="PB262" s="192"/>
      <c r="PC262" s="192"/>
      <c r="PD262" s="192"/>
      <c r="PE262" s="192"/>
      <c r="PF262" s="192"/>
      <c r="PG262" s="192"/>
      <c r="PH262" s="192"/>
      <c r="PI262" s="192"/>
      <c r="PJ262" s="192"/>
      <c r="PK262" s="192"/>
      <c r="PL262" s="192"/>
      <c r="PM262" s="192"/>
      <c r="PN262" s="192"/>
      <c r="PO262" s="192"/>
      <c r="PP262" s="192"/>
      <c r="PQ262" s="192"/>
      <c r="PR262" s="192"/>
      <c r="PS262" s="192"/>
      <c r="PT262" s="192"/>
      <c r="PU262" s="192"/>
      <c r="PV262" s="192"/>
      <c r="PW262" s="192"/>
      <c r="PX262" s="192"/>
      <c r="PY262" s="192"/>
      <c r="PZ262" s="192"/>
      <c r="QA262" s="192"/>
      <c r="QB262" s="192"/>
      <c r="QC262" s="192"/>
      <c r="QD262" s="192"/>
      <c r="QE262" s="192"/>
      <c r="QF262" s="192"/>
      <c r="QG262" s="192"/>
      <c r="QH262" s="192"/>
      <c r="QI262" s="192"/>
      <c r="QJ262" s="192"/>
      <c r="QK262" s="192"/>
      <c r="QL262" s="192"/>
      <c r="QM262" s="192"/>
      <c r="QN262" s="192"/>
      <c r="QO262" s="192"/>
      <c r="QP262" s="192"/>
      <c r="QQ262" s="192"/>
      <c r="QR262" s="193"/>
    </row>
    <row r="263" spans="3:483" ht="5.0999999999999996" customHeight="1" thickTop="1" x14ac:dyDescent="0.3"/>
    <row r="267" spans="3:483" ht="5.0999999999999996" customHeight="1" x14ac:dyDescent="0.3">
      <c r="F267" s="176"/>
      <c r="G267" s="176"/>
      <c r="T267" s="176"/>
      <c r="U267" s="176"/>
      <c r="V267" s="176"/>
      <c r="W267" s="176"/>
      <c r="X267" s="176"/>
      <c r="Y267" s="176"/>
      <c r="Z267" s="176"/>
      <c r="AA267" s="176"/>
      <c r="AB267" s="176"/>
      <c r="AC267" s="176"/>
      <c r="AD267" s="176"/>
      <c r="AE267" s="176"/>
      <c r="AF267" s="176"/>
      <c r="AG267" s="176"/>
      <c r="AH267" s="176"/>
      <c r="AI267" s="176"/>
      <c r="AJ267" s="176"/>
      <c r="AK267" s="176"/>
      <c r="AL267" s="176"/>
      <c r="AM267" s="176"/>
      <c r="AN267" s="176"/>
      <c r="AO267" s="176"/>
      <c r="AP267" s="176"/>
      <c r="AQ267" s="176"/>
      <c r="AR267" s="176"/>
      <c r="AS267" s="176"/>
      <c r="AT267" s="176"/>
      <c r="AU267" s="176"/>
      <c r="AV267" s="176"/>
      <c r="AW267" s="176"/>
      <c r="AX267" s="176"/>
      <c r="AY267" s="176"/>
      <c r="AZ267" s="176"/>
      <c r="BA267" s="176"/>
      <c r="BB267" s="176"/>
      <c r="BC267" s="176"/>
      <c r="BD267" s="176"/>
      <c r="BE267" s="176"/>
      <c r="BF267" s="176"/>
      <c r="BG267" s="176"/>
      <c r="BH267" s="176"/>
      <c r="BI267" s="176"/>
      <c r="BJ267" s="176"/>
      <c r="BK267" s="176"/>
      <c r="BL267" s="176"/>
      <c r="BM267" s="176"/>
      <c r="BN267" s="176"/>
      <c r="BO267" s="176"/>
      <c r="BP267" s="176"/>
      <c r="BQ267" s="176"/>
      <c r="BR267" s="176"/>
      <c r="BS267" s="176"/>
      <c r="BT267" s="176"/>
      <c r="BU267" s="176"/>
      <c r="BV267" s="176"/>
      <c r="BW267" s="176"/>
      <c r="BX267" s="176"/>
      <c r="BY267" s="176"/>
      <c r="BZ267" s="176"/>
      <c r="CA267" s="176"/>
      <c r="CB267" s="176"/>
      <c r="CC267" s="176"/>
      <c r="CD267" s="176"/>
      <c r="CE267" s="176"/>
      <c r="CF267" s="176"/>
      <c r="CG267" s="176"/>
      <c r="CH267" s="176"/>
      <c r="CI267" s="176"/>
      <c r="CJ267" s="176"/>
      <c r="CK267" s="176"/>
      <c r="CL267" s="176"/>
      <c r="CM267" s="176"/>
      <c r="CN267" s="176"/>
      <c r="CO267" s="176"/>
      <c r="CP267" s="176"/>
      <c r="CQ267" s="176"/>
      <c r="CR267" s="176"/>
      <c r="CS267" s="176"/>
      <c r="CT267" s="176"/>
      <c r="CU267" s="176"/>
      <c r="CV267" s="176"/>
      <c r="CW267" s="176"/>
      <c r="CX267" s="176"/>
      <c r="CY267" s="176"/>
      <c r="CZ267" s="176"/>
      <c r="DA267" s="176"/>
      <c r="DB267" s="176"/>
      <c r="DC267" s="176"/>
      <c r="DD267" s="176"/>
      <c r="DE267" s="176"/>
      <c r="DF267" s="176"/>
      <c r="DG267" s="176"/>
      <c r="DH267" s="176"/>
      <c r="DI267" s="176"/>
      <c r="DJ267" s="176"/>
      <c r="DK267" s="176"/>
      <c r="DL267" s="176"/>
      <c r="DM267" s="176"/>
      <c r="DN267" s="176"/>
      <c r="DO267" s="176"/>
      <c r="DP267" s="176"/>
      <c r="DQ267" s="176"/>
      <c r="DR267" s="176"/>
      <c r="DS267" s="176"/>
      <c r="DT267" s="176"/>
      <c r="DU267" s="176"/>
      <c r="DV267" s="176"/>
      <c r="DW267" s="176"/>
      <c r="DX267" s="176"/>
      <c r="DY267" s="176"/>
      <c r="DZ267" s="176"/>
      <c r="EA267" s="176"/>
      <c r="EB267" s="176"/>
      <c r="EC267" s="176"/>
      <c r="ED267" s="176"/>
      <c r="EE267" s="176"/>
      <c r="EF267" s="176"/>
      <c r="EG267" s="176"/>
      <c r="EH267" s="176"/>
      <c r="EI267" s="176"/>
      <c r="EJ267" s="176"/>
      <c r="EK267" s="176"/>
      <c r="EL267" s="176"/>
      <c r="EM267" s="176"/>
      <c r="EN267" s="176"/>
      <c r="EO267" s="176"/>
      <c r="EP267" s="176"/>
      <c r="EQ267" s="176"/>
      <c r="ER267" s="176"/>
      <c r="ES267" s="176"/>
      <c r="ET267" s="176"/>
      <c r="EU267" s="176"/>
      <c r="EV267" s="176"/>
      <c r="EW267" s="176"/>
      <c r="EX267" s="176"/>
      <c r="EY267" s="176"/>
      <c r="EZ267" s="176"/>
      <c r="FA267" s="176"/>
      <c r="FB267" s="176"/>
      <c r="FC267" s="176"/>
      <c r="FD267" s="176"/>
      <c r="FE267" s="176"/>
      <c r="FF267" s="176"/>
      <c r="FG267" s="176"/>
      <c r="FH267" s="176"/>
      <c r="FI267" s="176"/>
      <c r="FJ267" s="176"/>
      <c r="FK267" s="176"/>
      <c r="FL267" s="176"/>
      <c r="FM267" s="176"/>
      <c r="FN267" s="176"/>
      <c r="FO267" s="176"/>
      <c r="FP267" s="176"/>
      <c r="FQ267" s="176"/>
      <c r="FR267" s="176"/>
      <c r="FS267" s="176"/>
      <c r="FT267" s="176"/>
      <c r="FU267" s="176"/>
      <c r="FV267" s="176"/>
      <c r="FW267" s="176"/>
      <c r="FX267" s="176"/>
      <c r="FY267" s="176"/>
      <c r="FZ267" s="176"/>
      <c r="GA267" s="176"/>
      <c r="GB267" s="176"/>
      <c r="GC267" s="176"/>
      <c r="GD267" s="176"/>
      <c r="GE267" s="176"/>
      <c r="GF267" s="176"/>
      <c r="GG267" s="176"/>
      <c r="GH267" s="176"/>
      <c r="GI267" s="176"/>
      <c r="GJ267" s="176"/>
      <c r="GK267" s="176"/>
      <c r="GL267" s="176"/>
      <c r="GM267" s="176"/>
      <c r="GN267" s="176"/>
      <c r="GO267" s="176"/>
      <c r="GP267" s="176"/>
      <c r="GQ267" s="176"/>
      <c r="GR267" s="176"/>
      <c r="GS267" s="176"/>
      <c r="GT267" s="176"/>
      <c r="GU267" s="176"/>
      <c r="GV267" s="176"/>
      <c r="GW267" s="176"/>
      <c r="GX267" s="176"/>
      <c r="GY267" s="176"/>
      <c r="GZ267" s="176"/>
      <c r="HA267" s="176"/>
      <c r="HB267" s="176"/>
      <c r="HC267" s="176"/>
      <c r="HD267" s="176"/>
      <c r="HE267" s="176"/>
      <c r="HF267" s="176"/>
      <c r="HG267" s="176"/>
      <c r="HH267" s="176"/>
      <c r="HI267" s="176"/>
      <c r="HJ267" s="176"/>
      <c r="HK267" s="176"/>
      <c r="HL267" s="176"/>
      <c r="HM267" s="176"/>
      <c r="HN267" s="176"/>
      <c r="HO267" s="176"/>
      <c r="HP267" s="176"/>
      <c r="HQ267" s="176"/>
      <c r="HR267" s="176"/>
      <c r="HS267" s="176"/>
      <c r="HT267" s="176"/>
      <c r="HU267" s="176"/>
      <c r="HV267" s="176"/>
      <c r="HW267" s="176"/>
      <c r="HX267" s="176"/>
      <c r="HY267" s="176"/>
      <c r="HZ267" s="176"/>
      <c r="IA267" s="176"/>
      <c r="IB267" s="176"/>
      <c r="IC267" s="176"/>
      <c r="ID267" s="176"/>
      <c r="IE267" s="176"/>
      <c r="IF267" s="176"/>
      <c r="IG267" s="176"/>
      <c r="IH267" s="176"/>
      <c r="II267" s="176"/>
      <c r="IJ267" s="176"/>
      <c r="IK267" s="176"/>
      <c r="IL267" s="176"/>
      <c r="IM267" s="176"/>
      <c r="IN267" s="176"/>
      <c r="IO267" s="176"/>
      <c r="IP267" s="176"/>
      <c r="IQ267" s="176"/>
      <c r="IR267" s="176"/>
      <c r="IS267" s="176"/>
      <c r="IT267" s="176"/>
      <c r="IU267" s="176"/>
      <c r="IV267" s="176"/>
      <c r="IW267" s="176"/>
      <c r="IX267" s="176"/>
      <c r="IY267" s="176"/>
      <c r="IZ267" s="176"/>
      <c r="JA267" s="176"/>
      <c r="JB267" s="176"/>
      <c r="JC267" s="176"/>
      <c r="JD267" s="176"/>
      <c r="JE267" s="176"/>
      <c r="JF267" s="176"/>
      <c r="JG267" s="176"/>
      <c r="JH267" s="176"/>
      <c r="JI267" s="176"/>
      <c r="JJ267" s="176"/>
      <c r="JK267" s="176"/>
      <c r="JL267" s="176"/>
      <c r="JM267" s="176"/>
      <c r="JN267" s="176"/>
      <c r="JO267" s="176"/>
      <c r="JP267" s="176"/>
      <c r="JQ267" s="176"/>
      <c r="JR267" s="176"/>
      <c r="JS267" s="176"/>
      <c r="JT267" s="176"/>
      <c r="JU267" s="176"/>
      <c r="JV267" s="176"/>
      <c r="JW267" s="176"/>
      <c r="JX267" s="176"/>
      <c r="JY267" s="176"/>
      <c r="JZ267" s="176"/>
      <c r="KA267" s="176"/>
      <c r="KB267" s="176"/>
      <c r="KC267" s="176"/>
      <c r="KD267" s="176"/>
      <c r="KE267" s="176"/>
      <c r="KF267" s="176"/>
      <c r="KG267" s="176"/>
      <c r="KH267" s="176"/>
      <c r="KI267" s="176"/>
      <c r="KJ267" s="176"/>
      <c r="KK267" s="176"/>
      <c r="KL267" s="176"/>
      <c r="KM267" s="176"/>
      <c r="KN267" s="176"/>
      <c r="KO267" s="176"/>
      <c r="KP267" s="176"/>
      <c r="KQ267" s="176"/>
      <c r="KR267" s="176"/>
      <c r="KS267" s="176"/>
      <c r="KT267" s="176"/>
      <c r="KU267" s="176"/>
      <c r="LQ267" s="176"/>
      <c r="LR267" s="176"/>
      <c r="LS267" s="176"/>
      <c r="LT267" s="176"/>
      <c r="LU267" s="176"/>
      <c r="LV267" s="176"/>
      <c r="LW267" s="176"/>
      <c r="LX267" s="176"/>
      <c r="MM267" s="176"/>
      <c r="MN267" s="176"/>
      <c r="MO267" s="176"/>
      <c r="MP267" s="176"/>
      <c r="MQ267" s="176"/>
      <c r="MR267" s="176"/>
      <c r="MS267" s="176"/>
      <c r="MT267" s="176"/>
      <c r="MU267" s="176"/>
      <c r="MV267" s="176"/>
      <c r="MW267" s="176"/>
      <c r="MX267" s="176"/>
      <c r="MY267" s="176"/>
      <c r="MZ267" s="176"/>
      <c r="NA267" s="176"/>
      <c r="NB267" s="176"/>
      <c r="NC267" s="176"/>
      <c r="ND267" s="176"/>
      <c r="NE267" s="176"/>
      <c r="NF267" s="176"/>
      <c r="NG267" s="176"/>
      <c r="NH267" s="176"/>
      <c r="NI267" s="176"/>
      <c r="NJ267" s="176"/>
      <c r="NK267" s="176"/>
      <c r="NL267" s="176"/>
      <c r="NM267" s="176"/>
      <c r="NN267" s="176"/>
      <c r="NO267" s="176"/>
      <c r="NP267" s="176"/>
      <c r="NQ267" s="176"/>
      <c r="NR267" s="176"/>
      <c r="NS267" s="176"/>
      <c r="NT267" s="176"/>
      <c r="NU267" s="176"/>
      <c r="NV267" s="176"/>
      <c r="NW267" s="176"/>
      <c r="NX267" s="176"/>
      <c r="QS267" s="176"/>
      <c r="QT267" s="176"/>
      <c r="QU267" s="176"/>
      <c r="QV267" s="176"/>
      <c r="RK267" s="176"/>
      <c r="RL267" s="176"/>
      <c r="RM267" s="176"/>
      <c r="RN267" s="176"/>
      <c r="RO267" s="176"/>
    </row>
    <row r="308" spans="64:160" ht="5.0999999999999996" customHeight="1" x14ac:dyDescent="0.3">
      <c r="FD308" s="135">
        <v>5</v>
      </c>
    </row>
    <row r="318" spans="64:160" ht="5.0999999999999996" customHeight="1" x14ac:dyDescent="0.3">
      <c r="BL318" s="135">
        <v>3</v>
      </c>
      <c r="FD318" s="135">
        <v>3</v>
      </c>
    </row>
    <row r="328" spans="64:160" ht="5.0999999999999996" customHeight="1" x14ac:dyDescent="0.3">
      <c r="BL328" s="135">
        <v>3</v>
      </c>
      <c r="FD328" s="135">
        <v>3</v>
      </c>
    </row>
  </sheetData>
  <mergeCells count="166">
    <mergeCell ref="DE231:EU234"/>
    <mergeCell ref="EV231:EZ234"/>
    <mergeCell ref="DE235:EU238"/>
    <mergeCell ref="EV235:EZ238"/>
    <mergeCell ref="DE213:EU216"/>
    <mergeCell ref="EV213:EZ216"/>
    <mergeCell ref="DE217:EU220"/>
    <mergeCell ref="NK254:OL258"/>
    <mergeCell ref="OM254:PN258"/>
    <mergeCell ref="PO254:QP258"/>
    <mergeCell ref="OD242:QA250"/>
    <mergeCell ref="QB242:QM250"/>
    <mergeCell ref="F243:AG247"/>
    <mergeCell ref="AH243:BI247"/>
    <mergeCell ref="BJ243:CK247"/>
    <mergeCell ref="F248:AG252"/>
    <mergeCell ref="AH248:BI252"/>
    <mergeCell ref="BJ248:CK252"/>
    <mergeCell ref="F253:AG257"/>
    <mergeCell ref="AH253:BI257"/>
    <mergeCell ref="BJ253:CK257"/>
    <mergeCell ref="EV217:EZ220"/>
    <mergeCell ref="DE227:EU230"/>
    <mergeCell ref="EV227:EZ230"/>
    <mergeCell ref="DE221:EU226"/>
    <mergeCell ref="EV221:EZ226"/>
    <mergeCell ref="EV205:EZ208"/>
    <mergeCell ref="FE205:GU208"/>
    <mergeCell ref="GV205:GZ208"/>
    <mergeCell ref="DE197:EU200"/>
    <mergeCell ref="EV197:EZ200"/>
    <mergeCell ref="FE197:GU200"/>
    <mergeCell ref="GV197:GZ200"/>
    <mergeCell ref="GV209:GZ212"/>
    <mergeCell ref="DE209:EU212"/>
    <mergeCell ref="EV209:EZ212"/>
    <mergeCell ref="FE209:GU212"/>
    <mergeCell ref="OS175:QF184"/>
    <mergeCell ref="QG175:QL184"/>
    <mergeCell ref="DE183:EU188"/>
    <mergeCell ref="EV183:EZ188"/>
    <mergeCell ref="FE183:GU188"/>
    <mergeCell ref="GV183:GZ188"/>
    <mergeCell ref="OS187:QF196"/>
    <mergeCell ref="QG187:QL196"/>
    <mergeCell ref="DE189:EU192"/>
    <mergeCell ref="EV189:EZ192"/>
    <mergeCell ref="OS197:QF206"/>
    <mergeCell ref="QG197:QL206"/>
    <mergeCell ref="DE201:EU204"/>
    <mergeCell ref="EV201:EZ204"/>
    <mergeCell ref="FE201:GU204"/>
    <mergeCell ref="GV201:GZ204"/>
    <mergeCell ref="FE189:GU192"/>
    <mergeCell ref="GV189:GZ192"/>
    <mergeCell ref="DE193:EU196"/>
    <mergeCell ref="EV193:EZ196"/>
    <mergeCell ref="FE193:GU196"/>
    <mergeCell ref="GV193:GZ196"/>
    <mergeCell ref="DE205:EU208"/>
    <mergeCell ref="G151:AU160"/>
    <mergeCell ref="AV151:AZ160"/>
    <mergeCell ref="G161:AU170"/>
    <mergeCell ref="AV161:AZ170"/>
    <mergeCell ref="OS165:QF174"/>
    <mergeCell ref="QG165:QL174"/>
    <mergeCell ref="KP135:MC144"/>
    <mergeCell ref="MD135:MH144"/>
    <mergeCell ref="G141:AU150"/>
    <mergeCell ref="AV141:AZ150"/>
    <mergeCell ref="CY141:EM150"/>
    <mergeCell ref="EN141:ER150"/>
    <mergeCell ref="G131:AU140"/>
    <mergeCell ref="AV131:AZ140"/>
    <mergeCell ref="BC131:CQ140"/>
    <mergeCell ref="CR131:CV140"/>
    <mergeCell ref="CY131:EM140"/>
    <mergeCell ref="EN131:ER140"/>
    <mergeCell ref="G119:AU128"/>
    <mergeCell ref="AV119:AZ128"/>
    <mergeCell ref="BC119:CQ128"/>
    <mergeCell ref="CR119:CV128"/>
    <mergeCell ref="CY119:EM128"/>
    <mergeCell ref="EN119:ER128"/>
    <mergeCell ref="KP115:MC124"/>
    <mergeCell ref="MD115:MH124"/>
    <mergeCell ref="MM115:NZ124"/>
    <mergeCell ref="G107:AU116"/>
    <mergeCell ref="AV107:AZ116"/>
    <mergeCell ref="BC107:CQ116"/>
    <mergeCell ref="CR107:CV116"/>
    <mergeCell ref="CY107:EM116"/>
    <mergeCell ref="EN107:ER116"/>
    <mergeCell ref="EU119:GI128"/>
    <mergeCell ref="GJ119:GN128"/>
    <mergeCell ref="GQ119:IE128"/>
    <mergeCell ref="IF119:IJ128"/>
    <mergeCell ref="KP125:MC134"/>
    <mergeCell ref="MD125:MH134"/>
    <mergeCell ref="EU131:GI140"/>
    <mergeCell ref="GJ131:GN140"/>
    <mergeCell ref="GQ131:IE140"/>
    <mergeCell ref="OA115:OE124"/>
    <mergeCell ref="MM125:NZ134"/>
    <mergeCell ref="OA125:OE134"/>
    <mergeCell ref="EU107:GI116"/>
    <mergeCell ref="GJ107:GN116"/>
    <mergeCell ref="GQ107:IE116"/>
    <mergeCell ref="IF107:IJ116"/>
    <mergeCell ref="IR107:KE116"/>
    <mergeCell ref="KF107:KJ116"/>
    <mergeCell ref="KP105:MC114"/>
    <mergeCell ref="MD105:MH114"/>
    <mergeCell ref="MM105:NZ114"/>
    <mergeCell ref="OA105:OE114"/>
    <mergeCell ref="IF131:IJ140"/>
    <mergeCell ref="IR117:KJ126"/>
    <mergeCell ref="PX81:QC90"/>
    <mergeCell ref="IR95:KE104"/>
    <mergeCell ref="KF95:KJ104"/>
    <mergeCell ref="KP95:MC104"/>
    <mergeCell ref="MD95:MH104"/>
    <mergeCell ref="MM95:NZ104"/>
    <mergeCell ref="OA95:OE104"/>
    <mergeCell ref="OK95:PX104"/>
    <mergeCell ref="PY95:QD104"/>
    <mergeCell ref="IR81:KE90"/>
    <mergeCell ref="KF81:KJ90"/>
    <mergeCell ref="KP81:MC90"/>
    <mergeCell ref="MD81:MH90"/>
    <mergeCell ref="MM81:NZ90"/>
    <mergeCell ref="OA81:OE90"/>
    <mergeCell ref="QF51:QK59"/>
    <mergeCell ref="KI52:LU61"/>
    <mergeCell ref="LV52:LZ61"/>
    <mergeCell ref="I59:AW68"/>
    <mergeCell ref="AX59:BB68"/>
    <mergeCell ref="MP65:OD73"/>
    <mergeCell ref="OE65:OJ73"/>
    <mergeCell ref="I70:AW78"/>
    <mergeCell ref="LV40:LZ49"/>
    <mergeCell ref="DI46:EW54"/>
    <mergeCell ref="EX46:FA54"/>
    <mergeCell ref="I48:AW57"/>
    <mergeCell ref="AX48:BB57"/>
    <mergeCell ref="MO51:OC59"/>
    <mergeCell ref="AX70:BB78"/>
    <mergeCell ref="BZ70:DM79"/>
    <mergeCell ref="DN70:DS79"/>
    <mergeCell ref="ET71:GG80"/>
    <mergeCell ref="GH71:GM80"/>
    <mergeCell ref="I79:AW87"/>
    <mergeCell ref="AX79:BB87"/>
    <mergeCell ref="OD51:OI59"/>
    <mergeCell ref="OQ51:QE59"/>
    <mergeCell ref="OJ81:PW90"/>
    <mergeCell ref="E5:QP8"/>
    <mergeCell ref="E9:QP11"/>
    <mergeCell ref="E12:QP15"/>
    <mergeCell ref="HC19:IQ27"/>
    <mergeCell ref="IR19:IU27"/>
    <mergeCell ref="I37:AW46"/>
    <mergeCell ref="AX37:BB46"/>
    <mergeCell ref="NN37:PB46"/>
    <mergeCell ref="PC37:PH46"/>
    <mergeCell ref="KI40:LU4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</vt:lpstr>
      <vt:lpstr>Org.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M. Maheen</dc:creator>
  <cp:lastModifiedBy>MOHAMED RIYAZ A N</cp:lastModifiedBy>
  <dcterms:created xsi:type="dcterms:W3CDTF">2015-06-05T18:17:20Z</dcterms:created>
  <dcterms:modified xsi:type="dcterms:W3CDTF">2026-06-30T07:41:16Z</dcterms:modified>
</cp:coreProperties>
</file>