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AAdmin-PS10\7006-EWRC-PS10 Manpower\AAManpower\AA-Manpower Weekly Wise report\2026\008 August 2026\"/>
    </mc:Choice>
  </mc:AlternateContent>
  <xr:revisionPtr revIDLastSave="0" documentId="13_ncr:1_{3005E2F0-7204-4779-8E47-1E76A345127B}" xr6:coauthVersionLast="36" xr6:coauthVersionMax="36" xr10:uidLastSave="{00000000-0000-0000-0000-000000000000}"/>
  <bookViews>
    <workbookView xWindow="0" yWindow="0" windowWidth="19200" windowHeight="8070" activeTab="1" xr2:uid="{00000000-000D-0000-FFFF-FFFF00000000}"/>
  </bookViews>
  <sheets>
    <sheet name="PS10" sheetId="11" r:id="rId1"/>
    <sheet name="Org. Chart" sheetId="18" r:id="rId2"/>
    <sheet name="Passport" sheetId="19" state="hidden" r:id="rId3"/>
  </sheets>
  <definedNames>
    <definedName name="_xlnm._FilterDatabase" localSheetId="2" hidden="1">Passport!$A$3:$M$117</definedName>
    <definedName name="_xlnm._FilterDatabase" localSheetId="0" hidden="1">'PS10'!$A$3:$N$111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1" l="1"/>
  <c r="A115" i="19" l="1"/>
  <c r="A116" i="19" s="1"/>
  <c r="A117" i="19" s="1"/>
  <c r="Q95" i="19"/>
  <c r="B50" i="19"/>
  <c r="B18" i="19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B4" i="19"/>
  <c r="A101" i="19" l="1"/>
  <c r="A102" i="19" s="1"/>
  <c r="A103" i="19" s="1"/>
  <c r="A104" i="19" s="1"/>
  <c r="A105" i="19" s="1"/>
  <c r="A106" i="19" s="1"/>
  <c r="A107" i="19" s="1"/>
  <c r="A108" i="19" s="1"/>
  <c r="A109" i="19" s="1"/>
  <c r="A121" i="11" l="1"/>
  <c r="A122" i="11" s="1"/>
  <c r="A123" i="11" s="1"/>
  <c r="QG187" i="18" l="1"/>
  <c r="QG165" i="18"/>
  <c r="QE161" i="18"/>
  <c r="FV109" i="18"/>
  <c r="DU109" i="18"/>
  <c r="FB91" i="18"/>
  <c r="OV79" i="18"/>
  <c r="MY79" i="18"/>
  <c r="LB79" i="18"/>
  <c r="LV40" i="18" s="1"/>
  <c r="JD79" i="18"/>
  <c r="PC37" i="18"/>
  <c r="AX37" i="18"/>
  <c r="M111" i="11" l="1"/>
  <c r="B18" i="11" l="1"/>
  <c r="K18" i="11" l="1"/>
  <c r="K4" i="11" l="1"/>
  <c r="D111" i="11" l="1"/>
  <c r="K50" i="11"/>
  <c r="B50" i="11"/>
  <c r="A6" i="11"/>
  <c r="A7" i="11" s="1"/>
  <c r="B4" i="11"/>
  <c r="A8" i="11" l="1"/>
  <c r="A9" i="11" s="1"/>
  <c r="A10" i="11" s="1"/>
  <c r="A11" i="11" s="1"/>
  <c r="A12" i="11" s="1"/>
  <c r="A13" i="11" s="1"/>
  <c r="A14" i="11" s="1"/>
  <c r="B110" i="11"/>
  <c r="K110" i="11"/>
  <c r="A16" i="11" l="1"/>
  <c r="A17" i="11" s="1"/>
  <c r="A19" i="11" s="1"/>
  <c r="A20" i="11" s="1"/>
  <c r="A21" i="11" s="1"/>
  <c r="A22" i="11" s="1"/>
  <c r="A23" i="11" s="1"/>
  <c r="A24" i="11" s="1"/>
  <c r="A111" i="11"/>
  <c r="H111" i="11"/>
  <c r="A25" i="11" l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1" i="11" s="1"/>
  <c r="A52" i="11" s="1"/>
  <c r="A53" i="11" s="1"/>
  <c r="A54" i="11" l="1"/>
  <c r="A55" i="11" l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</calcChain>
</file>

<file path=xl/sharedStrings.xml><?xml version="1.0" encoding="utf-8"?>
<sst xmlns="http://schemas.openxmlformats.org/spreadsheetml/2006/main" count="1878" uniqueCount="428">
  <si>
    <t>L/N</t>
  </si>
  <si>
    <t>Employee Number</t>
  </si>
  <si>
    <t>Nationality</t>
  </si>
  <si>
    <t>Company</t>
  </si>
  <si>
    <t>Actual Count</t>
  </si>
  <si>
    <t>Current Status</t>
  </si>
  <si>
    <t>Remarks</t>
  </si>
  <si>
    <t>A</t>
  </si>
  <si>
    <t>Site Mangement</t>
  </si>
  <si>
    <t>Facility Manager - 1</t>
  </si>
  <si>
    <t>Saudi</t>
  </si>
  <si>
    <t>ACGC</t>
  </si>
  <si>
    <t>On Site</t>
  </si>
  <si>
    <t>Indian</t>
  </si>
  <si>
    <t>Safety Officer-1</t>
  </si>
  <si>
    <t>Housing Front Office Administrator-1</t>
  </si>
  <si>
    <t>Warehouse Administrator-1</t>
  </si>
  <si>
    <t>Local Purchaser-1</t>
  </si>
  <si>
    <t>B</t>
  </si>
  <si>
    <t>MEP Services</t>
  </si>
  <si>
    <t>Electrical Technician-1</t>
  </si>
  <si>
    <t>Electrical Technician-2</t>
  </si>
  <si>
    <t>Fire Alarm / CCTV  Technicians-1</t>
  </si>
  <si>
    <t>Plumber-1</t>
  </si>
  <si>
    <t>STP Operator-1</t>
  </si>
  <si>
    <t>Handyman-1</t>
  </si>
  <si>
    <t>Handyman-2</t>
  </si>
  <si>
    <t>C</t>
  </si>
  <si>
    <t>Housekeeping &amp; Recreational Services</t>
  </si>
  <si>
    <t>Housekeeping Supervisor-1</t>
  </si>
  <si>
    <t>Fitness Instructor-1</t>
  </si>
  <si>
    <t>Team Leader-1</t>
  </si>
  <si>
    <t>Room Attendant-1</t>
  </si>
  <si>
    <t>Room Attendant-2</t>
  </si>
  <si>
    <t>Room Attendant-3</t>
  </si>
  <si>
    <t>Room Attendant-4</t>
  </si>
  <si>
    <t>Room Attendant-5</t>
  </si>
  <si>
    <t>Room Attendant-6</t>
  </si>
  <si>
    <t>Room Attendant-7</t>
  </si>
  <si>
    <t>Sri Lankan</t>
  </si>
  <si>
    <t>Gardener-2</t>
  </si>
  <si>
    <t>Nepalese</t>
  </si>
  <si>
    <t>Janitor-2</t>
  </si>
  <si>
    <t>Janitor-3</t>
  </si>
  <si>
    <t>Janitor-4</t>
  </si>
  <si>
    <t>Janitor-5</t>
  </si>
  <si>
    <t>Janitor-6</t>
  </si>
  <si>
    <t>Driver-1</t>
  </si>
  <si>
    <t>Driver-2</t>
  </si>
  <si>
    <t>Barber-1</t>
  </si>
  <si>
    <t>EWRC Total Saudi Employees:</t>
  </si>
  <si>
    <t>INDIAN</t>
  </si>
  <si>
    <t>Vacancy - 1</t>
  </si>
  <si>
    <t>HVAC Technician-1</t>
  </si>
  <si>
    <t>FILIPINO</t>
  </si>
  <si>
    <t>PAKISTANI</t>
  </si>
  <si>
    <t>Saudization  :</t>
  </si>
  <si>
    <t>Driver</t>
  </si>
  <si>
    <t>Pakistani</t>
  </si>
  <si>
    <t>Electrical Technician</t>
  </si>
  <si>
    <t>Room Attendant</t>
  </si>
  <si>
    <t>Employee #</t>
  </si>
  <si>
    <t>Given Name / Surname</t>
  </si>
  <si>
    <t>Current 
Status</t>
  </si>
  <si>
    <t>Facility Engineer-1</t>
  </si>
  <si>
    <t>General Administrator-1</t>
  </si>
  <si>
    <t>Help Desk Operator-1</t>
  </si>
  <si>
    <t>Mechanical Technician-1</t>
  </si>
  <si>
    <t>HVAC Technician-2</t>
  </si>
  <si>
    <t>HVAC Technician-3</t>
  </si>
  <si>
    <t>Filipino</t>
  </si>
  <si>
    <t>Janitor-1</t>
  </si>
  <si>
    <t>Asper Contract</t>
  </si>
  <si>
    <t>Position</t>
  </si>
  <si>
    <t>Aramco Id Number</t>
  </si>
  <si>
    <t>On SIte</t>
  </si>
  <si>
    <t>Iqama/National Id</t>
  </si>
  <si>
    <t>Housing Front Office Administrator-2</t>
  </si>
  <si>
    <t>Local Purchaser-2</t>
  </si>
  <si>
    <t>Mechanical Technician-2</t>
  </si>
  <si>
    <t>On site</t>
  </si>
  <si>
    <t>HVAC Technician-4</t>
  </si>
  <si>
    <t>Fire Alarm / CCTV  Technicians-2</t>
  </si>
  <si>
    <t>Life Guard-1</t>
  </si>
  <si>
    <t>Team Leader-2</t>
  </si>
  <si>
    <t>Team Leader-3</t>
  </si>
  <si>
    <t>Room Attendant-8</t>
  </si>
  <si>
    <t>Room Attendant-9</t>
  </si>
  <si>
    <t>Room Attendant-10</t>
  </si>
  <si>
    <t>Room Attendant-11</t>
  </si>
  <si>
    <t>Room Attendant-12</t>
  </si>
  <si>
    <t>Room Attendant-13</t>
  </si>
  <si>
    <t>BANGLADESH</t>
  </si>
  <si>
    <t>IND'L PLANET</t>
  </si>
  <si>
    <t>Janitor-7</t>
  </si>
  <si>
    <t>Janitor-8</t>
  </si>
  <si>
    <t>Janitor-9</t>
  </si>
  <si>
    <t>Janitor-10</t>
  </si>
  <si>
    <t>RO Plant Operator-1</t>
  </si>
  <si>
    <t>RO Plant Operator-2</t>
  </si>
  <si>
    <t>RO Plant Operator-3</t>
  </si>
  <si>
    <t>STP Operator-2</t>
  </si>
  <si>
    <t>Gardener-3</t>
  </si>
  <si>
    <t>Gardener-4</t>
  </si>
  <si>
    <t>Gardener-5</t>
  </si>
  <si>
    <t>Janitor-11</t>
  </si>
  <si>
    <t>Plumber-2</t>
  </si>
  <si>
    <t>HML</t>
  </si>
  <si>
    <t>Electrical Technician-3</t>
  </si>
  <si>
    <t>Fire Alarm / CCTV  Technicians-3</t>
  </si>
  <si>
    <t>Handyman-3</t>
  </si>
  <si>
    <t>Fitness Instructor-2</t>
  </si>
  <si>
    <t>Driver-3</t>
  </si>
  <si>
    <t>Driver-4</t>
  </si>
  <si>
    <r>
      <t xml:space="preserve">EWRC Manpower - Overall Consolidated Sheet - </t>
    </r>
    <r>
      <rPr>
        <b/>
        <sz val="14"/>
        <color rgb="FFFF0000"/>
        <rFont val="Arial"/>
        <family val="2"/>
      </rPr>
      <t>PS10</t>
    </r>
  </si>
  <si>
    <t>Facility Inspector - 1</t>
  </si>
  <si>
    <t>Faris Al Otaibi</t>
  </si>
  <si>
    <t>Facility Inspector - 2</t>
  </si>
  <si>
    <t>Aziz Al Mutairi</t>
  </si>
  <si>
    <t>Nurse - 1</t>
  </si>
  <si>
    <t>Glenn Filio Eclarinal</t>
  </si>
  <si>
    <t>Suryakant Basutkar</t>
  </si>
  <si>
    <t>CMMS Administrator - 1</t>
  </si>
  <si>
    <t>Karthick Somaiah</t>
  </si>
  <si>
    <t>Rasheed Shahulhameed</t>
  </si>
  <si>
    <t>Sayer Ali M Almutairi</t>
  </si>
  <si>
    <t>Sagaya Anten Kumar</t>
  </si>
  <si>
    <t>Sathiyamoorthi Parthasarathi</t>
  </si>
  <si>
    <t>Fredie Villapando Cuevo</t>
  </si>
  <si>
    <t>Electrical Technician-4</t>
  </si>
  <si>
    <t>Nick Nadera Cantillo</t>
  </si>
  <si>
    <t>CHANDAN BEHERA</t>
  </si>
  <si>
    <t>Natarajan Mani</t>
  </si>
  <si>
    <t xml:space="preserve">GOWTHAMAN CHINNAMUTHU KARUPPAN  </t>
  </si>
  <si>
    <t>Sanju Gopinathan Pillai</t>
  </si>
  <si>
    <t>Shamsudheen Ayanikkal House</t>
  </si>
  <si>
    <t>Saleh Ghazi Almutairi</t>
  </si>
  <si>
    <t>Venkatesan Chinnappan</t>
  </si>
  <si>
    <t>Saravanan Muthukrishnan</t>
  </si>
  <si>
    <t>Mohammad Imtiaz Ali</t>
  </si>
  <si>
    <t>Edwin Fernandes</t>
  </si>
  <si>
    <t>Robin Gaur</t>
  </si>
  <si>
    <t>Prakash Sunar</t>
  </si>
  <si>
    <t>BASIL PINTO</t>
  </si>
  <si>
    <t>HARISH VEERAPPA MORBAD</t>
  </si>
  <si>
    <t>MOHAMMED JAHIL NAINA MOHAMED</t>
  </si>
  <si>
    <t>Hum Narayan Poudel</t>
  </si>
  <si>
    <t>Shalik Ram Acharya</t>
  </si>
  <si>
    <t xml:space="preserve">Mahmadakeeb Mahmadgous Shiggvavi </t>
  </si>
  <si>
    <t>INDIKA HEMANTHA PUSSEPITIYA</t>
  </si>
  <si>
    <t>Tek Nath Dhakal</t>
  </si>
  <si>
    <t>SERAJ ANSARI</t>
  </si>
  <si>
    <t>BAL KISUN DHOBI</t>
  </si>
  <si>
    <t>Janitor-12</t>
  </si>
  <si>
    <t>RATHEES ALAGAIAH</t>
  </si>
  <si>
    <t>Janitor-13</t>
  </si>
  <si>
    <t>ASWAR KAMALDEEN MOHAMED</t>
  </si>
  <si>
    <t>Nawaf Sulayman Almutayri</t>
  </si>
  <si>
    <t>AHMED ALI JOMARDIN KHAN</t>
  </si>
  <si>
    <t>Commissary Clerk-1</t>
  </si>
  <si>
    <t>Azeem AbdulKhader</t>
  </si>
  <si>
    <t>KISHORE BALASUBRAMANIAN</t>
  </si>
  <si>
    <t>SARAVANA KUMAR SUBRAMANIYAN</t>
  </si>
  <si>
    <t>ABDULASIQ SAHUL HAMEED</t>
  </si>
  <si>
    <t>MOHAMMED AYUB</t>
  </si>
  <si>
    <t>SAIJU BALAN</t>
  </si>
  <si>
    <t>PRABHU DEVAN MADASAMY</t>
  </si>
  <si>
    <t>Abdel Jaloud S. Jammang</t>
  </si>
  <si>
    <t>SHARMA MANOHARAN</t>
  </si>
  <si>
    <t>SELVASENTHILKUMAR SELVARAJ</t>
  </si>
  <si>
    <t>SENTHIL KUMAR RAJAMANICKAM</t>
  </si>
  <si>
    <t>TEODORO N.  ILAO</t>
  </si>
  <si>
    <t>LOKESHA KUPPUSWAMY RAGHAVENDRA</t>
  </si>
  <si>
    <t>MICHAEL C. ORDOŇEZ</t>
  </si>
  <si>
    <t xml:space="preserve">MOHAMED SIRAJ MOHAMED SABITH </t>
  </si>
  <si>
    <t>UPENDRA PRASAD URAW</t>
  </si>
  <si>
    <t>UMA SHANKAR YADAV</t>
  </si>
  <si>
    <t>MOHAMMAD AL AMIN</t>
  </si>
  <si>
    <t>Manish Lohar</t>
  </si>
  <si>
    <t>Surjay Paudel</t>
  </si>
  <si>
    <t>SARAVANAN NADARAJA</t>
  </si>
  <si>
    <t>MUNNA RAUT KHULWAT</t>
  </si>
  <si>
    <t>BIKRAM RAWAL</t>
  </si>
  <si>
    <t>Dilli Sharma</t>
  </si>
  <si>
    <t>MD RAHIS</t>
  </si>
  <si>
    <t>MUHAMMAD YASIN MIYA</t>
  </si>
  <si>
    <t>NARENDRA KUMAR YADAV</t>
  </si>
  <si>
    <t>Salesh Nau</t>
  </si>
  <si>
    <t>FAZAL GHANI DAIRA WADAN</t>
  </si>
  <si>
    <t>Plumber</t>
  </si>
  <si>
    <t>Gardener</t>
  </si>
  <si>
    <t>Sayed Ikram Hussain</t>
  </si>
  <si>
    <t>AHAMED BASIR HAYATHUL ARIF</t>
  </si>
  <si>
    <t>Tek Bahadur Basnet</t>
  </si>
  <si>
    <t>RAMCHANDRA TIMALSINA</t>
  </si>
  <si>
    <t>General Administrator - 2</t>
  </si>
  <si>
    <t>Handyman</t>
  </si>
  <si>
    <t>Barber-2</t>
  </si>
  <si>
    <t>BADER DAKHILALLAH AL MUTAIRI</t>
  </si>
  <si>
    <t>SELVAM MARIAPPAN</t>
  </si>
  <si>
    <t>SONU DHOBI</t>
  </si>
  <si>
    <t>DIWASH PANDEY</t>
  </si>
  <si>
    <t>Housekeeping Supervisor-2</t>
  </si>
  <si>
    <t>Mechanical Technician-3</t>
  </si>
  <si>
    <t>Janitor-14</t>
  </si>
  <si>
    <t>Janitor-15</t>
  </si>
  <si>
    <t>Gardener -1 / FOREMAN LANDSCAPING - 1</t>
  </si>
  <si>
    <t>ACGC Camp Services</t>
  </si>
  <si>
    <t>Srinivasarao Penumaka</t>
  </si>
  <si>
    <t>Joeffery C. Pallorina</t>
  </si>
  <si>
    <t xml:space="preserve">Iqama/National ID </t>
  </si>
  <si>
    <t xml:space="preserve">Aramco ID </t>
  </si>
  <si>
    <t>Richard Mc Macatangay</t>
  </si>
  <si>
    <t>Jared Borlaza Nodalo</t>
  </si>
  <si>
    <t xml:space="preserve">Muezzin </t>
  </si>
  <si>
    <t>Work Location</t>
  </si>
  <si>
    <t>RC</t>
  </si>
  <si>
    <t>PS</t>
  </si>
  <si>
    <t>Krishnamoorthi Paramasivam</t>
  </si>
  <si>
    <t>Electrical Technician-6/ Solar Technician</t>
  </si>
  <si>
    <t>Imam -  1</t>
  </si>
  <si>
    <t>MOHAMMAD ABBAS  GULAM NABI</t>
  </si>
  <si>
    <t>HASINDU THATHSARA RADAMPALA GAMAGE</t>
  </si>
  <si>
    <t>Janitor - 1</t>
  </si>
  <si>
    <t>Janitor - 2</t>
  </si>
  <si>
    <t>Pankaj Limbu</t>
  </si>
  <si>
    <t>DON MOHAN LAL</t>
  </si>
  <si>
    <t>Room Attendant-14</t>
  </si>
  <si>
    <t>Gas Attendant</t>
  </si>
  <si>
    <t>Hidayath Ullah Khan</t>
  </si>
  <si>
    <t>Vacancy - 2</t>
  </si>
  <si>
    <t>Meshari Aloufi</t>
  </si>
  <si>
    <t xml:space="preserve">Work Permit receiver </t>
  </si>
  <si>
    <t>Rami Alsubhi</t>
  </si>
  <si>
    <t>Abdullah Faisal Al Jabri</t>
  </si>
  <si>
    <t>Joenar Q. Pangantihon</t>
  </si>
  <si>
    <t>Dilip Kumar Bobbyvilasam Dennis</t>
  </si>
  <si>
    <t>Santiago Carangyagan Jr.</t>
  </si>
  <si>
    <t xml:space="preserve">MUHAMMAD IMTIAZ </t>
  </si>
  <si>
    <t>NAWAZ ALAM</t>
  </si>
  <si>
    <t>NEPALI</t>
  </si>
  <si>
    <t>JALAL S.AL- JALAL CONT EST</t>
  </si>
  <si>
    <t>Janitor-16</t>
  </si>
  <si>
    <t xml:space="preserve">TIKARAM  PEMI  MAGAR </t>
  </si>
  <si>
    <t>Janitor-17</t>
  </si>
  <si>
    <t>SRI LANKAN</t>
  </si>
  <si>
    <t xml:space="preserve">Dammika Shamal Piyasena Ukkuralage Punchiralage </t>
  </si>
  <si>
    <t>Omkar Dhanushdhari Yadav</t>
  </si>
  <si>
    <t>Janitor-22</t>
  </si>
  <si>
    <t>Peer Mohideen Mohamed Mohideen</t>
  </si>
  <si>
    <t>Ranasinghe Ilandari Deva</t>
  </si>
  <si>
    <t>Janitor-18</t>
  </si>
  <si>
    <t>Janitor-19</t>
  </si>
  <si>
    <t>Janitor-20</t>
  </si>
  <si>
    <t>Janitor-21</t>
  </si>
  <si>
    <t xml:space="preserve">Electrical  Supervisor - 1  </t>
  </si>
  <si>
    <t xml:space="preserve">Mechanical / HVAC / Civil Supervisor - 1 </t>
  </si>
  <si>
    <t xml:space="preserve">Electrical  &amp; C3 Supervisor - 1 </t>
  </si>
  <si>
    <t>To Be Released after Non objection letter from ARAMCO</t>
  </si>
  <si>
    <t>Chaminda Pushpa K S S Mudiyanselage</t>
  </si>
  <si>
    <t>Life Guard-2</t>
  </si>
  <si>
    <t>Vacancy:</t>
  </si>
  <si>
    <r>
      <t xml:space="preserve">EAST WEST PIPELINE RESIDENTIAL COMPOUND - </t>
    </r>
    <r>
      <rPr>
        <b/>
        <sz val="22"/>
        <color rgb="FFFF0000"/>
        <rFont val="Arial"/>
        <family val="2"/>
      </rPr>
      <t>EWPS10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</si>
  <si>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</si>
  <si>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</si>
  <si>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Abdullah Aljabri</t>
    </r>
  </si>
  <si>
    <t>General Adminstration</t>
  </si>
  <si>
    <t>HSE DEPT.</t>
  </si>
  <si>
    <t>House Keeping &amp; Recreational Services</t>
  </si>
  <si>
    <t>Warehouse Administrator</t>
  </si>
  <si>
    <r>
      <t xml:space="preserve">Facility Engineer
</t>
    </r>
    <r>
      <rPr>
        <sz val="14"/>
        <color rgb="FFFF0000"/>
        <rFont val="Arial"/>
        <family val="2"/>
      </rPr>
      <t>Dilip Kumar</t>
    </r>
  </si>
  <si>
    <r>
      <t xml:space="preserve">Site Administrator
</t>
    </r>
    <r>
      <rPr>
        <sz val="14"/>
        <color rgb="FFFF0000"/>
        <rFont val="Arial"/>
        <family val="2"/>
      </rPr>
      <t>Richard / Azeem</t>
    </r>
  </si>
  <si>
    <r>
      <t xml:space="preserve">Safety Officer
</t>
    </r>
    <r>
      <rPr>
        <sz val="14"/>
        <color rgb="FFFF0000"/>
        <rFont val="Arial"/>
        <family val="2"/>
      </rPr>
      <t>Meshari Aloufi</t>
    </r>
  </si>
  <si>
    <r>
      <rPr>
        <sz val="14"/>
        <rFont val="Arial"/>
        <family val="2"/>
      </rPr>
      <t>Nusre</t>
    </r>
    <r>
      <rPr>
        <sz val="14"/>
        <color rgb="FFFF0000"/>
        <rFont val="Arial"/>
        <family val="2"/>
      </rPr>
      <t xml:space="preserve">
Glenn Filio Eclarinal</t>
    </r>
  </si>
  <si>
    <t>Imam / Muezzin</t>
  </si>
  <si>
    <r>
      <t xml:space="preserve">CMMS / Help Desk
</t>
    </r>
    <r>
      <rPr>
        <sz val="14"/>
        <color rgb="FFFF0000"/>
        <rFont val="Arial"/>
        <family val="2"/>
      </rPr>
      <t>Krishna / Pankaj</t>
    </r>
  </si>
  <si>
    <t>Room Services</t>
  </si>
  <si>
    <t>General Services</t>
  </si>
  <si>
    <t>Recrational Services</t>
  </si>
  <si>
    <t>Front Office &amp; Reception</t>
  </si>
  <si>
    <t>MEP</t>
  </si>
  <si>
    <t>Team leader</t>
  </si>
  <si>
    <t>Fitness Instructor</t>
  </si>
  <si>
    <r>
      <t xml:space="preserve">Housi. Front Office Admin.
</t>
    </r>
    <r>
      <rPr>
        <sz val="12"/>
        <color rgb="FFFF0000"/>
        <rFont val="Arial"/>
        <family val="2"/>
      </rPr>
      <t>Suryakant /Bader</t>
    </r>
  </si>
  <si>
    <t>Janirors - General</t>
  </si>
  <si>
    <t>Life guards</t>
  </si>
  <si>
    <t>MECHNAICAL &amp; HVAC</t>
  </si>
  <si>
    <t>ELECTRICAL &amp; C3</t>
  </si>
  <si>
    <t>Commissary Clerk</t>
  </si>
  <si>
    <r>
      <t xml:space="preserve">Mechanical Supervisor
</t>
    </r>
    <r>
      <rPr>
        <sz val="14"/>
        <color rgb="FFFF0000"/>
        <rFont val="Arial"/>
        <family val="2"/>
      </rPr>
      <t>Nodalo Jared B</t>
    </r>
  </si>
  <si>
    <r>
      <t xml:space="preserve">Electrical Supervisor
</t>
    </r>
    <r>
      <rPr>
        <sz val="14"/>
        <color rgb="FFFF0000"/>
        <rFont val="Arial"/>
        <family val="2"/>
      </rPr>
      <t>Kishore / Santiago</t>
    </r>
  </si>
  <si>
    <r>
      <t xml:space="preserve">Pest Control
</t>
    </r>
    <r>
      <rPr>
        <sz val="14"/>
        <color rgb="FFFF0000"/>
        <rFont val="Arial"/>
        <family val="2"/>
      </rPr>
      <t>Rentokil</t>
    </r>
  </si>
  <si>
    <t>Barbers</t>
  </si>
  <si>
    <t>Mechanical Technicians</t>
  </si>
  <si>
    <r>
      <t xml:space="preserve">Garbage / Sewage mgmt
</t>
    </r>
    <r>
      <rPr>
        <sz val="14"/>
        <color rgb="FFFF0000"/>
        <rFont val="Arial"/>
        <family val="2"/>
      </rPr>
      <t>Al Dar</t>
    </r>
  </si>
  <si>
    <t xml:space="preserve">Solar Technician </t>
  </si>
  <si>
    <t>STP Operator</t>
  </si>
  <si>
    <t>Fire Alarm / CCTV Tech.</t>
  </si>
  <si>
    <t>Salon Services</t>
  </si>
  <si>
    <t>RO Plant Operator</t>
  </si>
  <si>
    <t>Security 
Management</t>
  </si>
  <si>
    <t>HVAC Technicians</t>
  </si>
  <si>
    <t>Nesma</t>
  </si>
  <si>
    <t>Catering
Laundry / Telecom</t>
  </si>
  <si>
    <t>Qudrat</t>
  </si>
  <si>
    <t>AS PER CONTRACT</t>
  </si>
  <si>
    <t>Prepared by:</t>
  </si>
  <si>
    <t>Reviewed by:</t>
  </si>
  <si>
    <t>Approved by:</t>
  </si>
  <si>
    <t>Manzoor. M Maheen</t>
  </si>
  <si>
    <t>Yossif M. Al Harbi</t>
  </si>
  <si>
    <t>CODE</t>
  </si>
  <si>
    <t>REVISION - 12</t>
  </si>
  <si>
    <t>General Administrator</t>
  </si>
  <si>
    <t>PRAKASH KUMAR MULLU</t>
  </si>
  <si>
    <t>Aramco Clerk</t>
  </si>
  <si>
    <t>General Services Broker-1</t>
  </si>
  <si>
    <t>Abdullah Burki Al mutairi</t>
  </si>
  <si>
    <t>Released Personnel</t>
  </si>
  <si>
    <t>Janitor / Helper</t>
  </si>
  <si>
    <t xml:space="preserve">MD RUMON ISLAM </t>
  </si>
  <si>
    <t>Bangladesh</t>
  </si>
  <si>
    <t>Transfer to PS03 - 24 Nov 25</t>
  </si>
  <si>
    <t>MD FAHIM ISLAM</t>
  </si>
  <si>
    <t xml:space="preserve">MD ASAD MOLLIK </t>
  </si>
  <si>
    <t>MD ARSHED ALI</t>
  </si>
  <si>
    <t>MD RAIHAN SARDAR</t>
  </si>
  <si>
    <t>Mason</t>
  </si>
  <si>
    <t>HASAN ALI KHAN</t>
  </si>
  <si>
    <t>HME</t>
  </si>
  <si>
    <t>Tejman Bishowkarma</t>
  </si>
  <si>
    <t>Nepal</t>
  </si>
  <si>
    <t>JALAL S. AL JALAL CONT EST</t>
  </si>
  <si>
    <t>Carpenter</t>
  </si>
  <si>
    <t>Mohammad Shamshed Alam</t>
  </si>
  <si>
    <t>East Eagle</t>
  </si>
  <si>
    <t>Painter</t>
  </si>
  <si>
    <t>Asad Ali Ghulam Qadir</t>
  </si>
  <si>
    <t>Abdul Razzq Abdul Ghafoor</t>
  </si>
  <si>
    <t xml:space="preserve">Generator Technician / Mechanical Technician - 3 </t>
  </si>
  <si>
    <t>PRAKASH KANNAN</t>
  </si>
  <si>
    <t>Permanent Transfer to PS03 - 30 Nov 25</t>
  </si>
  <si>
    <t>MD HOSSAN ALI</t>
  </si>
  <si>
    <t>Released 14 Dec 25</t>
  </si>
  <si>
    <t>MD SOHAG MONDOL</t>
  </si>
  <si>
    <t>MD SHIRAJUL ISLAM</t>
  </si>
  <si>
    <t xml:space="preserve">MD MARUF HOSSEN </t>
  </si>
  <si>
    <t>Tile Setter</t>
  </si>
  <si>
    <t>Muhammad Zaigham Abbas</t>
  </si>
  <si>
    <t>Rashid Ali Inayatullah</t>
  </si>
  <si>
    <t xml:space="preserve">Electrical Technician-5 </t>
  </si>
  <si>
    <t>Rinoj Varghese</t>
  </si>
  <si>
    <t>Exit 26 Dec 2025</t>
  </si>
  <si>
    <t xml:space="preserve">MD RIPON SHEAKH </t>
  </si>
  <si>
    <t>Released 10 jan 2026</t>
  </si>
  <si>
    <t>Abu Bakar Muhammad Anwar</t>
  </si>
  <si>
    <t>Driver-5</t>
  </si>
  <si>
    <t>WAQAR IKHLAQ IKHLAQ HUSSAIN</t>
  </si>
  <si>
    <t>Released 20 jan 2026</t>
  </si>
  <si>
    <t>VIJAYAKUMAR VELUSAMY</t>
  </si>
  <si>
    <t>Vacation - Not Return</t>
  </si>
  <si>
    <t>Sajeem Basheer Hussain</t>
  </si>
  <si>
    <t>LWD 15 Mar 26</t>
  </si>
  <si>
    <t>Tea Boy - 8 / Janitor - FSF</t>
  </si>
  <si>
    <t>Latif Kalaigar</t>
  </si>
  <si>
    <t>Resigned LWD Feb 09, 2026</t>
  </si>
  <si>
    <t>Tea Boy - 7 / Janitor - Admin Office - Pump Station</t>
  </si>
  <si>
    <t xml:space="preserve">Mohamed ikram mohamed kamil </t>
  </si>
  <si>
    <t>Non Contract Renewal LWD 05 Mar 26</t>
  </si>
  <si>
    <t>Rajesh Sasi</t>
  </si>
  <si>
    <t>AMIT KUMAR YADAV</t>
  </si>
  <si>
    <t>Transfer to PS03 - 02 Mar 2026</t>
  </si>
  <si>
    <t>Tea Boy-5/ Janitor - Fire Station Office - Pump Station</t>
  </si>
  <si>
    <t>Mohan Prasad Chaulagain</t>
  </si>
  <si>
    <t>Non Contract Renewal LWD 02 Apr 26</t>
  </si>
  <si>
    <t>Amrit Biswakarma</t>
  </si>
  <si>
    <t>Transfer to PS03 21 Apr 2026</t>
  </si>
  <si>
    <t>Facility Engineer - 1</t>
  </si>
  <si>
    <t>Nagarajan Kasi</t>
  </si>
  <si>
    <t>Final Exit - 01 June 2026</t>
  </si>
  <si>
    <t>Safety Officer-2</t>
  </si>
  <si>
    <t>Liaqat Saeed</t>
  </si>
  <si>
    <t>Ascent Future</t>
  </si>
  <si>
    <t>Release 07 May 2026</t>
  </si>
  <si>
    <t>Housing Front Office Administrator-3</t>
  </si>
  <si>
    <t>SAUD ASSAD A ALFAIFI</t>
  </si>
  <si>
    <t>Transfer to Ps03 01 June 2026</t>
  </si>
  <si>
    <t>SUSHIL KUMAR BISWAL</t>
  </si>
  <si>
    <t>Not Return from Vacation</t>
  </si>
  <si>
    <t>MATHEW STELLUS</t>
  </si>
  <si>
    <t>Release 16 May 2026</t>
  </si>
  <si>
    <t>Subramani Kumar</t>
  </si>
  <si>
    <t>Exit 07 June 2026</t>
  </si>
  <si>
    <t>Released On Site 07 June 2026</t>
  </si>
  <si>
    <t>Md Mahafuzur Rahman</t>
  </si>
  <si>
    <t>Released On Site18 June 2026</t>
  </si>
  <si>
    <t>Life Guard - 1</t>
  </si>
  <si>
    <t>MUHAMMAD HASAB KHAN MUHAMMAD IKRAM</t>
  </si>
  <si>
    <t>Abdulaziz Hamdan M Al Mutairi</t>
  </si>
  <si>
    <r>
      <t xml:space="preserve">Purchaser
</t>
    </r>
    <r>
      <rPr>
        <sz val="14"/>
        <color rgb="FFFF0000"/>
        <rFont val="Arial"/>
        <family val="2"/>
      </rPr>
      <t>Abdulaziz  /Jeoffrey</t>
    </r>
  </si>
  <si>
    <t>Electrical Technician-5/ Solar Technician</t>
  </si>
  <si>
    <t>Emad Selmi Al-Nakhli</t>
  </si>
  <si>
    <t>Arrive in Site 01 July 2026</t>
  </si>
  <si>
    <t>KATHIRAVAN PALANI</t>
  </si>
  <si>
    <t>Arrive in Site 27 June 2026</t>
  </si>
  <si>
    <t>Maithum Abdullah Al-Shamlan</t>
  </si>
  <si>
    <t>Arrive in Site 05 July 2026</t>
  </si>
  <si>
    <t>Mechanical Technician</t>
  </si>
  <si>
    <t>Passport Expiry</t>
  </si>
  <si>
    <t>Passport Issue</t>
  </si>
  <si>
    <t>Birthday</t>
  </si>
  <si>
    <t xml:space="preserve">MUHAMMADHU NISTHY NISAHIR </t>
  </si>
  <si>
    <t>SAMIRA ASANKA KOSWATHTHA KOSWATTHE RALALAGE</t>
  </si>
  <si>
    <t>Arrive in Site 07 July 2026</t>
  </si>
  <si>
    <t>Warehouse Administrator-2</t>
  </si>
  <si>
    <t>Sahul Hameed Bathusha Hayathul Arif</t>
  </si>
  <si>
    <t>Transfer to MRU Taif site 25 July 2026</t>
  </si>
  <si>
    <t>Transfer to PS10 (From PS1) 09 July 2026</t>
  </si>
  <si>
    <t>SA</t>
  </si>
  <si>
    <t>IN</t>
  </si>
  <si>
    <t>PH</t>
  </si>
  <si>
    <t>NP</t>
  </si>
  <si>
    <t>PK</t>
  </si>
  <si>
    <t>LK</t>
  </si>
  <si>
    <t>BD</t>
  </si>
  <si>
    <t>Date: 30/07/2026</t>
  </si>
  <si>
    <r>
      <t xml:space="preserve">Warehouse Administrator
</t>
    </r>
    <r>
      <rPr>
        <sz val="14"/>
        <color rgb="FFFF0000"/>
        <rFont val="Arial"/>
        <family val="2"/>
      </rPr>
      <t xml:space="preserve">Sahul </t>
    </r>
  </si>
  <si>
    <r>
      <t xml:space="preserve">Supervisor
</t>
    </r>
    <r>
      <rPr>
        <sz val="12"/>
        <color rgb="FFFF0000"/>
        <rFont val="Arial"/>
        <family val="2"/>
      </rPr>
      <t>Gowthaman / Kartiravan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</si>
</sst>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d\-mmm\-yy;@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rgb="FF000000"/>
      <name val="Calibri"/>
      <family val="2"/>
    </font>
    <font>
      <sz val="12"/>
      <color indexed="8"/>
      <name val="Calibri"/>
      <family val="2"/>
    </font>
    <font>
      <b/>
      <sz val="12"/>
      <color rgb="FF00B050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sz val="12"/>
      <color theme="0"/>
      <name val="Calibri"/>
      <family val="2"/>
    </font>
    <font>
      <sz val="12"/>
      <color theme="0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  <scheme val="minor"/>
    </font>
    <font>
      <sz val="12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1"/>
      <color theme="9" tint="-0.249977111117893"/>
      <name val="Arial"/>
      <family val="2"/>
    </font>
    <font>
      <b/>
      <sz val="12"/>
      <color theme="9" tint="-0.249977111117893"/>
      <name val="Arial"/>
      <family val="2"/>
    </font>
    <font>
      <b/>
      <sz val="12"/>
      <color theme="0"/>
      <name val="Calibri"/>
      <family val="2"/>
    </font>
    <font>
      <b/>
      <sz val="12"/>
      <color rgb="FFC00000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00B050"/>
      <name val="Arial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  <scheme val="minor"/>
    </font>
    <font>
      <sz val="14"/>
      <color indexed="8"/>
      <name val="Calibri"/>
      <family val="2"/>
    </font>
    <font>
      <b/>
      <sz val="18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4"/>
      <color rgb="FFFF0000"/>
      <name val="Arial"/>
      <family val="2"/>
    </font>
    <font>
      <sz val="14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auto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14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9" fillId="0" borderId="8" xfId="0" applyFont="1" applyFill="1" applyBorder="1" applyAlignment="1">
      <alignment horizontal="left" vertical="center"/>
    </xf>
    <xf numFmtId="0" fontId="2" fillId="0" borderId="0" xfId="0" applyFont="1" applyFill="1"/>
    <xf numFmtId="14" fontId="12" fillId="0" borderId="8" xfId="0" applyNumberFormat="1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left" vertical="center"/>
    </xf>
    <xf numFmtId="0" fontId="8" fillId="0" borderId="8" xfId="0" applyFont="1" applyFill="1" applyBorder="1" applyAlignment="1">
      <alignment horizontal="center" vertical="center"/>
    </xf>
    <xf numFmtId="0" fontId="3" fillId="0" borderId="0" xfId="0" applyFont="1" applyFill="1"/>
    <xf numFmtId="0" fontId="11" fillId="0" borderId="8" xfId="0" applyFont="1" applyFill="1" applyBorder="1" applyAlignment="1">
      <alignment horizontal="left" vertical="center"/>
    </xf>
    <xf numFmtId="0" fontId="8" fillId="0" borderId="9" xfId="1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center"/>
    </xf>
    <xf numFmtId="0" fontId="9" fillId="0" borderId="8" xfId="0" quotePrefix="1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8" fillId="0" borderId="8" xfId="1" applyFont="1" applyFill="1" applyBorder="1" applyAlignment="1">
      <alignment horizontal="left" vertical="center"/>
    </xf>
    <xf numFmtId="0" fontId="8" fillId="0" borderId="8" xfId="1" applyFont="1" applyFill="1" applyBorder="1" applyAlignment="1">
      <alignment horizontal="center" vertical="center"/>
    </xf>
    <xf numFmtId="0" fontId="9" fillId="0" borderId="8" xfId="0" applyFont="1" applyFill="1" applyBorder="1" applyAlignment="1">
      <alignment vertical="center"/>
    </xf>
    <xf numFmtId="0" fontId="12" fillId="0" borderId="8" xfId="1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left" vertical="center"/>
    </xf>
    <xf numFmtId="15" fontId="27" fillId="0" borderId="9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vertical="center"/>
    </xf>
    <xf numFmtId="0" fontId="24" fillId="0" borderId="9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25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left" vertical="center"/>
    </xf>
    <xf numFmtId="0" fontId="20" fillId="0" borderId="20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3" borderId="8" xfId="0" applyFont="1" applyFill="1" applyBorder="1" applyAlignment="1">
      <alignment horizontal="left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1" fillId="5" borderId="31" xfId="0" applyFont="1" applyFill="1" applyBorder="1" applyAlignment="1">
      <alignment horizontal="right" vertical="center"/>
    </xf>
    <xf numFmtId="0" fontId="26" fillId="5" borderId="14" xfId="0" applyFont="1" applyFill="1" applyBorder="1" applyAlignment="1">
      <alignment horizontal="right" vertical="center"/>
    </xf>
    <xf numFmtId="0" fontId="9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left" vertical="center"/>
    </xf>
    <xf numFmtId="0" fontId="8" fillId="6" borderId="8" xfId="1" applyFont="1" applyFill="1" applyBorder="1" applyAlignment="1">
      <alignment horizontal="left" vertical="center"/>
    </xf>
    <xf numFmtId="0" fontId="13" fillId="6" borderId="9" xfId="0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 vertical="center"/>
    </xf>
    <xf numFmtId="0" fontId="27" fillId="0" borderId="8" xfId="0" applyFont="1" applyFill="1" applyBorder="1" applyAlignment="1">
      <alignment horizontal="left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/>
    </xf>
    <xf numFmtId="0" fontId="11" fillId="3" borderId="8" xfId="0" applyFont="1" applyFill="1" applyBorder="1" applyAlignment="1">
      <alignment vertical="center" wrapText="1"/>
    </xf>
    <xf numFmtId="0" fontId="18" fillId="3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 wrapText="1"/>
    </xf>
    <xf numFmtId="0" fontId="11" fillId="0" borderId="8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vertical="center" wrapText="1"/>
    </xf>
    <xf numFmtId="0" fontId="18" fillId="0" borderId="8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center"/>
    </xf>
    <xf numFmtId="0" fontId="3" fillId="0" borderId="8" xfId="0" applyFont="1" applyFill="1" applyBorder="1"/>
    <xf numFmtId="0" fontId="18" fillId="0" borderId="8" xfId="1" applyFont="1" applyFill="1" applyBorder="1" applyAlignment="1">
      <alignment horizontal="left" vertical="center"/>
    </xf>
    <xf numFmtId="0" fontId="12" fillId="0" borderId="8" xfId="1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vertical="center"/>
    </xf>
    <xf numFmtId="0" fontId="22" fillId="5" borderId="32" xfId="0" applyFont="1" applyFill="1" applyBorder="1" applyAlignment="1">
      <alignment horizontal="center"/>
    </xf>
    <xf numFmtId="0" fontId="5" fillId="5" borderId="15" xfId="0" applyFont="1" applyFill="1" applyBorder="1" applyAlignment="1">
      <alignment vertical="center"/>
    </xf>
    <xf numFmtId="0" fontId="2" fillId="0" borderId="8" xfId="0" applyFont="1" applyFill="1" applyBorder="1"/>
    <xf numFmtId="0" fontId="13" fillId="0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left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2" fillId="0" borderId="9" xfId="0" applyFont="1" applyFill="1" applyBorder="1"/>
    <xf numFmtId="0" fontId="12" fillId="0" borderId="9" xfId="1" applyFont="1" applyFill="1" applyBorder="1" applyAlignment="1">
      <alignment horizontal="left" vertical="center"/>
    </xf>
    <xf numFmtId="14" fontId="16" fillId="0" borderId="9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vertical="center" wrapText="1"/>
    </xf>
    <xf numFmtId="0" fontId="15" fillId="4" borderId="8" xfId="0" applyFont="1" applyFill="1" applyBorder="1" applyAlignment="1">
      <alignment vertical="center"/>
    </xf>
    <xf numFmtId="15" fontId="16" fillId="0" borderId="9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14" fontId="16" fillId="3" borderId="8" xfId="0" applyNumberFormat="1" applyFont="1" applyFill="1" applyBorder="1" applyAlignment="1">
      <alignment horizontal="center" vertical="center"/>
    </xf>
    <xf numFmtId="0" fontId="29" fillId="3" borderId="9" xfId="0" applyFont="1" applyFill="1" applyBorder="1"/>
    <xf numFmtId="0" fontId="32" fillId="0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vertical="center" wrapText="1"/>
    </xf>
    <xf numFmtId="0" fontId="12" fillId="3" borderId="9" xfId="0" applyFont="1" applyFill="1" applyBorder="1" applyAlignment="1">
      <alignment horizontal="center" vertical="center"/>
    </xf>
    <xf numFmtId="1" fontId="12" fillId="3" borderId="8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2" fillId="3" borderId="8" xfId="0" applyFont="1" applyFill="1" applyBorder="1"/>
    <xf numFmtId="0" fontId="29" fillId="7" borderId="8" xfId="0" applyFont="1" applyFill="1" applyBorder="1"/>
    <xf numFmtId="0" fontId="2" fillId="7" borderId="8" xfId="0" applyFont="1" applyFill="1" applyBorder="1"/>
    <xf numFmtId="0" fontId="29" fillId="7" borderId="8" xfId="0" applyFont="1" applyFill="1" applyBorder="1" applyAlignment="1">
      <alignment horizontal="center"/>
    </xf>
    <xf numFmtId="0" fontId="15" fillId="4" borderId="9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27" fillId="3" borderId="9" xfId="0" applyFont="1" applyFill="1" applyBorder="1" applyAlignment="1">
      <alignment horizontal="center" vertical="center"/>
    </xf>
    <xf numFmtId="0" fontId="29" fillId="0" borderId="9" xfId="0" applyFont="1" applyFill="1" applyBorder="1"/>
    <xf numFmtId="0" fontId="9" fillId="7" borderId="8" xfId="0" quotePrefix="1" applyFont="1" applyFill="1" applyBorder="1" applyAlignment="1">
      <alignment horizontal="left" vertical="center"/>
    </xf>
    <xf numFmtId="0" fontId="26" fillId="5" borderId="12" xfId="0" applyFont="1" applyFill="1" applyBorder="1" applyAlignment="1">
      <alignment horizontal="right"/>
    </xf>
    <xf numFmtId="0" fontId="5" fillId="5" borderId="12" xfId="0" applyFont="1" applyFill="1" applyBorder="1" applyAlignment="1">
      <alignment horizontal="left"/>
    </xf>
    <xf numFmtId="0" fontId="12" fillId="0" borderId="4" xfId="0" applyFont="1" applyFill="1" applyBorder="1" applyAlignment="1">
      <alignment horizontal="center" vertical="center"/>
    </xf>
    <xf numFmtId="0" fontId="34" fillId="0" borderId="0" xfId="0" applyFont="1" applyAlignment="1">
      <alignment vertical="center" wrapText="1"/>
    </xf>
    <xf numFmtId="0" fontId="35" fillId="0" borderId="39" xfId="0" applyFont="1" applyBorder="1" applyAlignment="1">
      <alignment vertical="center" wrapText="1"/>
    </xf>
    <xf numFmtId="0" fontId="35" fillId="0" borderId="40" xfId="0" applyFont="1" applyBorder="1" applyAlignment="1">
      <alignment vertical="center" wrapText="1"/>
    </xf>
    <xf numFmtId="0" fontId="35" fillId="0" borderId="41" xfId="0" applyFont="1" applyBorder="1" applyAlignment="1">
      <alignment vertical="center" wrapText="1"/>
    </xf>
    <xf numFmtId="0" fontId="35" fillId="0" borderId="0" xfId="0" applyFont="1" applyAlignment="1">
      <alignment vertical="center" wrapText="1"/>
    </xf>
    <xf numFmtId="0" fontId="35" fillId="0" borderId="42" xfId="0" applyFont="1" applyBorder="1" applyAlignment="1">
      <alignment vertical="center" wrapText="1"/>
    </xf>
    <xf numFmtId="0" fontId="35" fillId="0" borderId="30" xfId="0" applyFont="1" applyBorder="1" applyAlignment="1">
      <alignment vertical="center" wrapText="1"/>
    </xf>
    <xf numFmtId="0" fontId="35" fillId="0" borderId="43" xfId="0" applyFont="1" applyBorder="1" applyAlignment="1">
      <alignment vertical="center" wrapText="1"/>
    </xf>
    <xf numFmtId="0" fontId="35" fillId="0" borderId="29" xfId="0" applyFont="1" applyBorder="1" applyAlignment="1">
      <alignment vertical="center" wrapText="1"/>
    </xf>
    <xf numFmtId="0" fontId="35" fillId="0" borderId="44" xfId="0" applyFont="1" applyBorder="1" applyAlignment="1">
      <alignment vertical="center" wrapText="1"/>
    </xf>
    <xf numFmtId="0" fontId="35" fillId="0" borderId="35" xfId="0" applyFont="1" applyBorder="1" applyAlignment="1">
      <alignment vertical="center" wrapText="1"/>
    </xf>
    <xf numFmtId="0" fontId="35" fillId="0" borderId="48" xfId="0" applyFont="1" applyBorder="1" applyAlignment="1">
      <alignment vertical="center" wrapText="1"/>
    </xf>
    <xf numFmtId="15" fontId="35" fillId="0" borderId="0" xfId="0" applyNumberFormat="1" applyFont="1" applyAlignment="1">
      <alignment vertical="center" wrapText="1"/>
    </xf>
    <xf numFmtId="4" fontId="35" fillId="0" borderId="0" xfId="0" applyNumberFormat="1" applyFont="1" applyAlignment="1">
      <alignment vertical="center" wrapText="1"/>
    </xf>
    <xf numFmtId="0" fontId="34" fillId="0" borderId="42" xfId="0" applyFont="1" applyBorder="1" applyAlignment="1">
      <alignment vertical="center" wrapText="1"/>
    </xf>
    <xf numFmtId="0" fontId="34" fillId="0" borderId="35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top" wrapText="1"/>
    </xf>
    <xf numFmtId="0" fontId="34" fillId="0" borderId="0" xfId="0" applyFont="1" applyBorder="1" applyAlignment="1">
      <alignment vertical="center" wrapText="1"/>
    </xf>
    <xf numFmtId="0" fontId="34" fillId="0" borderId="48" xfId="0" applyFont="1" applyBorder="1" applyAlignment="1">
      <alignment vertical="center" wrapText="1"/>
    </xf>
    <xf numFmtId="0" fontId="34" fillId="0" borderId="44" xfId="0" applyFont="1" applyBorder="1" applyAlignment="1">
      <alignment vertical="center" wrapText="1"/>
    </xf>
    <xf numFmtId="0" fontId="34" fillId="0" borderId="0" xfId="0" applyFont="1" applyFill="1" applyAlignment="1">
      <alignment vertical="center" wrapText="1"/>
    </xf>
    <xf numFmtId="0" fontId="4" fillId="0" borderId="58" xfId="0" applyFont="1" applyBorder="1" applyAlignment="1">
      <alignment horizontal="center" vertical="top" wrapText="1"/>
    </xf>
    <xf numFmtId="0" fontId="34" fillId="0" borderId="58" xfId="0" applyFont="1" applyBorder="1" applyAlignment="1">
      <alignment vertical="center" wrapText="1"/>
    </xf>
    <xf numFmtId="0" fontId="34" fillId="0" borderId="0" xfId="0" applyFont="1" applyFill="1" applyBorder="1" applyAlignment="1">
      <alignment horizontal="center" vertical="center" wrapText="1"/>
    </xf>
    <xf numFmtId="0" fontId="34" fillId="0" borderId="14" xfId="0" applyFont="1" applyBorder="1" applyAlignment="1">
      <alignment vertical="center" wrapText="1"/>
    </xf>
    <xf numFmtId="0" fontId="34" fillId="0" borderId="37" xfId="0" applyFont="1" applyBorder="1" applyAlignment="1">
      <alignment vertical="center" wrapText="1"/>
    </xf>
    <xf numFmtId="0" fontId="34" fillId="0" borderId="22" xfId="0" applyFont="1" applyBorder="1" applyAlignment="1">
      <alignment vertical="center" wrapText="1"/>
    </xf>
    <xf numFmtId="0" fontId="34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top" wrapText="1"/>
    </xf>
    <xf numFmtId="0" fontId="34" fillId="0" borderId="24" xfId="0" applyFont="1" applyBorder="1" applyAlignment="1">
      <alignment vertical="center" wrapText="1"/>
    </xf>
    <xf numFmtId="0" fontId="4" fillId="0" borderId="59" xfId="0" applyFont="1" applyBorder="1" applyAlignment="1">
      <alignment horizontal="center" vertical="top" wrapText="1"/>
    </xf>
    <xf numFmtId="0" fontId="34" fillId="0" borderId="0" xfId="0" applyFont="1" applyFill="1" applyBorder="1" applyAlignment="1">
      <alignment vertical="center" wrapText="1"/>
    </xf>
    <xf numFmtId="0" fontId="34" fillId="0" borderId="60" xfId="0" applyFont="1" applyBorder="1" applyAlignment="1">
      <alignment vertical="center" wrapText="1"/>
    </xf>
    <xf numFmtId="0" fontId="34" fillId="0" borderId="65" xfId="0" applyFont="1" applyBorder="1" applyAlignment="1">
      <alignment vertical="center" wrapText="1"/>
    </xf>
    <xf numFmtId="0" fontId="34" fillId="0" borderId="56" xfId="0" applyFont="1" applyBorder="1" applyAlignment="1">
      <alignment vertical="center" wrapText="1"/>
    </xf>
    <xf numFmtId="0" fontId="34" fillId="0" borderId="68" xfId="0" applyFont="1" applyBorder="1" applyAlignment="1">
      <alignment vertical="center" wrapText="1"/>
    </xf>
    <xf numFmtId="0" fontId="34" fillId="0" borderId="38" xfId="0" applyFont="1" applyBorder="1" applyAlignment="1">
      <alignment vertical="center" wrapText="1"/>
    </xf>
    <xf numFmtId="0" fontId="34" fillId="0" borderId="69" xfId="0" applyFont="1" applyBorder="1" applyAlignment="1">
      <alignment vertical="center" wrapText="1"/>
    </xf>
    <xf numFmtId="0" fontId="34" fillId="0" borderId="49" xfId="0" applyFont="1" applyBorder="1" applyAlignment="1">
      <alignment vertical="center" wrapText="1"/>
    </xf>
    <xf numFmtId="0" fontId="34" fillId="0" borderId="46" xfId="0" applyFont="1" applyBorder="1" applyAlignment="1">
      <alignment vertical="center" wrapText="1"/>
    </xf>
    <xf numFmtId="0" fontId="34" fillId="0" borderId="70" xfId="0" applyFont="1" applyBorder="1" applyAlignment="1">
      <alignment vertical="center" wrapText="1"/>
    </xf>
    <xf numFmtId="0" fontId="34" fillId="0" borderId="43" xfId="0" applyFont="1" applyBorder="1" applyAlignment="1">
      <alignment vertical="center" wrapText="1"/>
    </xf>
    <xf numFmtId="15" fontId="34" fillId="0" borderId="0" xfId="0" applyNumberFormat="1" applyFont="1" applyAlignment="1">
      <alignment vertical="center" wrapText="1"/>
    </xf>
    <xf numFmtId="4" fontId="34" fillId="0" borderId="0" xfId="0" applyNumberFormat="1" applyFont="1" applyAlignment="1">
      <alignment vertical="center" wrapText="1"/>
    </xf>
    <xf numFmtId="0" fontId="39" fillId="0" borderId="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34" fillId="0" borderId="71" xfId="0" applyFont="1" applyBorder="1" applyAlignment="1">
      <alignment vertical="center" wrapText="1"/>
    </xf>
    <xf numFmtId="0" fontId="34" fillId="0" borderId="13" xfId="0" applyFont="1" applyBorder="1" applyAlignment="1">
      <alignment vertical="center" wrapText="1"/>
    </xf>
    <xf numFmtId="0" fontId="34" fillId="0" borderId="72" xfId="0" applyFont="1" applyBorder="1" applyAlignment="1">
      <alignment vertical="center" wrapText="1"/>
    </xf>
    <xf numFmtId="0" fontId="34" fillId="0" borderId="73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4" fillId="0" borderId="74" xfId="0" applyFont="1" applyBorder="1" applyAlignment="1">
      <alignment vertical="center" wrapText="1"/>
    </xf>
    <xf numFmtId="0" fontId="34" fillId="0" borderId="75" xfId="0" applyFont="1" applyBorder="1" applyAlignment="1">
      <alignment vertical="center" wrapText="1"/>
    </xf>
    <xf numFmtId="0" fontId="34" fillId="0" borderId="27" xfId="0" applyFont="1" applyBorder="1" applyAlignment="1">
      <alignment vertical="center" wrapText="1"/>
    </xf>
    <xf numFmtId="0" fontId="34" fillId="0" borderId="36" xfId="0" applyFont="1" applyBorder="1" applyAlignment="1">
      <alignment vertical="center" wrapText="1"/>
    </xf>
    <xf numFmtId="0" fontId="34" fillId="0" borderId="76" xfId="0" applyFont="1" applyBorder="1" applyAlignment="1">
      <alignment vertical="center" wrapText="1"/>
    </xf>
    <xf numFmtId="0" fontId="34" fillId="0" borderId="28" xfId="0" applyFont="1" applyBorder="1" applyAlignment="1">
      <alignment vertical="center" wrapText="1"/>
    </xf>
    <xf numFmtId="0" fontId="34" fillId="0" borderId="11" xfId="0" applyFont="1" applyBorder="1" applyAlignment="1">
      <alignment vertical="center" wrapText="1"/>
    </xf>
    <xf numFmtId="0" fontId="34" fillId="0" borderId="85" xfId="0" applyFont="1" applyBorder="1" applyAlignment="1">
      <alignment vertical="center" wrapText="1"/>
    </xf>
    <xf numFmtId="0" fontId="34" fillId="0" borderId="86" xfId="0" applyFont="1" applyBorder="1" applyAlignment="1">
      <alignment vertical="center" wrapText="1"/>
    </xf>
    <xf numFmtId="0" fontId="34" fillId="0" borderId="87" xfId="0" applyFont="1" applyBorder="1" applyAlignment="1">
      <alignment vertical="center" wrapText="1"/>
    </xf>
    <xf numFmtId="0" fontId="7" fillId="2" borderId="88" xfId="0" applyFont="1" applyFill="1" applyBorder="1" applyAlignment="1">
      <alignment horizontal="center" vertical="center" wrapText="1"/>
    </xf>
    <xf numFmtId="0" fontId="7" fillId="2" borderId="8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7" fillId="0" borderId="8" xfId="0" applyFont="1" applyFill="1" applyBorder="1" applyAlignment="1">
      <alignment horizontal="center" vertical="center"/>
    </xf>
    <xf numFmtId="0" fontId="12" fillId="0" borderId="90" xfId="0" applyFont="1" applyFill="1" applyBorder="1" applyAlignment="1">
      <alignment horizontal="center" vertical="center"/>
    </xf>
    <xf numFmtId="0" fontId="12" fillId="0" borderId="11" xfId="1" applyFont="1" applyFill="1" applyBorder="1" applyAlignment="1">
      <alignment horizontal="center" vertical="center"/>
    </xf>
    <xf numFmtId="0" fontId="12" fillId="0" borderId="91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 wrapText="1"/>
    </xf>
    <xf numFmtId="0" fontId="17" fillId="0" borderId="8" xfId="0" applyFont="1" applyFill="1" applyBorder="1" applyAlignment="1">
      <alignment horizontal="center"/>
    </xf>
    <xf numFmtId="0" fontId="17" fillId="0" borderId="91" xfId="0" applyFont="1" applyFill="1" applyBorder="1" applyAlignment="1">
      <alignment horizontal="center" vertical="center"/>
    </xf>
    <xf numFmtId="0" fontId="17" fillId="0" borderId="9" xfId="0" applyFont="1" applyFill="1" applyBorder="1" applyAlignment="1"/>
    <xf numFmtId="0" fontId="17" fillId="0" borderId="0" xfId="0" applyFont="1" applyFill="1" applyAlignment="1">
      <alignment horizontal="left" vertical="center"/>
    </xf>
    <xf numFmtId="0" fontId="17" fillId="10" borderId="8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left"/>
    </xf>
    <xf numFmtId="0" fontId="29" fillId="0" borderId="8" xfId="0" applyFont="1" applyFill="1" applyBorder="1" applyAlignment="1">
      <alignment horizontal="left"/>
    </xf>
    <xf numFmtId="0" fontId="12" fillId="0" borderId="8" xfId="0" applyFont="1" applyFill="1" applyBorder="1" applyAlignment="1">
      <alignment horizontal="left"/>
    </xf>
    <xf numFmtId="0" fontId="12" fillId="0" borderId="9" xfId="0" applyFont="1" applyFill="1" applyBorder="1" applyAlignment="1">
      <alignment vertical="center"/>
    </xf>
    <xf numFmtId="0" fontId="12" fillId="10" borderId="8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vertical="center"/>
    </xf>
    <xf numFmtId="0" fontId="29" fillId="0" borderId="9" xfId="0" applyFont="1" applyFill="1" applyBorder="1" applyAlignment="1">
      <alignment vertical="center"/>
    </xf>
    <xf numFmtId="0" fontId="12" fillId="0" borderId="8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/>
    <xf numFmtId="0" fontId="29" fillId="0" borderId="0" xfId="0" applyFont="1" applyFill="1"/>
    <xf numFmtId="0" fontId="11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11" fillId="0" borderId="8" xfId="1" applyFont="1" applyFill="1" applyBorder="1" applyAlignment="1">
      <alignment horizontal="left" vertical="center"/>
    </xf>
    <xf numFmtId="0" fontId="3" fillId="0" borderId="8" xfId="0" applyFont="1" applyFill="1" applyBorder="1" applyAlignment="1">
      <alignment vertical="center"/>
    </xf>
    <xf numFmtId="0" fontId="29" fillId="0" borderId="8" xfId="0" applyFont="1" applyFill="1" applyBorder="1"/>
    <xf numFmtId="0" fontId="29" fillId="0" borderId="8" xfId="0" applyFont="1" applyFill="1" applyBorder="1" applyAlignment="1">
      <alignment horizontal="center"/>
    </xf>
    <xf numFmtId="1" fontId="12" fillId="0" borderId="8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horizontal="center" vertical="center"/>
    </xf>
    <xf numFmtId="14" fontId="16" fillId="0" borderId="8" xfId="0" applyNumberFormat="1" applyFont="1" applyFill="1" applyBorder="1" applyAlignment="1">
      <alignment horizontal="center" vertical="center"/>
    </xf>
    <xf numFmtId="165" fontId="12" fillId="0" borderId="8" xfId="0" applyNumberFormat="1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center" vertical="center"/>
    </xf>
    <xf numFmtId="165" fontId="3" fillId="0" borderId="8" xfId="0" applyNumberFormat="1" applyFont="1" applyFill="1" applyBorder="1" applyAlignment="1">
      <alignment horizontal="center"/>
    </xf>
    <xf numFmtId="165" fontId="27" fillId="0" borderId="8" xfId="0" applyNumberFormat="1" applyFont="1" applyFill="1" applyBorder="1" applyAlignment="1">
      <alignment horizontal="center" vertical="center" wrapText="1"/>
    </xf>
    <xf numFmtId="165" fontId="2" fillId="0" borderId="8" xfId="0" applyNumberFormat="1" applyFont="1" applyFill="1" applyBorder="1"/>
    <xf numFmtId="165" fontId="29" fillId="0" borderId="8" xfId="0" applyNumberFormat="1" applyFont="1" applyFill="1" applyBorder="1" applyAlignment="1">
      <alignment horizontal="center"/>
    </xf>
    <xf numFmtId="165" fontId="18" fillId="0" borderId="8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9" fillId="3" borderId="8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vertical="center"/>
    </xf>
    <xf numFmtId="165" fontId="17" fillId="0" borderId="8" xfId="0" applyNumberFormat="1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0" xfId="0" applyFont="1" applyFill="1"/>
    <xf numFmtId="0" fontId="17" fillId="0" borderId="0" xfId="0" applyFont="1" applyFill="1" applyAlignment="1">
      <alignment vertical="center"/>
    </xf>
    <xf numFmtId="0" fontId="12" fillId="0" borderId="8" xfId="0" applyFont="1" applyFill="1" applyBorder="1" applyAlignment="1">
      <alignment horizontal="center"/>
    </xf>
    <xf numFmtId="0" fontId="16" fillId="0" borderId="8" xfId="0" applyFont="1" applyFill="1" applyBorder="1" applyAlignment="1">
      <alignment horizontal="left" vertical="center"/>
    </xf>
    <xf numFmtId="0" fontId="16" fillId="0" borderId="9" xfId="0" applyFont="1" applyFill="1" applyBorder="1" applyAlignment="1">
      <alignment horizontal="left" vertical="center"/>
    </xf>
    <xf numFmtId="0" fontId="12" fillId="0" borderId="89" xfId="0" applyFont="1" applyFill="1" applyBorder="1" applyAlignment="1">
      <alignment horizontal="center" vertical="center"/>
    </xf>
    <xf numFmtId="0" fontId="12" fillId="0" borderId="89" xfId="0" applyFont="1" applyFill="1" applyBorder="1" applyAlignment="1">
      <alignment horizontal="left" vertical="center"/>
    </xf>
    <xf numFmtId="0" fontId="12" fillId="0" borderId="89" xfId="1" applyFont="1" applyFill="1" applyBorder="1" applyAlignment="1">
      <alignment horizontal="center" vertical="center"/>
    </xf>
    <xf numFmtId="0" fontId="12" fillId="0" borderId="89" xfId="0" applyFont="1" applyFill="1" applyBorder="1" applyAlignment="1">
      <alignment vertical="center"/>
    </xf>
    <xf numFmtId="0" fontId="16" fillId="0" borderId="89" xfId="0" applyFont="1" applyFill="1" applyBorder="1" applyAlignment="1">
      <alignment horizontal="center" vertical="center"/>
    </xf>
    <xf numFmtId="165" fontId="12" fillId="0" borderId="89" xfId="0" applyNumberFormat="1" applyFont="1" applyFill="1" applyBorder="1" applyAlignment="1">
      <alignment horizontal="center" vertical="center"/>
    </xf>
    <xf numFmtId="165" fontId="9" fillId="0" borderId="89" xfId="0" applyNumberFormat="1" applyFont="1" applyFill="1" applyBorder="1" applyAlignment="1">
      <alignment horizontal="center" vertical="center"/>
    </xf>
    <xf numFmtId="0" fontId="12" fillId="0" borderId="93" xfId="0" applyFont="1" applyFill="1" applyBorder="1" applyAlignment="1">
      <alignment horizontal="center" vertical="center"/>
    </xf>
    <xf numFmtId="0" fontId="12" fillId="0" borderId="93" xfId="0" applyFont="1" applyFill="1" applyBorder="1" applyAlignment="1">
      <alignment horizontal="left" vertical="center"/>
    </xf>
    <xf numFmtId="0" fontId="9" fillId="0" borderId="93" xfId="0" applyFont="1" applyFill="1" applyBorder="1" applyAlignment="1">
      <alignment horizontal="center" vertical="center"/>
    </xf>
    <xf numFmtId="0" fontId="9" fillId="0" borderId="93" xfId="0" applyFont="1" applyFill="1" applyBorder="1" applyAlignment="1">
      <alignment horizontal="left" vertical="center"/>
    </xf>
    <xf numFmtId="165" fontId="12" fillId="0" borderId="93" xfId="0" applyNumberFormat="1" applyFont="1" applyFill="1" applyBorder="1" applyAlignment="1">
      <alignment horizontal="center" vertical="center"/>
    </xf>
    <xf numFmtId="165" fontId="9" fillId="0" borderId="93" xfId="0" applyNumberFormat="1" applyFont="1" applyFill="1" applyBorder="1" applyAlignment="1">
      <alignment horizontal="center" vertical="center"/>
    </xf>
    <xf numFmtId="0" fontId="13" fillId="0" borderId="9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vertical="center" wrapText="1"/>
    </xf>
    <xf numFmtId="0" fontId="12" fillId="10" borderId="8" xfId="0" applyFont="1" applyFill="1" applyBorder="1" applyAlignment="1">
      <alignment horizontal="left" vertical="center"/>
    </xf>
    <xf numFmtId="0" fontId="9" fillId="10" borderId="8" xfId="0" applyFont="1" applyFill="1" applyBorder="1" applyAlignment="1">
      <alignment horizontal="left" vertical="center"/>
    </xf>
    <xf numFmtId="0" fontId="8" fillId="10" borderId="8" xfId="0" applyFont="1" applyFill="1" applyBorder="1" applyAlignment="1">
      <alignment horizontal="left" vertical="center"/>
    </xf>
    <xf numFmtId="165" fontId="9" fillId="4" borderId="8" xfId="0" applyNumberFormat="1" applyFont="1" applyFill="1" applyBorder="1" applyAlignment="1">
      <alignment horizontal="center" vertical="center"/>
    </xf>
    <xf numFmtId="165" fontId="12" fillId="4" borderId="8" xfId="0" applyNumberFormat="1" applyFont="1" applyFill="1" applyBorder="1" applyAlignment="1">
      <alignment horizontal="center" vertical="center"/>
    </xf>
    <xf numFmtId="165" fontId="17" fillId="4" borderId="8" xfId="0" applyNumberFormat="1" applyFont="1" applyFill="1" applyBorder="1" applyAlignment="1">
      <alignment horizontal="center" vertical="center"/>
    </xf>
    <xf numFmtId="164" fontId="2" fillId="0" borderId="0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1" fillId="4" borderId="0" xfId="0" applyFont="1" applyFill="1" applyBorder="1" applyAlignment="1">
      <alignment horizontal="center" vertical="center"/>
    </xf>
    <xf numFmtId="0" fontId="6" fillId="5" borderId="94" xfId="0" applyFont="1" applyFill="1" applyBorder="1" applyAlignment="1">
      <alignment horizontal="center" vertical="center"/>
    </xf>
    <xf numFmtId="0" fontId="36" fillId="0" borderId="45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53" xfId="0" applyFont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56" xfId="0" applyFont="1" applyFill="1" applyBorder="1" applyAlignment="1">
      <alignment horizontal="center" vertical="center" wrapText="1"/>
    </xf>
    <xf numFmtId="0" fontId="4" fillId="0" borderId="57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34" fillId="0" borderId="8" xfId="0" applyFont="1" applyFill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4" fillId="0" borderId="61" xfId="0" applyFont="1" applyFill="1" applyBorder="1" applyAlignment="1">
      <alignment horizontal="center" vertical="center" wrapText="1"/>
    </xf>
    <xf numFmtId="0" fontId="4" fillId="0" borderId="62" xfId="0" applyFont="1" applyFill="1" applyBorder="1" applyAlignment="1">
      <alignment horizontal="center" vertical="center" wrapText="1"/>
    </xf>
    <xf numFmtId="0" fontId="4" fillId="0" borderId="63" xfId="0" applyFont="1" applyFill="1" applyBorder="1" applyAlignment="1">
      <alignment horizontal="center" vertical="center" wrapText="1"/>
    </xf>
    <xf numFmtId="0" fontId="4" fillId="0" borderId="64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66" xfId="0" applyFont="1" applyFill="1" applyBorder="1" applyAlignment="1">
      <alignment horizontal="center" vertical="center" wrapText="1"/>
    </xf>
    <xf numFmtId="0" fontId="4" fillId="0" borderId="6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" fontId="4" fillId="8" borderId="30" xfId="0" applyNumberFormat="1" applyFont="1" applyFill="1" applyBorder="1" applyAlignment="1">
      <alignment horizontal="center" vertical="center" wrapText="1"/>
    </xf>
    <xf numFmtId="1" fontId="4" fillId="8" borderId="43" xfId="0" applyNumberFormat="1" applyFont="1" applyFill="1" applyBorder="1" applyAlignment="1">
      <alignment horizontal="center" vertical="center" wrapText="1"/>
    </xf>
    <xf numFmtId="1" fontId="4" fillId="8" borderId="29" xfId="0" applyNumberFormat="1" applyFont="1" applyFill="1" applyBorder="1" applyAlignment="1">
      <alignment horizontal="center" vertical="center" wrapText="1"/>
    </xf>
    <xf numFmtId="1" fontId="4" fillId="8" borderId="35" xfId="0" applyNumberFormat="1" applyFont="1" applyFill="1" applyBorder="1" applyAlignment="1">
      <alignment horizontal="center" vertical="center" wrapText="1"/>
    </xf>
    <xf numFmtId="1" fontId="4" fillId="8" borderId="0" xfId="0" applyNumberFormat="1" applyFont="1" applyFill="1" applyBorder="1" applyAlignment="1">
      <alignment horizontal="center" vertical="center" wrapText="1"/>
    </xf>
    <xf numFmtId="1" fontId="4" fillId="8" borderId="48" xfId="0" applyNumberFormat="1" applyFont="1" applyFill="1" applyBorder="1" applyAlignment="1">
      <alignment horizontal="center" vertical="center" wrapText="1"/>
    </xf>
    <xf numFmtId="1" fontId="4" fillId="8" borderId="28" xfId="0" applyNumberFormat="1" applyFont="1" applyFill="1" applyBorder="1" applyAlignment="1">
      <alignment horizontal="center" vertical="center" wrapText="1"/>
    </xf>
    <xf numFmtId="1" fontId="4" fillId="8" borderId="56" xfId="0" applyNumberFormat="1" applyFont="1" applyFill="1" applyBorder="1" applyAlignment="1">
      <alignment horizontal="center" vertical="center" wrapText="1"/>
    </xf>
    <xf numFmtId="1" fontId="4" fillId="8" borderId="11" xfId="0" applyNumberFormat="1" applyFont="1" applyFill="1" applyBorder="1" applyAlignment="1">
      <alignment horizontal="center" vertical="center" wrapText="1"/>
    </xf>
    <xf numFmtId="0" fontId="34" fillId="0" borderId="30" xfId="0" applyFont="1" applyFill="1" applyBorder="1" applyAlignment="1">
      <alignment horizontal="center" vertical="center" wrapText="1"/>
    </xf>
    <xf numFmtId="0" fontId="34" fillId="0" borderId="43" xfId="0" applyFont="1" applyFill="1" applyBorder="1" applyAlignment="1">
      <alignment horizontal="center" vertical="center" wrapText="1"/>
    </xf>
    <xf numFmtId="0" fontId="34" fillId="0" borderId="54" xfId="0" applyFont="1" applyFill="1" applyBorder="1" applyAlignment="1">
      <alignment horizontal="center" vertical="center" wrapText="1"/>
    </xf>
    <xf numFmtId="0" fontId="34" fillId="0" borderId="35" xfId="0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horizontal="center" vertical="center" wrapText="1"/>
    </xf>
    <xf numFmtId="0" fontId="34" fillId="0" borderId="55" xfId="0" applyFont="1" applyFill="1" applyBorder="1" applyAlignment="1">
      <alignment horizontal="center" vertical="center" wrapText="1"/>
    </xf>
    <xf numFmtId="0" fontId="34" fillId="0" borderId="28" xfId="0" applyFont="1" applyFill="1" applyBorder="1" applyAlignment="1">
      <alignment horizontal="center" vertical="center" wrapText="1"/>
    </xf>
    <xf numFmtId="0" fontId="34" fillId="0" borderId="56" xfId="0" applyFont="1" applyFill="1" applyBorder="1" applyAlignment="1">
      <alignment horizontal="center" vertical="center" wrapText="1"/>
    </xf>
    <xf numFmtId="0" fontId="34" fillId="0" borderId="57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4" fillId="0" borderId="29" xfId="0" applyFont="1" applyFill="1" applyBorder="1" applyAlignment="1">
      <alignment horizontal="center" vertical="center" wrapText="1"/>
    </xf>
    <xf numFmtId="0" fontId="34" fillId="0" borderId="48" xfId="0" applyFont="1" applyFill="1" applyBorder="1" applyAlignment="1">
      <alignment horizontal="center" vertical="center" wrapText="1"/>
    </xf>
    <xf numFmtId="0" fontId="34" fillId="0" borderId="11" xfId="0" applyFont="1" applyFill="1" applyBorder="1" applyAlignment="1">
      <alignment horizontal="center" vertical="center" wrapText="1"/>
    </xf>
    <xf numFmtId="0" fontId="34" fillId="3" borderId="30" xfId="0" applyFont="1" applyFill="1" applyBorder="1" applyAlignment="1">
      <alignment horizontal="center" vertical="center" wrapText="1"/>
    </xf>
    <xf numFmtId="0" fontId="34" fillId="3" borderId="43" xfId="0" applyFont="1" applyFill="1" applyBorder="1" applyAlignment="1">
      <alignment horizontal="center" vertical="center" wrapText="1"/>
    </xf>
    <xf numFmtId="0" fontId="34" fillId="3" borderId="29" xfId="0" applyFont="1" applyFill="1" applyBorder="1" applyAlignment="1">
      <alignment horizontal="center" vertical="center" wrapText="1"/>
    </xf>
    <xf numFmtId="0" fontId="34" fillId="3" borderId="35" xfId="0" applyFont="1" applyFill="1" applyBorder="1" applyAlignment="1">
      <alignment horizontal="center" vertical="center" wrapText="1"/>
    </xf>
    <xf numFmtId="0" fontId="34" fillId="3" borderId="0" xfId="0" applyFont="1" applyFill="1" applyBorder="1" applyAlignment="1">
      <alignment horizontal="center" vertical="center" wrapText="1"/>
    </xf>
    <xf numFmtId="0" fontId="34" fillId="3" borderId="48" xfId="0" applyFont="1" applyFill="1" applyBorder="1" applyAlignment="1">
      <alignment horizontal="center" vertical="center" wrapText="1"/>
    </xf>
    <xf numFmtId="0" fontId="34" fillId="3" borderId="28" xfId="0" applyFont="1" applyFill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center" vertical="center" wrapText="1"/>
    </xf>
    <xf numFmtId="0" fontId="39" fillId="0" borderId="8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4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48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34" fillId="10" borderId="30" xfId="0" applyFont="1" applyFill="1" applyBorder="1" applyAlignment="1">
      <alignment horizontal="center" vertical="center" wrapText="1"/>
    </xf>
    <xf numFmtId="0" fontId="34" fillId="10" borderId="43" xfId="0" applyFont="1" applyFill="1" applyBorder="1" applyAlignment="1">
      <alignment horizontal="center" vertical="center" wrapText="1"/>
    </xf>
    <xf numFmtId="0" fontId="34" fillId="10" borderId="29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0" xfId="0" applyFont="1" applyFill="1" applyBorder="1" applyAlignment="1">
      <alignment horizontal="center" vertical="center" wrapText="1"/>
    </xf>
    <xf numFmtId="0" fontId="34" fillId="10" borderId="48" xfId="0" applyFont="1" applyFill="1" applyBorder="1" applyAlignment="1">
      <alignment horizontal="center" vertical="center" wrapText="1"/>
    </xf>
    <xf numFmtId="0" fontId="34" fillId="10" borderId="28" xfId="0" applyFont="1" applyFill="1" applyBorder="1" applyAlignment="1">
      <alignment horizontal="center" vertical="center" wrapText="1"/>
    </xf>
    <xf numFmtId="0" fontId="34" fillId="10" borderId="56" xfId="0" applyFont="1" applyFill="1" applyBorder="1" applyAlignment="1">
      <alignment horizontal="center" vertical="center" wrapText="1"/>
    </xf>
    <xf numFmtId="0" fontId="34" fillId="10" borderId="11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4" fillId="10" borderId="30" xfId="0" applyFont="1" applyFill="1" applyBorder="1" applyAlignment="1">
      <alignment horizontal="center" vertical="center" wrapText="1"/>
    </xf>
    <xf numFmtId="0" fontId="4" fillId="10" borderId="43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 wrapText="1"/>
    </xf>
    <xf numFmtId="0" fontId="4" fillId="10" borderId="35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 wrapText="1"/>
    </xf>
    <xf numFmtId="0" fontId="4" fillId="10" borderId="48" xfId="0" applyFont="1" applyFill="1" applyBorder="1" applyAlignment="1">
      <alignment horizontal="center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4" fillId="10" borderId="56" xfId="0" applyFont="1" applyFill="1" applyBorder="1" applyAlignment="1">
      <alignment horizontal="center" vertical="center" wrapText="1"/>
    </xf>
    <xf numFmtId="0" fontId="4" fillId="10" borderId="11" xfId="0" applyFont="1" applyFill="1" applyBorder="1" applyAlignment="1">
      <alignment horizontal="center" vertical="center" wrapText="1"/>
    </xf>
    <xf numFmtId="0" fontId="41" fillId="11" borderId="77" xfId="0" applyFont="1" applyFill="1" applyBorder="1" applyAlignment="1">
      <alignment horizontal="center" vertical="center" wrapText="1"/>
    </xf>
    <xf numFmtId="0" fontId="41" fillId="11" borderId="78" xfId="0" applyFont="1" applyFill="1" applyBorder="1" applyAlignment="1">
      <alignment horizontal="center" vertical="center" wrapText="1"/>
    </xf>
    <xf numFmtId="0" fontId="41" fillId="11" borderId="79" xfId="0" applyFont="1" applyFill="1" applyBorder="1" applyAlignment="1">
      <alignment horizontal="center" vertical="center" wrapText="1"/>
    </xf>
    <xf numFmtId="0" fontId="41" fillId="11" borderId="80" xfId="0" applyFont="1" applyFill="1" applyBorder="1" applyAlignment="1">
      <alignment horizontal="center" vertical="center" wrapText="1"/>
    </xf>
    <xf numFmtId="0" fontId="41" fillId="11" borderId="0" xfId="0" applyFont="1" applyFill="1" applyBorder="1" applyAlignment="1">
      <alignment horizontal="center" vertical="center" wrapText="1"/>
    </xf>
    <xf numFmtId="0" fontId="41" fillId="11" borderId="81" xfId="0" applyFont="1" applyFill="1" applyBorder="1" applyAlignment="1">
      <alignment horizontal="center" vertical="center" wrapText="1"/>
    </xf>
    <xf numFmtId="0" fontId="41" fillId="11" borderId="82" xfId="0" applyFont="1" applyFill="1" applyBorder="1" applyAlignment="1">
      <alignment horizontal="center" vertical="center" wrapText="1"/>
    </xf>
    <xf numFmtId="0" fontId="41" fillId="11" borderId="83" xfId="0" applyFont="1" applyFill="1" applyBorder="1" applyAlignment="1">
      <alignment horizontal="center" vertical="center" wrapText="1"/>
    </xf>
    <xf numFmtId="0" fontId="41" fillId="11" borderId="84" xfId="0" applyFont="1" applyFill="1" applyBorder="1" applyAlignment="1">
      <alignment horizontal="center" vertical="center" wrapText="1"/>
    </xf>
    <xf numFmtId="1" fontId="42" fillId="12" borderId="77" xfId="0" applyNumberFormat="1" applyFont="1" applyFill="1" applyBorder="1" applyAlignment="1">
      <alignment horizontal="center" vertical="center" wrapText="1"/>
    </xf>
    <xf numFmtId="1" fontId="42" fillId="12" borderId="78" xfId="0" applyNumberFormat="1" applyFont="1" applyFill="1" applyBorder="1" applyAlignment="1">
      <alignment horizontal="center" vertical="center" wrapText="1"/>
    </xf>
    <xf numFmtId="1" fontId="42" fillId="12" borderId="79" xfId="0" applyNumberFormat="1" applyFont="1" applyFill="1" applyBorder="1" applyAlignment="1">
      <alignment horizontal="center" vertical="center" wrapText="1"/>
    </xf>
    <xf numFmtId="1" fontId="42" fillId="12" borderId="80" xfId="0" applyNumberFormat="1" applyFont="1" applyFill="1" applyBorder="1" applyAlignment="1">
      <alignment horizontal="center" vertical="center" wrapText="1"/>
    </xf>
    <xf numFmtId="1" fontId="42" fillId="12" borderId="0" xfId="0" applyNumberFormat="1" applyFont="1" applyFill="1" applyBorder="1" applyAlignment="1">
      <alignment horizontal="center" vertical="center" wrapText="1"/>
    </xf>
    <xf numFmtId="1" fontId="42" fillId="12" borderId="81" xfId="0" applyNumberFormat="1" applyFont="1" applyFill="1" applyBorder="1" applyAlignment="1">
      <alignment horizontal="center" vertical="center" wrapText="1"/>
    </xf>
    <xf numFmtId="1" fontId="42" fillId="12" borderId="82" xfId="0" applyNumberFormat="1" applyFont="1" applyFill="1" applyBorder="1" applyAlignment="1">
      <alignment horizontal="center" vertical="center" wrapText="1"/>
    </xf>
    <xf numFmtId="1" fontId="42" fillId="12" borderId="83" xfId="0" applyNumberFormat="1" applyFont="1" applyFill="1" applyBorder="1" applyAlignment="1">
      <alignment horizontal="center" vertical="center" wrapText="1"/>
    </xf>
    <xf numFmtId="1" fontId="42" fillId="12" borderId="84" xfId="0" applyNumberFormat="1" applyFont="1" applyFill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2" fillId="0" borderId="24" xfId="0" applyFont="1" applyBorder="1" applyAlignment="1">
      <alignment horizontal="center" vertical="center" wrapText="1"/>
    </xf>
    <xf numFmtId="0" fontId="32" fillId="0" borderId="58" xfId="0" applyFont="1" applyBorder="1" applyAlignment="1">
      <alignment horizontal="center" vertical="center" wrapText="1"/>
    </xf>
    <xf numFmtId="0" fontId="32" fillId="0" borderId="37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</cellXfs>
  <cellStyles count="5">
    <cellStyle name="Normal" xfId="0" builtinId="0"/>
    <cellStyle name="Normal 2" xfId="2" xr:uid="{5ED4A333-BE3F-4444-B6E7-024BCE22E309}"/>
    <cellStyle name="Normal 4" xfId="1" xr:uid="{B4BA3551-00E6-4E26-B624-E7E3D20283F3}"/>
    <cellStyle name="Normal 5" xfId="4" xr:uid="{CB84C820-FE91-424E-A4CC-A92E2B378987}"/>
    <cellStyle name="Normal 7" xfId="3" xr:uid="{E97DBA0B-5EDB-4768-A1BB-522A50A87BC5}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57149</xdr:colOff>
      <xdr:row>4</xdr:row>
      <xdr:rowOff>40821</xdr:rowOff>
    </xdr:from>
    <xdr:to>
      <xdr:col>21</xdr:col>
      <xdr:colOff>12699</xdr:colOff>
      <xdr:row>13</xdr:row>
      <xdr:rowOff>111578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0D74B7-DA10-47EE-9D67-BECD8A1B5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269421"/>
          <a:ext cx="923925" cy="1099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961F-5641-4C6D-8DE9-908B34C907DE}">
  <dimension ref="A1:W165"/>
  <sheetViews>
    <sheetView topLeftCell="A19" zoomScale="85" zoomScaleNormal="85" workbookViewId="0">
      <selection activeCell="E26" sqref="E25:E26"/>
    </sheetView>
  </sheetViews>
  <sheetFormatPr defaultColWidth="9" defaultRowHeight="15.5" x14ac:dyDescent="0.35"/>
  <cols>
    <col min="1" max="1" width="9.54296875" style="31" bestFit="1" customWidth="1"/>
    <col min="2" max="2" width="11.54296875" style="31" customWidth="1"/>
    <col min="3" max="3" width="60.7265625" style="32" customWidth="1"/>
    <col min="4" max="4" width="16.7265625" style="31" customWidth="1"/>
    <col min="5" max="5" width="19.54296875" style="31" customWidth="1"/>
    <col min="6" max="6" width="21.81640625" style="31" customWidth="1"/>
    <col min="7" max="7" width="53.81640625" style="1" bestFit="1" customWidth="1"/>
    <col min="8" max="8" width="19" style="31" hidden="1" customWidth="1"/>
    <col min="9" max="9" width="19" style="31" customWidth="1"/>
    <col min="10" max="10" width="31.54296875" style="31" customWidth="1"/>
    <col min="11" max="11" width="13.81640625" style="31" customWidth="1"/>
    <col min="12" max="13" width="21.81640625" style="31" customWidth="1"/>
    <col min="14" max="14" width="46" style="61" customWidth="1"/>
    <col min="15" max="16384" width="9" style="1"/>
  </cols>
  <sheetData>
    <row r="1" spans="1:14" ht="16" thickBot="1" x14ac:dyDescent="0.4">
      <c r="A1" s="283"/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4"/>
    </row>
    <row r="2" spans="1:14" ht="18" x14ac:dyDescent="0.35">
      <c r="A2" s="285" t="s">
        <v>114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7"/>
    </row>
    <row r="3" spans="1:14" ht="31.5" thickBot="1" x14ac:dyDescent="0.4">
      <c r="A3" s="67" t="s">
        <v>0</v>
      </c>
      <c r="B3" s="33" t="s">
        <v>72</v>
      </c>
      <c r="C3" s="112" t="s">
        <v>73</v>
      </c>
      <c r="D3" s="33" t="s">
        <v>1</v>
      </c>
      <c r="E3" s="33" t="s">
        <v>210</v>
      </c>
      <c r="F3" s="33" t="s">
        <v>211</v>
      </c>
      <c r="G3" s="33" t="s">
        <v>62</v>
      </c>
      <c r="H3" s="33" t="s">
        <v>2</v>
      </c>
      <c r="I3" s="33" t="s">
        <v>2</v>
      </c>
      <c r="J3" s="33" t="s">
        <v>3</v>
      </c>
      <c r="K3" s="33" t="s">
        <v>4</v>
      </c>
      <c r="L3" s="33" t="s">
        <v>5</v>
      </c>
      <c r="M3" s="83" t="s">
        <v>215</v>
      </c>
      <c r="N3" s="68" t="s">
        <v>6</v>
      </c>
    </row>
    <row r="4" spans="1:14" s="2" customFormat="1" x14ac:dyDescent="0.35">
      <c r="A4" s="113" t="s">
        <v>7</v>
      </c>
      <c r="B4" s="114">
        <f>SUM(B5:B17)</f>
        <v>13</v>
      </c>
      <c r="C4" s="115" t="s">
        <v>8</v>
      </c>
      <c r="D4" s="116"/>
      <c r="E4" s="116"/>
      <c r="F4" s="116"/>
      <c r="G4" s="116"/>
      <c r="H4" s="116"/>
      <c r="I4" s="116"/>
      <c r="J4" s="116"/>
      <c r="K4" s="114">
        <f>SUM(K5:K17)</f>
        <v>13</v>
      </c>
      <c r="L4" s="114"/>
      <c r="M4" s="114"/>
      <c r="N4" s="117"/>
    </row>
    <row r="5" spans="1:14" s="9" customFormat="1" x14ac:dyDescent="0.35">
      <c r="A5" s="19">
        <v>1</v>
      </c>
      <c r="B5" s="13">
        <v>1</v>
      </c>
      <c r="C5" s="38" t="s">
        <v>9</v>
      </c>
      <c r="D5" s="39">
        <v>1755871</v>
      </c>
      <c r="E5" s="39">
        <v>1079482038</v>
      </c>
      <c r="F5" s="39">
        <v>8715773</v>
      </c>
      <c r="G5" s="40" t="s">
        <v>234</v>
      </c>
      <c r="H5" s="37" t="s">
        <v>10</v>
      </c>
      <c r="I5" s="37" t="s">
        <v>418</v>
      </c>
      <c r="J5" s="5" t="s">
        <v>11</v>
      </c>
      <c r="K5" s="5">
        <v>1</v>
      </c>
      <c r="L5" s="5" t="s">
        <v>12</v>
      </c>
      <c r="M5" s="5" t="s">
        <v>216</v>
      </c>
      <c r="N5" s="18"/>
    </row>
    <row r="6" spans="1:14" s="9" customFormat="1" x14ac:dyDescent="0.35">
      <c r="A6" s="66">
        <f>A5+1</f>
        <v>2</v>
      </c>
      <c r="B6" s="11">
        <v>1</v>
      </c>
      <c r="C6" s="12" t="s">
        <v>64</v>
      </c>
      <c r="D6" s="41">
        <v>1756078</v>
      </c>
      <c r="E6" s="11">
        <v>2595527355</v>
      </c>
      <c r="F6" s="11">
        <v>8769558</v>
      </c>
      <c r="G6" s="98" t="s">
        <v>236</v>
      </c>
      <c r="H6" s="11" t="s">
        <v>13</v>
      </c>
      <c r="I6" s="11" t="s">
        <v>419</v>
      </c>
      <c r="J6" s="11" t="s">
        <v>11</v>
      </c>
      <c r="K6" s="11">
        <v>1</v>
      </c>
      <c r="L6" s="11" t="s">
        <v>75</v>
      </c>
      <c r="M6" s="5" t="s">
        <v>217</v>
      </c>
      <c r="N6" s="29"/>
    </row>
    <row r="7" spans="1:14" s="9" customFormat="1" x14ac:dyDescent="0.35">
      <c r="A7" s="66">
        <f t="shared" ref="A7:A17" si="0">A6+1</f>
        <v>3</v>
      </c>
      <c r="B7" s="5">
        <v>1</v>
      </c>
      <c r="C7" s="10" t="s">
        <v>14</v>
      </c>
      <c r="D7" s="5">
        <v>1756509</v>
      </c>
      <c r="E7" s="5">
        <v>1101706016</v>
      </c>
      <c r="F7" s="5">
        <v>7228394</v>
      </c>
      <c r="G7" s="103" t="s">
        <v>231</v>
      </c>
      <c r="H7" s="37" t="s">
        <v>10</v>
      </c>
      <c r="I7" s="37" t="s">
        <v>418</v>
      </c>
      <c r="J7" s="102" t="s">
        <v>11</v>
      </c>
      <c r="K7" s="102">
        <v>1</v>
      </c>
      <c r="L7" s="102" t="s">
        <v>12</v>
      </c>
      <c r="M7" s="5" t="s">
        <v>216</v>
      </c>
      <c r="N7" s="118"/>
    </row>
    <row r="8" spans="1:14" s="9" customFormat="1" x14ac:dyDescent="0.35">
      <c r="A8" s="66">
        <f t="shared" si="0"/>
        <v>4</v>
      </c>
      <c r="B8" s="5">
        <v>1</v>
      </c>
      <c r="C8" s="10" t="s">
        <v>119</v>
      </c>
      <c r="D8" s="11">
        <v>1755100</v>
      </c>
      <c r="E8" s="5">
        <v>2431843784</v>
      </c>
      <c r="F8" s="5">
        <v>7298799</v>
      </c>
      <c r="G8" s="54" t="s">
        <v>120</v>
      </c>
      <c r="H8" s="11" t="s">
        <v>70</v>
      </c>
      <c r="I8" s="11" t="s">
        <v>420</v>
      </c>
      <c r="J8" s="11" t="s">
        <v>11</v>
      </c>
      <c r="K8" s="11">
        <v>1</v>
      </c>
      <c r="L8" s="11" t="s">
        <v>12</v>
      </c>
      <c r="M8" s="5" t="s">
        <v>216</v>
      </c>
      <c r="N8" s="53"/>
    </row>
    <row r="9" spans="1:14" s="16" customFormat="1" x14ac:dyDescent="0.35">
      <c r="A9" s="66">
        <f t="shared" si="0"/>
        <v>5</v>
      </c>
      <c r="B9" s="5">
        <v>1</v>
      </c>
      <c r="C9" s="8" t="s">
        <v>65</v>
      </c>
      <c r="D9" s="39">
        <v>1753292</v>
      </c>
      <c r="E9" s="5">
        <v>2368186892</v>
      </c>
      <c r="F9" s="5">
        <v>7298796</v>
      </c>
      <c r="G9" s="8" t="s">
        <v>212</v>
      </c>
      <c r="H9" s="5" t="s">
        <v>70</v>
      </c>
      <c r="I9" s="11" t="s">
        <v>420</v>
      </c>
      <c r="J9" s="6" t="s">
        <v>11</v>
      </c>
      <c r="K9" s="5">
        <v>1</v>
      </c>
      <c r="L9" s="11" t="s">
        <v>12</v>
      </c>
      <c r="M9" s="5" t="s">
        <v>216</v>
      </c>
      <c r="N9" s="50"/>
    </row>
    <row r="10" spans="1:14" s="16" customFormat="1" x14ac:dyDescent="0.35">
      <c r="A10" s="66">
        <f t="shared" si="0"/>
        <v>6</v>
      </c>
      <c r="B10" s="5">
        <v>1</v>
      </c>
      <c r="C10" s="8" t="s">
        <v>195</v>
      </c>
      <c r="D10" s="39">
        <v>1755946</v>
      </c>
      <c r="E10" s="5">
        <v>2583839564</v>
      </c>
      <c r="F10" s="5">
        <v>7211845</v>
      </c>
      <c r="G10" s="8" t="s">
        <v>160</v>
      </c>
      <c r="H10" s="11" t="s">
        <v>13</v>
      </c>
      <c r="I10" s="11" t="s">
        <v>419</v>
      </c>
      <c r="J10" s="6" t="s">
        <v>11</v>
      </c>
      <c r="K10" s="5">
        <v>1</v>
      </c>
      <c r="L10" s="5" t="s">
        <v>75</v>
      </c>
      <c r="M10" s="5" t="s">
        <v>217</v>
      </c>
      <c r="N10" s="43"/>
    </row>
    <row r="11" spans="1:14" s="9" customFormat="1" x14ac:dyDescent="0.35">
      <c r="A11" s="66">
        <f t="shared" si="0"/>
        <v>7</v>
      </c>
      <c r="B11" s="5">
        <v>1</v>
      </c>
      <c r="C11" s="8" t="s">
        <v>15</v>
      </c>
      <c r="D11" s="5">
        <v>1755990</v>
      </c>
      <c r="E11" s="5">
        <v>1097893760</v>
      </c>
      <c r="F11" s="39">
        <v>7293298</v>
      </c>
      <c r="G11" s="8" t="s">
        <v>198</v>
      </c>
      <c r="H11" s="37" t="s">
        <v>10</v>
      </c>
      <c r="I11" s="37" t="s">
        <v>418</v>
      </c>
      <c r="J11" s="5" t="s">
        <v>11</v>
      </c>
      <c r="K11" s="5">
        <v>1</v>
      </c>
      <c r="L11" s="5" t="s">
        <v>12</v>
      </c>
      <c r="M11" s="5" t="s">
        <v>216</v>
      </c>
      <c r="N11" s="43"/>
    </row>
    <row r="12" spans="1:14" s="9" customFormat="1" x14ac:dyDescent="0.35">
      <c r="A12" s="66">
        <f t="shared" si="0"/>
        <v>8</v>
      </c>
      <c r="B12" s="11">
        <v>1</v>
      </c>
      <c r="C12" s="105" t="s">
        <v>77</v>
      </c>
      <c r="D12" s="11">
        <v>1755606</v>
      </c>
      <c r="E12" s="5">
        <v>2566354631</v>
      </c>
      <c r="F12" s="84">
        <v>8681744</v>
      </c>
      <c r="G12" s="12" t="s">
        <v>121</v>
      </c>
      <c r="H12" s="11" t="s">
        <v>13</v>
      </c>
      <c r="I12" s="11" t="s">
        <v>419</v>
      </c>
      <c r="J12" s="11" t="s">
        <v>11</v>
      </c>
      <c r="K12" s="11">
        <v>1</v>
      </c>
      <c r="L12" s="11" t="s">
        <v>12</v>
      </c>
      <c r="M12" s="5" t="s">
        <v>216</v>
      </c>
      <c r="N12" s="51"/>
    </row>
    <row r="13" spans="1:14" s="16" customFormat="1" x14ac:dyDescent="0.35">
      <c r="A13" s="66">
        <f t="shared" si="0"/>
        <v>9</v>
      </c>
      <c r="B13" s="5">
        <v>1</v>
      </c>
      <c r="C13" s="8" t="s">
        <v>122</v>
      </c>
      <c r="D13" s="5">
        <v>1756443</v>
      </c>
      <c r="E13" s="5">
        <v>2617597675</v>
      </c>
      <c r="F13" s="39">
        <v>7211793</v>
      </c>
      <c r="G13" s="8" t="s">
        <v>218</v>
      </c>
      <c r="H13" s="11" t="s">
        <v>13</v>
      </c>
      <c r="I13" s="11" t="s">
        <v>419</v>
      </c>
      <c r="J13" s="5" t="s">
        <v>11</v>
      </c>
      <c r="K13" s="5">
        <v>1</v>
      </c>
      <c r="L13" s="5" t="s">
        <v>12</v>
      </c>
      <c r="M13" s="5" t="s">
        <v>216</v>
      </c>
      <c r="N13" s="43"/>
    </row>
    <row r="14" spans="1:14" s="9" customFormat="1" x14ac:dyDescent="0.35">
      <c r="A14" s="66">
        <f t="shared" si="0"/>
        <v>10</v>
      </c>
      <c r="B14" s="5">
        <v>1</v>
      </c>
      <c r="C14" s="8" t="s">
        <v>66</v>
      </c>
      <c r="D14" s="71">
        <v>1755611</v>
      </c>
      <c r="E14" s="73"/>
      <c r="F14" s="72"/>
      <c r="G14" s="44" t="s">
        <v>225</v>
      </c>
      <c r="H14" s="11" t="s">
        <v>13</v>
      </c>
      <c r="I14" s="11" t="s">
        <v>419</v>
      </c>
      <c r="J14" s="71" t="s">
        <v>11</v>
      </c>
      <c r="K14" s="74">
        <v>1</v>
      </c>
      <c r="L14" s="71" t="s">
        <v>12</v>
      </c>
      <c r="M14" s="71" t="s">
        <v>216</v>
      </c>
      <c r="N14" s="43"/>
    </row>
    <row r="15" spans="1:14" s="9" customFormat="1" x14ac:dyDescent="0.35">
      <c r="A15" s="66">
        <f t="shared" si="0"/>
        <v>11</v>
      </c>
      <c r="B15" s="5">
        <v>1</v>
      </c>
      <c r="C15" s="8" t="s">
        <v>414</v>
      </c>
      <c r="D15" s="5">
        <v>1755706</v>
      </c>
      <c r="E15" s="5"/>
      <c r="F15" s="5"/>
      <c r="G15" s="17" t="s">
        <v>415</v>
      </c>
      <c r="H15" s="11" t="s">
        <v>13</v>
      </c>
      <c r="I15" s="11" t="s">
        <v>419</v>
      </c>
      <c r="J15" s="5" t="s">
        <v>11</v>
      </c>
      <c r="K15" s="5">
        <v>1</v>
      </c>
      <c r="L15" s="5" t="s">
        <v>12</v>
      </c>
      <c r="M15" s="5" t="s">
        <v>216</v>
      </c>
      <c r="N15" s="43" t="s">
        <v>417</v>
      </c>
    </row>
    <row r="16" spans="1:14" s="9" customFormat="1" x14ac:dyDescent="0.35">
      <c r="A16" s="66">
        <f t="shared" si="0"/>
        <v>12</v>
      </c>
      <c r="B16" s="5">
        <v>1</v>
      </c>
      <c r="C16" s="38" t="s">
        <v>17</v>
      </c>
      <c r="D16" s="39">
        <v>1756015</v>
      </c>
      <c r="E16" s="39">
        <v>1110341029</v>
      </c>
      <c r="F16" s="84">
        <v>8642664</v>
      </c>
      <c r="G16" s="8" t="s">
        <v>398</v>
      </c>
      <c r="H16" s="11" t="s">
        <v>10</v>
      </c>
      <c r="I16" s="11" t="s">
        <v>418</v>
      </c>
      <c r="J16" s="6" t="s">
        <v>11</v>
      </c>
      <c r="K16" s="5">
        <v>1</v>
      </c>
      <c r="L16" s="5" t="s">
        <v>12</v>
      </c>
      <c r="M16" s="5" t="s">
        <v>216</v>
      </c>
      <c r="N16" s="43"/>
    </row>
    <row r="17" spans="1:23" s="9" customFormat="1" x14ac:dyDescent="0.35">
      <c r="A17" s="66">
        <f t="shared" si="0"/>
        <v>13</v>
      </c>
      <c r="B17" s="30">
        <v>1</v>
      </c>
      <c r="C17" s="101" t="s">
        <v>78</v>
      </c>
      <c r="D17" s="81">
        <v>1752892</v>
      </c>
      <c r="E17" s="81">
        <v>2310792581</v>
      </c>
      <c r="F17" s="81">
        <v>7306329</v>
      </c>
      <c r="G17" s="49" t="s">
        <v>209</v>
      </c>
      <c r="H17" s="11" t="s">
        <v>70</v>
      </c>
      <c r="I17" s="11" t="s">
        <v>420</v>
      </c>
      <c r="J17" s="30" t="s">
        <v>11</v>
      </c>
      <c r="K17" s="30">
        <v>1</v>
      </c>
      <c r="L17" s="30" t="s">
        <v>12</v>
      </c>
      <c r="M17" s="5" t="s">
        <v>216</v>
      </c>
      <c r="N17" s="85"/>
    </row>
    <row r="18" spans="1:23" s="2" customFormat="1" x14ac:dyDescent="0.35">
      <c r="A18" s="4" t="s">
        <v>18</v>
      </c>
      <c r="B18" s="4">
        <f>SUM(B19:B49)</f>
        <v>29</v>
      </c>
      <c r="C18" s="86" t="s">
        <v>19</v>
      </c>
      <c r="D18" s="5"/>
      <c r="E18" s="5"/>
      <c r="F18" s="5"/>
      <c r="G18" s="87"/>
      <c r="H18" s="11"/>
      <c r="I18" s="11"/>
      <c r="J18" s="87"/>
      <c r="K18" s="80">
        <f>SUM(K19:K49)</f>
        <v>28</v>
      </c>
      <c r="L18" s="80"/>
      <c r="M18" s="80"/>
      <c r="N18" s="88"/>
    </row>
    <row r="19" spans="1:23" s="9" customFormat="1" x14ac:dyDescent="0.35">
      <c r="A19" s="19">
        <f>A17+1</f>
        <v>14</v>
      </c>
      <c r="B19" s="5">
        <v>1</v>
      </c>
      <c r="C19" s="38" t="s">
        <v>256</v>
      </c>
      <c r="D19" s="5">
        <v>1756441</v>
      </c>
      <c r="E19" s="5">
        <v>2615769870</v>
      </c>
      <c r="F19" s="5">
        <v>7211786</v>
      </c>
      <c r="G19" s="8" t="s">
        <v>213</v>
      </c>
      <c r="H19" s="11" t="s">
        <v>70</v>
      </c>
      <c r="I19" s="11" t="s">
        <v>420</v>
      </c>
      <c r="J19" s="5" t="s">
        <v>11</v>
      </c>
      <c r="K19" s="5">
        <v>1</v>
      </c>
      <c r="L19" s="5" t="s">
        <v>80</v>
      </c>
      <c r="M19" s="5" t="s">
        <v>216</v>
      </c>
      <c r="N19" s="89"/>
    </row>
    <row r="20" spans="1:23" s="16" customFormat="1" x14ac:dyDescent="0.35">
      <c r="A20" s="23">
        <f t="shared" ref="A20" si="1">A19+1</f>
        <v>15</v>
      </c>
      <c r="B20" s="26"/>
      <c r="C20" s="25" t="s">
        <v>255</v>
      </c>
      <c r="D20" s="24">
        <v>1756181</v>
      </c>
      <c r="E20" s="24">
        <v>2600159814</v>
      </c>
      <c r="F20" s="24">
        <v>7280983</v>
      </c>
      <c r="G20" s="123" t="s">
        <v>161</v>
      </c>
      <c r="H20" s="24" t="s">
        <v>13</v>
      </c>
      <c r="I20" s="24" t="s">
        <v>419</v>
      </c>
      <c r="J20" s="26" t="s">
        <v>11</v>
      </c>
      <c r="K20" s="24">
        <v>1</v>
      </c>
      <c r="L20" s="24" t="s">
        <v>12</v>
      </c>
      <c r="M20" s="24" t="s">
        <v>216</v>
      </c>
      <c r="N20" s="138"/>
    </row>
    <row r="21" spans="1:23" s="9" customFormat="1" x14ac:dyDescent="0.35">
      <c r="A21" s="100">
        <f t="shared" ref="A21:A49" si="2">A20+1</f>
        <v>16</v>
      </c>
      <c r="B21" s="20">
        <v>1</v>
      </c>
      <c r="C21" s="101" t="s">
        <v>257</v>
      </c>
      <c r="D21" s="20">
        <v>1753840</v>
      </c>
      <c r="E21" s="39">
        <v>2237511734</v>
      </c>
      <c r="F21" s="39">
        <v>7255881</v>
      </c>
      <c r="G21" s="49" t="s">
        <v>237</v>
      </c>
      <c r="H21" s="11" t="s">
        <v>70</v>
      </c>
      <c r="I21" s="11" t="s">
        <v>420</v>
      </c>
      <c r="J21" s="20" t="s">
        <v>11</v>
      </c>
      <c r="K21" s="20">
        <v>1</v>
      </c>
      <c r="L21" s="20" t="s">
        <v>12</v>
      </c>
      <c r="M21" s="20" t="s">
        <v>216</v>
      </c>
      <c r="N21" s="126"/>
    </row>
    <row r="22" spans="1:23" s="7" customFormat="1" x14ac:dyDescent="0.35">
      <c r="A22" s="100">
        <f t="shared" si="2"/>
        <v>17</v>
      </c>
      <c r="B22" s="5">
        <v>1</v>
      </c>
      <c r="C22" s="8" t="s">
        <v>67</v>
      </c>
      <c r="D22" s="5">
        <v>1755719</v>
      </c>
      <c r="E22" s="5">
        <v>2570348942</v>
      </c>
      <c r="F22" s="6">
        <v>8714799</v>
      </c>
      <c r="G22" s="8" t="s">
        <v>124</v>
      </c>
      <c r="H22" s="11" t="s">
        <v>13</v>
      </c>
      <c r="I22" s="11" t="s">
        <v>419</v>
      </c>
      <c r="J22" s="5" t="s">
        <v>11</v>
      </c>
      <c r="K22" s="5">
        <v>1</v>
      </c>
      <c r="L22" s="5" t="s">
        <v>12</v>
      </c>
      <c r="M22" s="5" t="s">
        <v>216</v>
      </c>
      <c r="N22" s="89"/>
    </row>
    <row r="23" spans="1:23" s="9" customFormat="1" x14ac:dyDescent="0.35">
      <c r="A23" s="100">
        <f t="shared" si="2"/>
        <v>18</v>
      </c>
      <c r="B23" s="11">
        <v>1</v>
      </c>
      <c r="C23" s="12" t="s">
        <v>79</v>
      </c>
      <c r="D23" s="11">
        <v>1756125</v>
      </c>
      <c r="E23" s="11">
        <v>2595788460</v>
      </c>
      <c r="F23" s="84">
        <v>8769517</v>
      </c>
      <c r="G23" s="12" t="s">
        <v>163</v>
      </c>
      <c r="H23" s="11" t="s">
        <v>13</v>
      </c>
      <c r="I23" s="11" t="s">
        <v>419</v>
      </c>
      <c r="J23" s="11" t="s">
        <v>11</v>
      </c>
      <c r="K23" s="11">
        <v>1</v>
      </c>
      <c r="L23" s="11" t="s">
        <v>12</v>
      </c>
      <c r="M23" s="11" t="s">
        <v>217</v>
      </c>
      <c r="N23" s="28"/>
    </row>
    <row r="24" spans="1:23" s="9" customFormat="1" x14ac:dyDescent="0.35">
      <c r="A24" s="100">
        <f t="shared" si="2"/>
        <v>19</v>
      </c>
      <c r="B24" s="5">
        <v>1</v>
      </c>
      <c r="C24" s="12" t="s">
        <v>203</v>
      </c>
      <c r="D24" s="11">
        <v>1756117</v>
      </c>
      <c r="E24" s="11">
        <v>2595787587</v>
      </c>
      <c r="F24" s="84">
        <v>8736305</v>
      </c>
      <c r="G24" s="12" t="s">
        <v>162</v>
      </c>
      <c r="H24" s="11" t="s">
        <v>13</v>
      </c>
      <c r="I24" s="11" t="s">
        <v>419</v>
      </c>
      <c r="J24" s="11" t="s">
        <v>11</v>
      </c>
      <c r="K24" s="11">
        <v>1</v>
      </c>
      <c r="L24" s="11" t="s">
        <v>12</v>
      </c>
      <c r="M24" s="11" t="s">
        <v>217</v>
      </c>
      <c r="N24" s="51"/>
    </row>
    <row r="25" spans="1:23" s="9" customFormat="1" x14ac:dyDescent="0.35">
      <c r="A25" s="100">
        <f t="shared" si="2"/>
        <v>20</v>
      </c>
      <c r="B25" s="5">
        <v>1</v>
      </c>
      <c r="C25" s="8" t="s">
        <v>53</v>
      </c>
      <c r="D25" s="5">
        <v>1755682</v>
      </c>
      <c r="E25" s="5">
        <v>1079908982</v>
      </c>
      <c r="F25" s="5">
        <v>8169464</v>
      </c>
      <c r="G25" s="279" t="s">
        <v>125</v>
      </c>
      <c r="H25" s="11" t="s">
        <v>10</v>
      </c>
      <c r="I25" s="11" t="s">
        <v>418</v>
      </c>
      <c r="J25" s="5" t="s">
        <v>11</v>
      </c>
      <c r="K25" s="5">
        <v>1</v>
      </c>
      <c r="L25" s="5" t="s">
        <v>12</v>
      </c>
      <c r="M25" s="5" t="s">
        <v>216</v>
      </c>
      <c r="N25" s="43"/>
    </row>
    <row r="26" spans="1:23" s="9" customFormat="1" x14ac:dyDescent="0.35">
      <c r="A26" s="19">
        <f>A25+1</f>
        <v>21</v>
      </c>
      <c r="B26" s="5">
        <v>1</v>
      </c>
      <c r="C26" s="8" t="s">
        <v>68</v>
      </c>
      <c r="D26" s="5">
        <v>1756061</v>
      </c>
      <c r="E26" s="5">
        <v>2593672500</v>
      </c>
      <c r="F26" s="5">
        <v>8736567</v>
      </c>
      <c r="G26" s="14" t="s">
        <v>164</v>
      </c>
      <c r="H26" s="11" t="s">
        <v>13</v>
      </c>
      <c r="I26" s="11" t="s">
        <v>419</v>
      </c>
      <c r="J26" s="5" t="s">
        <v>11</v>
      </c>
      <c r="K26" s="5">
        <v>1</v>
      </c>
      <c r="L26" s="5" t="s">
        <v>12</v>
      </c>
      <c r="M26" s="5" t="s">
        <v>217</v>
      </c>
      <c r="N26" s="89"/>
    </row>
    <row r="27" spans="1:23" s="9" customFormat="1" x14ac:dyDescent="0.35">
      <c r="A27" s="19">
        <f t="shared" si="2"/>
        <v>22</v>
      </c>
      <c r="B27" s="5">
        <v>1</v>
      </c>
      <c r="C27" s="12" t="s">
        <v>69</v>
      </c>
      <c r="D27" s="11">
        <v>1756180</v>
      </c>
      <c r="E27" s="11">
        <v>2600159418</v>
      </c>
      <c r="F27" s="258">
        <v>7284587</v>
      </c>
      <c r="G27" s="54" t="s">
        <v>165</v>
      </c>
      <c r="H27" s="11" t="s">
        <v>13</v>
      </c>
      <c r="I27" s="11" t="s">
        <v>419</v>
      </c>
      <c r="J27" s="11" t="s">
        <v>11</v>
      </c>
      <c r="K27" s="11">
        <v>1</v>
      </c>
      <c r="L27" s="11" t="s">
        <v>12</v>
      </c>
      <c r="M27" s="11" t="s">
        <v>216</v>
      </c>
      <c r="N27" s="124"/>
    </row>
    <row r="28" spans="1:23" s="9" customFormat="1" x14ac:dyDescent="0.35">
      <c r="A28" s="19">
        <f t="shared" si="2"/>
        <v>23</v>
      </c>
      <c r="B28" s="5">
        <v>1</v>
      </c>
      <c r="C28" s="8" t="s">
        <v>81</v>
      </c>
      <c r="D28" s="5">
        <v>1755898</v>
      </c>
      <c r="E28" s="5">
        <v>2582636441</v>
      </c>
      <c r="F28" s="5">
        <v>8717015</v>
      </c>
      <c r="G28" s="14" t="s">
        <v>126</v>
      </c>
      <c r="H28" s="11" t="s">
        <v>13</v>
      </c>
      <c r="I28" s="11" t="s">
        <v>419</v>
      </c>
      <c r="J28" s="5" t="s">
        <v>11</v>
      </c>
      <c r="K28" s="5">
        <v>1</v>
      </c>
      <c r="L28" s="5" t="s">
        <v>12</v>
      </c>
      <c r="M28" s="5" t="s">
        <v>217</v>
      </c>
      <c r="N28" s="27"/>
    </row>
    <row r="29" spans="1:23" s="7" customFormat="1" x14ac:dyDescent="0.35">
      <c r="A29" s="19">
        <f t="shared" si="2"/>
        <v>24</v>
      </c>
      <c r="B29" s="5">
        <v>1</v>
      </c>
      <c r="C29" s="17" t="s">
        <v>20</v>
      </c>
      <c r="D29" s="5">
        <v>1755568</v>
      </c>
      <c r="E29" s="5">
        <v>2563973375</v>
      </c>
      <c r="F29" s="5">
        <v>8666240</v>
      </c>
      <c r="G29" s="14" t="s">
        <v>127</v>
      </c>
      <c r="H29" s="11" t="s">
        <v>13</v>
      </c>
      <c r="I29" s="11" t="s">
        <v>419</v>
      </c>
      <c r="J29" s="5" t="s">
        <v>11</v>
      </c>
      <c r="K29" s="15">
        <v>1</v>
      </c>
      <c r="L29" s="5" t="s">
        <v>12</v>
      </c>
      <c r="M29" s="5" t="s">
        <v>216</v>
      </c>
      <c r="N29" s="89"/>
      <c r="P29" s="9"/>
      <c r="Q29" s="9"/>
      <c r="R29" s="9"/>
      <c r="S29" s="9"/>
      <c r="T29" s="9"/>
      <c r="U29" s="9"/>
      <c r="V29" s="9"/>
      <c r="W29" s="9"/>
    </row>
    <row r="30" spans="1:23" s="7" customFormat="1" x14ac:dyDescent="0.35">
      <c r="A30" s="19">
        <f t="shared" si="2"/>
        <v>25</v>
      </c>
      <c r="B30" s="5">
        <v>1</v>
      </c>
      <c r="C30" s="17" t="s">
        <v>21</v>
      </c>
      <c r="D30" s="5">
        <v>1754363</v>
      </c>
      <c r="E30" s="5">
        <v>2485692061</v>
      </c>
      <c r="F30" s="5">
        <v>8714169</v>
      </c>
      <c r="G30" s="14" t="s">
        <v>128</v>
      </c>
      <c r="H30" s="11" t="s">
        <v>70</v>
      </c>
      <c r="I30" s="11" t="s">
        <v>420</v>
      </c>
      <c r="J30" s="5" t="s">
        <v>11</v>
      </c>
      <c r="K30" s="15">
        <v>1</v>
      </c>
      <c r="L30" s="5" t="s">
        <v>12</v>
      </c>
      <c r="M30" s="5" t="s">
        <v>217</v>
      </c>
      <c r="N30" s="89"/>
    </row>
    <row r="31" spans="1:23" s="7" customFormat="1" x14ac:dyDescent="0.35">
      <c r="A31" s="19">
        <f t="shared" si="2"/>
        <v>26</v>
      </c>
      <c r="B31" s="5">
        <v>1</v>
      </c>
      <c r="C31" s="17" t="s">
        <v>108</v>
      </c>
      <c r="D31" s="5">
        <v>1754484</v>
      </c>
      <c r="E31" s="5">
        <v>2487212520</v>
      </c>
      <c r="F31" s="5">
        <v>8966715</v>
      </c>
      <c r="G31" s="14" t="s">
        <v>130</v>
      </c>
      <c r="H31" s="11" t="s">
        <v>70</v>
      </c>
      <c r="I31" s="11" t="s">
        <v>420</v>
      </c>
      <c r="J31" s="5" t="s">
        <v>11</v>
      </c>
      <c r="K31" s="15">
        <v>1</v>
      </c>
      <c r="L31" s="5" t="s">
        <v>12</v>
      </c>
      <c r="M31" s="5" t="s">
        <v>216</v>
      </c>
      <c r="N31" s="89"/>
    </row>
    <row r="32" spans="1:23" s="7" customFormat="1" x14ac:dyDescent="0.35">
      <c r="A32" s="19">
        <f t="shared" si="2"/>
        <v>27</v>
      </c>
      <c r="B32" s="5">
        <v>1</v>
      </c>
      <c r="C32" s="17" t="s">
        <v>129</v>
      </c>
      <c r="D32" s="5">
        <v>1754498</v>
      </c>
      <c r="E32" s="5">
        <v>2487745669</v>
      </c>
      <c r="F32" s="5">
        <v>7239787</v>
      </c>
      <c r="G32" s="8" t="s">
        <v>235</v>
      </c>
      <c r="H32" s="11" t="s">
        <v>70</v>
      </c>
      <c r="I32" s="11" t="s">
        <v>420</v>
      </c>
      <c r="J32" s="5" t="s">
        <v>11</v>
      </c>
      <c r="K32" s="5">
        <v>1</v>
      </c>
      <c r="L32" s="5" t="s">
        <v>12</v>
      </c>
      <c r="M32" s="5" t="s">
        <v>217</v>
      </c>
      <c r="N32" s="27"/>
    </row>
    <row r="33" spans="1:14" s="7" customFormat="1" x14ac:dyDescent="0.35">
      <c r="A33" s="19">
        <f t="shared" si="2"/>
        <v>28</v>
      </c>
      <c r="B33" s="29">
        <v>1</v>
      </c>
      <c r="C33" s="12" t="s">
        <v>400</v>
      </c>
      <c r="D33" s="11">
        <v>1755976</v>
      </c>
      <c r="E33" s="11">
        <v>2588282786</v>
      </c>
      <c r="F33" s="11">
        <v>8719214</v>
      </c>
      <c r="G33" s="12" t="s">
        <v>166</v>
      </c>
      <c r="H33" s="11" t="s">
        <v>13</v>
      </c>
      <c r="I33" s="11" t="s">
        <v>419</v>
      </c>
      <c r="J33" s="11" t="s">
        <v>11</v>
      </c>
      <c r="K33" s="11">
        <v>1</v>
      </c>
      <c r="L33" s="11" t="s">
        <v>12</v>
      </c>
      <c r="M33" s="11" t="s">
        <v>216</v>
      </c>
      <c r="N33" s="28"/>
    </row>
    <row r="34" spans="1:14" s="7" customFormat="1" x14ac:dyDescent="0.35">
      <c r="A34" s="19">
        <f t="shared" si="2"/>
        <v>29</v>
      </c>
      <c r="B34" s="76">
        <v>1</v>
      </c>
      <c r="C34" s="78" t="s">
        <v>219</v>
      </c>
      <c r="D34" s="76"/>
      <c r="E34" s="76"/>
      <c r="F34" s="76"/>
      <c r="G34" s="77" t="s">
        <v>52</v>
      </c>
      <c r="H34" s="11"/>
      <c r="I34" s="275"/>
      <c r="J34" s="76"/>
      <c r="K34" s="76"/>
      <c r="L34" s="76"/>
      <c r="M34" s="76"/>
      <c r="N34" s="79"/>
    </row>
    <row r="35" spans="1:14" s="9" customFormat="1" x14ac:dyDescent="0.35">
      <c r="A35" s="19">
        <f t="shared" si="2"/>
        <v>30</v>
      </c>
      <c r="B35" s="5">
        <v>1</v>
      </c>
      <c r="C35" s="38" t="s">
        <v>22</v>
      </c>
      <c r="D35" s="5">
        <v>1756012</v>
      </c>
      <c r="E35" s="20">
        <v>2593671858</v>
      </c>
      <c r="F35" s="90">
        <v>8339079</v>
      </c>
      <c r="G35" s="21" t="s">
        <v>167</v>
      </c>
      <c r="H35" s="11" t="s">
        <v>70</v>
      </c>
      <c r="I35" s="11" t="s">
        <v>420</v>
      </c>
      <c r="J35" s="34" t="s">
        <v>11</v>
      </c>
      <c r="K35" s="20">
        <v>1</v>
      </c>
      <c r="L35" s="20" t="s">
        <v>12</v>
      </c>
      <c r="M35" s="20" t="s">
        <v>216</v>
      </c>
      <c r="N35" s="42"/>
    </row>
    <row r="36" spans="1:14" s="9" customFormat="1" x14ac:dyDescent="0.35">
      <c r="A36" s="19">
        <f t="shared" si="2"/>
        <v>31</v>
      </c>
      <c r="B36" s="5">
        <v>1</v>
      </c>
      <c r="C36" s="38" t="s">
        <v>82</v>
      </c>
      <c r="D36" s="5">
        <v>1756556</v>
      </c>
      <c r="E36" s="5"/>
      <c r="F36" s="5"/>
      <c r="G36" s="8" t="s">
        <v>247</v>
      </c>
      <c r="H36" s="11" t="s">
        <v>13</v>
      </c>
      <c r="I36" s="11" t="s">
        <v>419</v>
      </c>
      <c r="J36" s="5" t="s">
        <v>11</v>
      </c>
      <c r="K36" s="5">
        <v>1</v>
      </c>
      <c r="L36" s="5" t="s">
        <v>12</v>
      </c>
      <c r="M36" s="5" t="s">
        <v>216</v>
      </c>
      <c r="N36" s="42"/>
    </row>
    <row r="37" spans="1:14" s="9" customFormat="1" x14ac:dyDescent="0.35">
      <c r="A37" s="19">
        <f t="shared" si="2"/>
        <v>32</v>
      </c>
      <c r="B37" s="76">
        <v>1</v>
      </c>
      <c r="C37" s="78" t="s">
        <v>109</v>
      </c>
      <c r="D37" s="76"/>
      <c r="E37" s="76"/>
      <c r="F37" s="76"/>
      <c r="G37" s="77" t="s">
        <v>52</v>
      </c>
      <c r="H37" s="11"/>
      <c r="I37" s="275"/>
      <c r="J37" s="76"/>
      <c r="K37" s="76"/>
      <c r="L37" s="76"/>
      <c r="M37" s="76" t="s">
        <v>216</v>
      </c>
      <c r="N37" s="79"/>
    </row>
    <row r="38" spans="1:14" s="9" customFormat="1" x14ac:dyDescent="0.35">
      <c r="A38" s="19">
        <f t="shared" si="2"/>
        <v>33</v>
      </c>
      <c r="B38" s="5">
        <v>1</v>
      </c>
      <c r="C38" s="8" t="s">
        <v>23</v>
      </c>
      <c r="D38" s="5">
        <v>1756316</v>
      </c>
      <c r="E38" s="5">
        <v>2608038382</v>
      </c>
      <c r="F38" s="5">
        <v>7301272</v>
      </c>
      <c r="G38" s="278" t="s">
        <v>131</v>
      </c>
      <c r="H38" s="11" t="s">
        <v>13</v>
      </c>
      <c r="I38" s="11" t="s">
        <v>419</v>
      </c>
      <c r="J38" s="5" t="s">
        <v>11</v>
      </c>
      <c r="K38" s="5">
        <v>1</v>
      </c>
      <c r="L38" s="5" t="s">
        <v>80</v>
      </c>
      <c r="M38" s="5" t="s">
        <v>216</v>
      </c>
      <c r="N38" s="48"/>
    </row>
    <row r="39" spans="1:14" s="9" customFormat="1" x14ac:dyDescent="0.35">
      <c r="A39" s="19">
        <f t="shared" si="2"/>
        <v>34</v>
      </c>
      <c r="B39" s="5">
        <v>1</v>
      </c>
      <c r="C39" s="8" t="s">
        <v>106</v>
      </c>
      <c r="D39" s="5">
        <v>1756561</v>
      </c>
      <c r="E39" s="5">
        <v>2640172025</v>
      </c>
      <c r="F39" s="5"/>
      <c r="G39" s="8" t="s">
        <v>249</v>
      </c>
      <c r="H39" s="11" t="s">
        <v>13</v>
      </c>
      <c r="I39" s="11" t="s">
        <v>419</v>
      </c>
      <c r="J39" s="5" t="s">
        <v>11</v>
      </c>
      <c r="K39" s="5">
        <v>1</v>
      </c>
      <c r="L39" s="5" t="s">
        <v>12</v>
      </c>
      <c r="M39" s="5" t="s">
        <v>216</v>
      </c>
      <c r="N39" s="27"/>
    </row>
    <row r="40" spans="1:14" s="9" customFormat="1" x14ac:dyDescent="0.35">
      <c r="A40" s="19">
        <f t="shared" si="2"/>
        <v>35</v>
      </c>
      <c r="B40" s="5">
        <v>1</v>
      </c>
      <c r="C40" s="8" t="s">
        <v>98</v>
      </c>
      <c r="D40" s="5">
        <v>1756086</v>
      </c>
      <c r="E40" s="20">
        <v>2593903830</v>
      </c>
      <c r="F40" s="5">
        <v>8745674</v>
      </c>
      <c r="G40" s="21" t="s">
        <v>168</v>
      </c>
      <c r="H40" s="11" t="s">
        <v>13</v>
      </c>
      <c r="I40" s="11" t="s">
        <v>419</v>
      </c>
      <c r="J40" s="34" t="s">
        <v>11</v>
      </c>
      <c r="K40" s="20">
        <v>1</v>
      </c>
      <c r="L40" s="20" t="s">
        <v>12</v>
      </c>
      <c r="M40" s="20" t="s">
        <v>216</v>
      </c>
      <c r="N40" s="27"/>
    </row>
    <row r="41" spans="1:14" s="9" customFormat="1" x14ac:dyDescent="0.35">
      <c r="A41" s="19">
        <f t="shared" si="2"/>
        <v>36</v>
      </c>
      <c r="B41" s="5">
        <v>1</v>
      </c>
      <c r="C41" s="8" t="s">
        <v>99</v>
      </c>
      <c r="D41" s="5">
        <v>1756064</v>
      </c>
      <c r="E41" s="5">
        <v>2593672617</v>
      </c>
      <c r="F41" s="5">
        <v>8745706</v>
      </c>
      <c r="G41" s="21" t="s">
        <v>169</v>
      </c>
      <c r="H41" s="11" t="s">
        <v>13</v>
      </c>
      <c r="I41" s="11" t="s">
        <v>419</v>
      </c>
      <c r="J41" s="34" t="s">
        <v>11</v>
      </c>
      <c r="K41" s="20">
        <v>1</v>
      </c>
      <c r="L41" s="20" t="s">
        <v>12</v>
      </c>
      <c r="M41" s="20" t="s">
        <v>217</v>
      </c>
      <c r="N41" s="27"/>
    </row>
    <row r="42" spans="1:14" s="9" customFormat="1" x14ac:dyDescent="0.35">
      <c r="A42" s="19">
        <f t="shared" si="2"/>
        <v>37</v>
      </c>
      <c r="B42" s="5">
        <v>1</v>
      </c>
      <c r="C42" s="8" t="s">
        <v>100</v>
      </c>
      <c r="D42" s="5">
        <v>1756066</v>
      </c>
      <c r="E42" s="5">
        <v>2593672674</v>
      </c>
      <c r="F42" s="5">
        <v>8745713</v>
      </c>
      <c r="G42" s="62" t="s">
        <v>170</v>
      </c>
      <c r="H42" s="11" t="s">
        <v>13</v>
      </c>
      <c r="I42" s="11" t="s">
        <v>419</v>
      </c>
      <c r="J42" s="34" t="s">
        <v>11</v>
      </c>
      <c r="K42" s="20">
        <v>1</v>
      </c>
      <c r="L42" s="20" t="s">
        <v>12</v>
      </c>
      <c r="M42" s="20" t="s">
        <v>217</v>
      </c>
      <c r="N42" s="27"/>
    </row>
    <row r="43" spans="1:14" s="9" customFormat="1" x14ac:dyDescent="0.35">
      <c r="A43" s="19">
        <f t="shared" si="2"/>
        <v>38</v>
      </c>
      <c r="B43" s="5">
        <v>1</v>
      </c>
      <c r="C43" s="8" t="s">
        <v>24</v>
      </c>
      <c r="D43" s="5">
        <v>1756065</v>
      </c>
      <c r="E43" s="5">
        <v>2593672641</v>
      </c>
      <c r="F43" s="5">
        <v>7278940</v>
      </c>
      <c r="G43" s="21" t="s">
        <v>172</v>
      </c>
      <c r="H43" s="11" t="s">
        <v>13</v>
      </c>
      <c r="I43" s="11" t="s">
        <v>419</v>
      </c>
      <c r="J43" s="34" t="s">
        <v>11</v>
      </c>
      <c r="K43" s="20">
        <v>1</v>
      </c>
      <c r="L43" s="20" t="s">
        <v>12</v>
      </c>
      <c r="M43" s="20" t="s">
        <v>217</v>
      </c>
      <c r="N43" s="43"/>
    </row>
    <row r="44" spans="1:14" s="9" customFormat="1" x14ac:dyDescent="0.35">
      <c r="A44" s="19">
        <f t="shared" si="2"/>
        <v>39</v>
      </c>
      <c r="B44" s="5">
        <v>1</v>
      </c>
      <c r="C44" s="8" t="s">
        <v>101</v>
      </c>
      <c r="D44" s="5">
        <v>1756273</v>
      </c>
      <c r="E44" s="5">
        <v>2605358064</v>
      </c>
      <c r="F44" s="5">
        <v>7298793</v>
      </c>
      <c r="G44" s="278" t="s">
        <v>173</v>
      </c>
      <c r="H44" s="11" t="s">
        <v>70</v>
      </c>
      <c r="I44" s="11" t="s">
        <v>420</v>
      </c>
      <c r="J44" s="15" t="s">
        <v>11</v>
      </c>
      <c r="K44" s="5">
        <v>1</v>
      </c>
      <c r="L44" s="5" t="s">
        <v>75</v>
      </c>
      <c r="M44" s="5" t="s">
        <v>216</v>
      </c>
      <c r="N44" s="43"/>
    </row>
    <row r="45" spans="1:14" s="9" customFormat="1" x14ac:dyDescent="0.35">
      <c r="A45" s="19">
        <f t="shared" si="2"/>
        <v>40</v>
      </c>
      <c r="B45" s="76">
        <v>1</v>
      </c>
      <c r="C45" s="78" t="s">
        <v>228</v>
      </c>
      <c r="D45" s="76"/>
      <c r="E45" s="76"/>
      <c r="F45" s="76"/>
      <c r="G45" s="77" t="s">
        <v>52</v>
      </c>
      <c r="H45" s="11"/>
      <c r="I45" s="275"/>
      <c r="J45" s="76"/>
      <c r="K45" s="76"/>
      <c r="L45" s="76"/>
      <c r="M45" s="76" t="s">
        <v>216</v>
      </c>
      <c r="N45" s="79"/>
    </row>
    <row r="46" spans="1:14" s="9" customFormat="1" x14ac:dyDescent="0.35">
      <c r="A46" s="19">
        <f t="shared" si="2"/>
        <v>41</v>
      </c>
      <c r="B46" s="5">
        <v>1</v>
      </c>
      <c r="C46" s="8" t="s">
        <v>25</v>
      </c>
      <c r="D46" s="5">
        <v>1755983</v>
      </c>
      <c r="E46" s="20">
        <v>2590292195</v>
      </c>
      <c r="F46" s="90">
        <v>8336386</v>
      </c>
      <c r="G46" s="21" t="s">
        <v>171</v>
      </c>
      <c r="H46" s="11" t="s">
        <v>70</v>
      </c>
      <c r="I46" s="11" t="s">
        <v>420</v>
      </c>
      <c r="J46" s="34" t="s">
        <v>11</v>
      </c>
      <c r="K46" s="15">
        <v>1</v>
      </c>
      <c r="L46" s="20" t="s">
        <v>12</v>
      </c>
      <c r="M46" s="20" t="s">
        <v>217</v>
      </c>
      <c r="N46" s="63"/>
    </row>
    <row r="47" spans="1:14" s="9" customFormat="1" x14ac:dyDescent="0.35">
      <c r="A47" s="19">
        <f t="shared" si="2"/>
        <v>42</v>
      </c>
      <c r="B47" s="5">
        <v>1</v>
      </c>
      <c r="C47" s="8" t="s">
        <v>26</v>
      </c>
      <c r="D47" s="5">
        <v>1755555</v>
      </c>
      <c r="E47" s="5">
        <v>2562388344</v>
      </c>
      <c r="F47" s="5">
        <v>8666271</v>
      </c>
      <c r="G47" s="14" t="s">
        <v>132</v>
      </c>
      <c r="H47" s="11" t="s">
        <v>13</v>
      </c>
      <c r="I47" s="11" t="s">
        <v>419</v>
      </c>
      <c r="J47" s="5" t="s">
        <v>11</v>
      </c>
      <c r="K47" s="15">
        <v>1</v>
      </c>
      <c r="L47" s="5" t="s">
        <v>12</v>
      </c>
      <c r="M47" s="5" t="s">
        <v>217</v>
      </c>
      <c r="N47" s="89"/>
    </row>
    <row r="48" spans="1:14" s="9" customFormat="1" x14ac:dyDescent="0.35">
      <c r="A48" s="19">
        <f t="shared" si="2"/>
        <v>43</v>
      </c>
      <c r="B48" s="5">
        <v>1</v>
      </c>
      <c r="C48" s="8" t="s">
        <v>110</v>
      </c>
      <c r="D48" s="5">
        <v>1753240</v>
      </c>
      <c r="E48" s="5">
        <v>2366435606</v>
      </c>
      <c r="F48" s="5"/>
      <c r="G48" s="14" t="s">
        <v>250</v>
      </c>
      <c r="H48" s="11" t="s">
        <v>39</v>
      </c>
      <c r="I48" s="11" t="s">
        <v>423</v>
      </c>
      <c r="J48" s="5" t="s">
        <v>11</v>
      </c>
      <c r="K48" s="15">
        <v>1</v>
      </c>
      <c r="L48" s="5" t="s">
        <v>12</v>
      </c>
      <c r="M48" s="5" t="s">
        <v>216</v>
      </c>
      <c r="N48" s="89"/>
    </row>
    <row r="49" spans="1:14" s="16" customFormat="1" x14ac:dyDescent="0.35">
      <c r="A49" s="19">
        <f t="shared" si="2"/>
        <v>44</v>
      </c>
      <c r="B49" s="26"/>
      <c r="C49" s="25" t="s">
        <v>232</v>
      </c>
      <c r="D49" s="24">
        <v>9604373</v>
      </c>
      <c r="E49" s="24">
        <v>2619260967</v>
      </c>
      <c r="F49" s="24">
        <v>8689310</v>
      </c>
      <c r="G49" s="123" t="s">
        <v>229</v>
      </c>
      <c r="H49" s="24" t="s">
        <v>58</v>
      </c>
      <c r="I49" s="24" t="s">
        <v>422</v>
      </c>
      <c r="J49" s="26" t="s">
        <v>107</v>
      </c>
      <c r="K49" s="24">
        <v>1</v>
      </c>
      <c r="L49" s="24" t="s">
        <v>12</v>
      </c>
      <c r="M49" s="24" t="s">
        <v>217</v>
      </c>
      <c r="N49" s="139" t="s">
        <v>258</v>
      </c>
    </row>
    <row r="50" spans="1:14" s="2" customFormat="1" x14ac:dyDescent="0.35">
      <c r="A50" s="3" t="s">
        <v>27</v>
      </c>
      <c r="B50" s="4">
        <f>SUM(B51:B109)</f>
        <v>59</v>
      </c>
      <c r="C50" s="86" t="s">
        <v>28</v>
      </c>
      <c r="D50" s="5"/>
      <c r="E50" s="5"/>
      <c r="F50" s="5"/>
      <c r="G50" s="87"/>
      <c r="H50" s="11"/>
      <c r="I50" s="11"/>
      <c r="J50" s="87"/>
      <c r="K50" s="80">
        <f>SUM(K51:K109)</f>
        <v>56</v>
      </c>
      <c r="L50" s="80"/>
      <c r="M50" s="80"/>
      <c r="N50" s="88"/>
    </row>
    <row r="51" spans="1:14" s="9" customFormat="1" x14ac:dyDescent="0.35">
      <c r="A51" s="19">
        <f>A49+1</f>
        <v>45</v>
      </c>
      <c r="B51" s="5">
        <v>1</v>
      </c>
      <c r="C51" s="8" t="s">
        <v>29</v>
      </c>
      <c r="D51" s="5">
        <v>1756290</v>
      </c>
      <c r="E51" s="5">
        <v>2607344104</v>
      </c>
      <c r="F51" s="5">
        <v>7301263</v>
      </c>
      <c r="G51" s="8" t="s">
        <v>133</v>
      </c>
      <c r="H51" s="11" t="s">
        <v>13</v>
      </c>
      <c r="I51" s="11" t="s">
        <v>419</v>
      </c>
      <c r="J51" s="5" t="s">
        <v>11</v>
      </c>
      <c r="K51" s="5">
        <v>1</v>
      </c>
      <c r="L51" s="5" t="s">
        <v>12</v>
      </c>
      <c r="M51" s="5" t="s">
        <v>216</v>
      </c>
      <c r="N51" s="89"/>
    </row>
    <row r="52" spans="1:14" s="9" customFormat="1" x14ac:dyDescent="0.35">
      <c r="A52" s="19">
        <f>A51+1</f>
        <v>46</v>
      </c>
      <c r="B52" s="5">
        <v>1</v>
      </c>
      <c r="C52" s="38" t="s">
        <v>202</v>
      </c>
      <c r="D52" s="5">
        <v>1756127</v>
      </c>
      <c r="E52" s="5">
        <v>2597990585</v>
      </c>
      <c r="F52" s="5">
        <v>7271481</v>
      </c>
      <c r="G52" s="8" t="s">
        <v>403</v>
      </c>
      <c r="H52" s="11" t="s">
        <v>13</v>
      </c>
      <c r="I52" s="11" t="s">
        <v>419</v>
      </c>
      <c r="J52" s="5" t="s">
        <v>11</v>
      </c>
      <c r="K52" s="111">
        <v>1</v>
      </c>
      <c r="L52" s="20" t="s">
        <v>12</v>
      </c>
      <c r="M52" s="20" t="s">
        <v>217</v>
      </c>
      <c r="N52" s="88" t="s">
        <v>404</v>
      </c>
    </row>
    <row r="53" spans="1:14" s="9" customFormat="1" x14ac:dyDescent="0.35">
      <c r="A53" s="66">
        <f t="shared" ref="A53:A109" si="3">A52+1</f>
        <v>47</v>
      </c>
      <c r="B53" s="11">
        <v>1</v>
      </c>
      <c r="C53" s="105" t="s">
        <v>83</v>
      </c>
      <c r="D53" s="11">
        <v>1756554</v>
      </c>
      <c r="E53" s="11">
        <v>2638027405</v>
      </c>
      <c r="F53" s="11"/>
      <c r="G53" s="12" t="s">
        <v>246</v>
      </c>
      <c r="H53" s="11" t="s">
        <v>39</v>
      </c>
      <c r="I53" s="11" t="s">
        <v>423</v>
      </c>
      <c r="J53" s="11" t="s">
        <v>11</v>
      </c>
      <c r="K53" s="11">
        <v>1</v>
      </c>
      <c r="L53" s="11" t="s">
        <v>12</v>
      </c>
      <c r="M53" s="11" t="s">
        <v>216</v>
      </c>
      <c r="N53" s="28"/>
    </row>
    <row r="54" spans="1:14" s="9" customFormat="1" x14ac:dyDescent="0.35">
      <c r="A54" s="66">
        <f t="shared" si="3"/>
        <v>48</v>
      </c>
      <c r="B54" s="11">
        <v>1</v>
      </c>
      <c r="C54" s="105" t="s">
        <v>260</v>
      </c>
      <c r="D54" s="11">
        <v>1756571</v>
      </c>
      <c r="E54" s="5">
        <v>2640172280</v>
      </c>
      <c r="F54" s="11"/>
      <c r="G54" s="12" t="s">
        <v>259</v>
      </c>
      <c r="H54" s="11" t="s">
        <v>39</v>
      </c>
      <c r="I54" s="11" t="s">
        <v>423</v>
      </c>
      <c r="J54" s="11" t="s">
        <v>11</v>
      </c>
      <c r="K54" s="11">
        <v>1</v>
      </c>
      <c r="L54" s="11" t="s">
        <v>75</v>
      </c>
      <c r="M54" s="11" t="s">
        <v>216</v>
      </c>
      <c r="N54" s="28"/>
    </row>
    <row r="55" spans="1:14" s="9" customFormat="1" x14ac:dyDescent="0.35">
      <c r="A55" s="66">
        <f t="shared" si="3"/>
        <v>49</v>
      </c>
      <c r="B55" s="5">
        <v>1</v>
      </c>
      <c r="C55" s="8" t="s">
        <v>30</v>
      </c>
      <c r="D55" s="5">
        <v>1755813</v>
      </c>
      <c r="E55" s="5">
        <v>2574510166</v>
      </c>
      <c r="F55" s="5">
        <v>7291138</v>
      </c>
      <c r="G55" s="8" t="s">
        <v>134</v>
      </c>
      <c r="H55" s="11" t="s">
        <v>13</v>
      </c>
      <c r="I55" s="11" t="s">
        <v>419</v>
      </c>
      <c r="J55" s="5" t="s">
        <v>11</v>
      </c>
      <c r="K55" s="5">
        <v>1</v>
      </c>
      <c r="L55" s="5" t="s">
        <v>12</v>
      </c>
      <c r="M55" s="5" t="s">
        <v>216</v>
      </c>
      <c r="N55" s="43"/>
    </row>
    <row r="56" spans="1:14" s="9" customFormat="1" x14ac:dyDescent="0.35">
      <c r="A56" s="66">
        <f t="shared" si="3"/>
        <v>50</v>
      </c>
      <c r="B56" s="11">
        <v>1</v>
      </c>
      <c r="C56" s="12" t="s">
        <v>111</v>
      </c>
      <c r="D56" s="11">
        <v>1755671</v>
      </c>
      <c r="E56" s="11">
        <v>2567947730</v>
      </c>
      <c r="F56" s="11">
        <v>8308948</v>
      </c>
      <c r="G56" s="12" t="s">
        <v>135</v>
      </c>
      <c r="H56" s="11" t="s">
        <v>13</v>
      </c>
      <c r="I56" s="11" t="s">
        <v>419</v>
      </c>
      <c r="J56" s="11" t="s">
        <v>11</v>
      </c>
      <c r="K56" s="11">
        <v>1</v>
      </c>
      <c r="L56" s="11" t="s">
        <v>12</v>
      </c>
      <c r="M56" s="5" t="s">
        <v>216</v>
      </c>
      <c r="N56" s="51"/>
    </row>
    <row r="57" spans="1:14" s="9" customFormat="1" x14ac:dyDescent="0.35">
      <c r="A57" s="66">
        <f t="shared" si="3"/>
        <v>51</v>
      </c>
      <c r="B57" s="5">
        <v>1</v>
      </c>
      <c r="C57" s="8" t="s">
        <v>214</v>
      </c>
      <c r="D57" s="5">
        <v>1755818</v>
      </c>
      <c r="E57" s="5">
        <v>1121934473</v>
      </c>
      <c r="F57" s="5">
        <v>8714180</v>
      </c>
      <c r="G57" s="8" t="s">
        <v>136</v>
      </c>
      <c r="H57" s="11" t="s">
        <v>10</v>
      </c>
      <c r="I57" s="11" t="s">
        <v>418</v>
      </c>
      <c r="J57" s="5" t="s">
        <v>11</v>
      </c>
      <c r="K57" s="5">
        <v>1</v>
      </c>
      <c r="L57" s="5" t="s">
        <v>12</v>
      </c>
      <c r="M57" s="5" t="s">
        <v>216</v>
      </c>
      <c r="N57" s="43"/>
    </row>
    <row r="58" spans="1:14" s="9" customFormat="1" x14ac:dyDescent="0.35">
      <c r="A58" s="66">
        <f t="shared" si="3"/>
        <v>52</v>
      </c>
      <c r="B58" s="5">
        <v>1</v>
      </c>
      <c r="C58" s="8" t="s">
        <v>220</v>
      </c>
      <c r="D58" s="5">
        <v>1756508</v>
      </c>
      <c r="E58" s="5">
        <v>1103140271</v>
      </c>
      <c r="F58" s="5"/>
      <c r="G58" s="8" t="s">
        <v>233</v>
      </c>
      <c r="H58" s="11" t="s">
        <v>10</v>
      </c>
      <c r="I58" s="11" t="s">
        <v>418</v>
      </c>
      <c r="J58" s="6" t="s">
        <v>11</v>
      </c>
      <c r="K58" s="5">
        <v>1</v>
      </c>
      <c r="L58" s="5" t="s">
        <v>12</v>
      </c>
      <c r="M58" s="5" t="s">
        <v>216</v>
      </c>
      <c r="N58" s="43"/>
    </row>
    <row r="59" spans="1:14" s="9" customFormat="1" x14ac:dyDescent="0.35">
      <c r="A59" s="19">
        <f t="shared" si="3"/>
        <v>53</v>
      </c>
      <c r="B59" s="5">
        <v>1</v>
      </c>
      <c r="C59" s="8" t="s">
        <v>31</v>
      </c>
      <c r="D59" s="5">
        <v>1755836</v>
      </c>
      <c r="E59" s="5">
        <v>2575885351</v>
      </c>
      <c r="F59" s="5">
        <v>8714161</v>
      </c>
      <c r="G59" s="8" t="s">
        <v>137</v>
      </c>
      <c r="H59" s="11" t="s">
        <v>13</v>
      </c>
      <c r="I59" s="11" t="s">
        <v>419</v>
      </c>
      <c r="J59" s="5" t="s">
        <v>11</v>
      </c>
      <c r="K59" s="5">
        <v>1</v>
      </c>
      <c r="L59" s="5" t="s">
        <v>12</v>
      </c>
      <c r="M59" s="5" t="s">
        <v>217</v>
      </c>
      <c r="N59" s="27"/>
    </row>
    <row r="60" spans="1:14" s="9" customFormat="1" x14ac:dyDescent="0.35">
      <c r="A60" s="19">
        <f t="shared" si="3"/>
        <v>54</v>
      </c>
      <c r="B60" s="5">
        <v>1</v>
      </c>
      <c r="C60" s="8" t="s">
        <v>84</v>
      </c>
      <c r="D60" s="5">
        <v>1755729</v>
      </c>
      <c r="E60" s="5">
        <v>2570382172</v>
      </c>
      <c r="F60" s="5">
        <v>8714165</v>
      </c>
      <c r="G60" s="8" t="s">
        <v>138</v>
      </c>
      <c r="H60" s="11" t="s">
        <v>13</v>
      </c>
      <c r="I60" s="11" t="s">
        <v>419</v>
      </c>
      <c r="J60" s="5" t="s">
        <v>11</v>
      </c>
      <c r="K60" s="5">
        <v>1</v>
      </c>
      <c r="L60" s="5" t="s">
        <v>12</v>
      </c>
      <c r="M60" s="5" t="s">
        <v>216</v>
      </c>
      <c r="N60" s="51"/>
    </row>
    <row r="61" spans="1:14" s="9" customFormat="1" x14ac:dyDescent="0.35">
      <c r="A61" s="125">
        <f t="shared" si="3"/>
        <v>55</v>
      </c>
      <c r="B61" s="65">
        <v>1</v>
      </c>
      <c r="C61" s="143" t="s">
        <v>85</v>
      </c>
      <c r="D61" s="136"/>
      <c r="E61" s="136"/>
      <c r="F61" s="136"/>
      <c r="G61" s="136" t="s">
        <v>52</v>
      </c>
      <c r="H61" s="11"/>
      <c r="I61" s="275"/>
      <c r="J61" s="136"/>
      <c r="K61" s="136"/>
      <c r="L61" s="136"/>
      <c r="M61" s="136"/>
      <c r="N61" s="136"/>
    </row>
    <row r="62" spans="1:14" s="16" customFormat="1" x14ac:dyDescent="0.35">
      <c r="A62" s="19">
        <f t="shared" si="3"/>
        <v>56</v>
      </c>
      <c r="B62" s="5">
        <v>1</v>
      </c>
      <c r="C62" s="22" t="s">
        <v>32</v>
      </c>
      <c r="D62" s="5">
        <v>1755669</v>
      </c>
      <c r="E62" s="5">
        <v>2567947466</v>
      </c>
      <c r="F62" s="5">
        <v>8696286</v>
      </c>
      <c r="G62" s="8" t="s">
        <v>139</v>
      </c>
      <c r="H62" s="11" t="s">
        <v>13</v>
      </c>
      <c r="I62" s="11" t="s">
        <v>419</v>
      </c>
      <c r="J62" s="5" t="s">
        <v>11</v>
      </c>
      <c r="K62" s="5">
        <v>1</v>
      </c>
      <c r="L62" s="5" t="s">
        <v>12</v>
      </c>
      <c r="M62" s="5" t="s">
        <v>216</v>
      </c>
      <c r="N62" s="89"/>
    </row>
    <row r="63" spans="1:14" s="16" customFormat="1" x14ac:dyDescent="0.35">
      <c r="A63" s="19">
        <f t="shared" si="3"/>
        <v>57</v>
      </c>
      <c r="B63" s="5">
        <v>1</v>
      </c>
      <c r="C63" s="22" t="s">
        <v>33</v>
      </c>
      <c r="D63" s="5">
        <v>1755701</v>
      </c>
      <c r="E63" s="5">
        <v>2569925437</v>
      </c>
      <c r="F63" s="5">
        <v>8696271</v>
      </c>
      <c r="G63" s="278" t="s">
        <v>140</v>
      </c>
      <c r="H63" s="11" t="s">
        <v>13</v>
      </c>
      <c r="I63" s="11" t="s">
        <v>419</v>
      </c>
      <c r="J63" s="5" t="s">
        <v>11</v>
      </c>
      <c r="K63" s="5">
        <v>1</v>
      </c>
      <c r="L63" s="5" t="s">
        <v>12</v>
      </c>
      <c r="M63" s="5" t="s">
        <v>216</v>
      </c>
      <c r="N63" s="27"/>
    </row>
    <row r="64" spans="1:14" s="16" customFormat="1" x14ac:dyDescent="0.35">
      <c r="A64" s="19">
        <f t="shared" si="3"/>
        <v>58</v>
      </c>
      <c r="B64" s="5">
        <v>1</v>
      </c>
      <c r="C64" s="22" t="s">
        <v>34</v>
      </c>
      <c r="D64" s="5">
        <v>1755681</v>
      </c>
      <c r="E64" s="5">
        <v>2569617968</v>
      </c>
      <c r="F64" s="5">
        <v>8714176</v>
      </c>
      <c r="G64" s="8" t="s">
        <v>141</v>
      </c>
      <c r="H64" s="11" t="s">
        <v>13</v>
      </c>
      <c r="I64" s="11" t="s">
        <v>419</v>
      </c>
      <c r="J64" s="6" t="s">
        <v>11</v>
      </c>
      <c r="K64" s="5">
        <v>1</v>
      </c>
      <c r="L64" s="5" t="s">
        <v>12</v>
      </c>
      <c r="M64" s="5" t="s">
        <v>216</v>
      </c>
      <c r="N64" s="89"/>
    </row>
    <row r="65" spans="1:14" s="9" customFormat="1" x14ac:dyDescent="0.35">
      <c r="A65" s="19">
        <f t="shared" si="3"/>
        <v>59</v>
      </c>
      <c r="B65" s="5">
        <v>1</v>
      </c>
      <c r="C65" s="22" t="s">
        <v>35</v>
      </c>
      <c r="D65" s="5">
        <v>1755736</v>
      </c>
      <c r="E65" s="5">
        <v>2571806534</v>
      </c>
      <c r="F65" s="5">
        <v>8714166</v>
      </c>
      <c r="G65" s="8" t="s">
        <v>142</v>
      </c>
      <c r="H65" s="11" t="s">
        <v>41</v>
      </c>
      <c r="I65" s="11" t="s">
        <v>421</v>
      </c>
      <c r="J65" s="5" t="s">
        <v>11</v>
      </c>
      <c r="K65" s="5">
        <v>1</v>
      </c>
      <c r="L65" s="5" t="s">
        <v>12</v>
      </c>
      <c r="M65" s="5" t="s">
        <v>216</v>
      </c>
      <c r="N65" s="89"/>
    </row>
    <row r="66" spans="1:14" s="9" customFormat="1" x14ac:dyDescent="0.35">
      <c r="A66" s="19">
        <f t="shared" si="3"/>
        <v>60</v>
      </c>
      <c r="B66" s="5">
        <v>1</v>
      </c>
      <c r="C66" s="22" t="s">
        <v>36</v>
      </c>
      <c r="D66" s="5">
        <v>1756132</v>
      </c>
      <c r="E66" s="5">
        <v>2597990759</v>
      </c>
      <c r="F66" s="5">
        <v>7271462</v>
      </c>
      <c r="G66" s="8" t="s">
        <v>143</v>
      </c>
      <c r="H66" s="11" t="s">
        <v>13</v>
      </c>
      <c r="I66" s="11" t="s">
        <v>419</v>
      </c>
      <c r="J66" s="5" t="s">
        <v>11</v>
      </c>
      <c r="K66" s="5">
        <v>1</v>
      </c>
      <c r="L66" s="5" t="s">
        <v>12</v>
      </c>
      <c r="M66" s="5" t="s">
        <v>216</v>
      </c>
      <c r="N66" s="27"/>
    </row>
    <row r="67" spans="1:14" s="9" customFormat="1" x14ac:dyDescent="0.35">
      <c r="A67" s="19">
        <f t="shared" si="3"/>
        <v>61</v>
      </c>
      <c r="B67" s="5">
        <v>1</v>
      </c>
      <c r="C67" s="22" t="s">
        <v>37</v>
      </c>
      <c r="D67" s="5">
        <v>1756133</v>
      </c>
      <c r="E67" s="5">
        <v>2597991583</v>
      </c>
      <c r="F67" s="5">
        <v>7271896</v>
      </c>
      <c r="G67" s="8" t="s">
        <v>144</v>
      </c>
      <c r="H67" s="11" t="s">
        <v>13</v>
      </c>
      <c r="I67" s="11" t="s">
        <v>419</v>
      </c>
      <c r="J67" s="5" t="s">
        <v>11</v>
      </c>
      <c r="K67" s="5">
        <v>1</v>
      </c>
      <c r="L67" s="5" t="s">
        <v>12</v>
      </c>
      <c r="M67" s="5" t="s">
        <v>216</v>
      </c>
      <c r="N67" s="27"/>
    </row>
    <row r="68" spans="1:14" s="9" customFormat="1" x14ac:dyDescent="0.35">
      <c r="A68" s="19">
        <f t="shared" si="3"/>
        <v>62</v>
      </c>
      <c r="B68" s="5">
        <v>1</v>
      </c>
      <c r="C68" s="22" t="s">
        <v>38</v>
      </c>
      <c r="D68" s="5">
        <v>1756342</v>
      </c>
      <c r="E68" s="39">
        <v>2609952110</v>
      </c>
      <c r="F68" s="39">
        <v>7306358</v>
      </c>
      <c r="G68" s="8" t="s">
        <v>192</v>
      </c>
      <c r="H68" s="11" t="s">
        <v>13</v>
      </c>
      <c r="I68" s="11" t="s">
        <v>419</v>
      </c>
      <c r="J68" s="6" t="s">
        <v>11</v>
      </c>
      <c r="K68" s="5">
        <v>1</v>
      </c>
      <c r="L68" s="5" t="s">
        <v>80</v>
      </c>
      <c r="M68" s="5" t="s">
        <v>216</v>
      </c>
      <c r="N68" s="43"/>
    </row>
    <row r="69" spans="1:14" s="9" customFormat="1" x14ac:dyDescent="0.35">
      <c r="A69" s="19">
        <f t="shared" si="3"/>
        <v>63</v>
      </c>
      <c r="B69" s="5">
        <v>1</v>
      </c>
      <c r="C69" s="22" t="s">
        <v>86</v>
      </c>
      <c r="D69" s="11">
        <v>1756365</v>
      </c>
      <c r="E69" s="39">
        <v>2611808185</v>
      </c>
      <c r="F69" s="41">
        <v>7306346</v>
      </c>
      <c r="G69" s="12" t="s">
        <v>199</v>
      </c>
      <c r="H69" s="11" t="s">
        <v>13</v>
      </c>
      <c r="I69" s="11" t="s">
        <v>419</v>
      </c>
      <c r="J69" s="11" t="s">
        <v>11</v>
      </c>
      <c r="K69" s="11">
        <v>1</v>
      </c>
      <c r="L69" s="5" t="s">
        <v>80</v>
      </c>
      <c r="M69" s="5" t="s">
        <v>216</v>
      </c>
      <c r="N69" s="28"/>
    </row>
    <row r="70" spans="1:14" s="9" customFormat="1" x14ac:dyDescent="0.35">
      <c r="A70" s="19">
        <f t="shared" si="3"/>
        <v>64</v>
      </c>
      <c r="B70" s="5">
        <v>1</v>
      </c>
      <c r="C70" s="22" t="s">
        <v>87</v>
      </c>
      <c r="D70" s="41">
        <v>1756395</v>
      </c>
      <c r="E70" s="39">
        <v>2613442397</v>
      </c>
      <c r="F70" s="41">
        <v>7306356</v>
      </c>
      <c r="G70" s="12" t="s">
        <v>193</v>
      </c>
      <c r="H70" s="11" t="s">
        <v>41</v>
      </c>
      <c r="I70" s="11" t="s">
        <v>421</v>
      </c>
      <c r="J70" s="11" t="s">
        <v>11</v>
      </c>
      <c r="K70" s="11">
        <v>1</v>
      </c>
      <c r="L70" s="5" t="s">
        <v>12</v>
      </c>
      <c r="M70" s="5" t="s">
        <v>216</v>
      </c>
      <c r="N70" s="28"/>
    </row>
    <row r="71" spans="1:14" s="9" customFormat="1" x14ac:dyDescent="0.35">
      <c r="A71" s="19">
        <f t="shared" si="3"/>
        <v>65</v>
      </c>
      <c r="B71" s="5">
        <v>1</v>
      </c>
      <c r="C71" s="22" t="s">
        <v>88</v>
      </c>
      <c r="D71" s="41">
        <v>1756396</v>
      </c>
      <c r="E71" s="39">
        <v>2613442496</v>
      </c>
      <c r="F71" s="41">
        <v>7306365</v>
      </c>
      <c r="G71" s="12" t="s">
        <v>201</v>
      </c>
      <c r="H71" s="11" t="s">
        <v>41</v>
      </c>
      <c r="I71" s="11" t="s">
        <v>421</v>
      </c>
      <c r="J71" s="11" t="s">
        <v>11</v>
      </c>
      <c r="K71" s="11">
        <v>1</v>
      </c>
      <c r="L71" s="5" t="s">
        <v>12</v>
      </c>
      <c r="M71" s="5" t="s">
        <v>216</v>
      </c>
      <c r="N71" s="28"/>
    </row>
    <row r="72" spans="1:14" s="9" customFormat="1" x14ac:dyDescent="0.35">
      <c r="A72" s="19">
        <f t="shared" si="3"/>
        <v>66</v>
      </c>
      <c r="B72" s="5">
        <v>1</v>
      </c>
      <c r="C72" s="22" t="s">
        <v>89</v>
      </c>
      <c r="D72" s="41">
        <v>1755771</v>
      </c>
      <c r="E72" s="39">
        <v>2572763908</v>
      </c>
      <c r="F72" s="41">
        <v>8714174</v>
      </c>
      <c r="G72" s="12" t="s">
        <v>208</v>
      </c>
      <c r="H72" s="11" t="s">
        <v>13</v>
      </c>
      <c r="I72" s="11" t="s">
        <v>419</v>
      </c>
      <c r="J72" s="11" t="s">
        <v>11</v>
      </c>
      <c r="K72" s="11">
        <v>1</v>
      </c>
      <c r="L72" s="5" t="s">
        <v>12</v>
      </c>
      <c r="M72" s="5" t="s">
        <v>216</v>
      </c>
      <c r="N72" s="28"/>
    </row>
    <row r="73" spans="1:14" s="9" customFormat="1" x14ac:dyDescent="0.35">
      <c r="A73" s="19">
        <f t="shared" si="3"/>
        <v>67</v>
      </c>
      <c r="B73" s="5">
        <v>1</v>
      </c>
      <c r="C73" s="22" t="s">
        <v>90</v>
      </c>
      <c r="D73" s="39">
        <v>1756202</v>
      </c>
      <c r="E73" s="39">
        <v>2601408053</v>
      </c>
      <c r="F73" s="129">
        <v>7291459</v>
      </c>
      <c r="G73" s="122" t="s">
        <v>226</v>
      </c>
      <c r="H73" s="11" t="s">
        <v>13</v>
      </c>
      <c r="I73" s="11" t="s">
        <v>419</v>
      </c>
      <c r="J73" s="5" t="s">
        <v>11</v>
      </c>
      <c r="K73" s="5">
        <v>1</v>
      </c>
      <c r="L73" s="5" t="s">
        <v>12</v>
      </c>
      <c r="M73" s="5" t="s">
        <v>216</v>
      </c>
      <c r="N73" s="142"/>
    </row>
    <row r="74" spans="1:14" s="9" customFormat="1" x14ac:dyDescent="0.35">
      <c r="A74" s="97">
        <f t="shared" si="3"/>
        <v>68</v>
      </c>
      <c r="B74" s="97">
        <v>1</v>
      </c>
      <c r="C74" s="143" t="s">
        <v>91</v>
      </c>
      <c r="D74" s="136"/>
      <c r="E74" s="136"/>
      <c r="F74" s="136"/>
      <c r="G74" s="136" t="s">
        <v>52</v>
      </c>
      <c r="H74" s="11"/>
      <c r="I74" s="275"/>
      <c r="J74" s="136"/>
      <c r="K74" s="136"/>
      <c r="L74" s="136"/>
      <c r="M74" s="136"/>
      <c r="N74" s="136"/>
    </row>
    <row r="75" spans="1:14" s="9" customFormat="1" x14ac:dyDescent="0.35">
      <c r="A75" s="97">
        <f t="shared" si="3"/>
        <v>69</v>
      </c>
      <c r="B75" s="97">
        <v>1</v>
      </c>
      <c r="C75" s="143" t="s">
        <v>227</v>
      </c>
      <c r="D75" s="135"/>
      <c r="E75" s="135"/>
      <c r="F75" s="135"/>
      <c r="G75" s="135" t="s">
        <v>230</v>
      </c>
      <c r="H75" s="11"/>
      <c r="I75" s="275"/>
      <c r="J75" s="137"/>
      <c r="K75" s="137"/>
      <c r="L75" s="137"/>
      <c r="M75" s="137"/>
      <c r="N75" s="135"/>
    </row>
    <row r="76" spans="1:14" s="9" customFormat="1" x14ac:dyDescent="0.35">
      <c r="A76" s="19">
        <f t="shared" si="3"/>
        <v>70</v>
      </c>
      <c r="B76" s="5">
        <v>1</v>
      </c>
      <c r="C76" s="105" t="s">
        <v>206</v>
      </c>
      <c r="D76" s="30">
        <v>1756405</v>
      </c>
      <c r="E76" s="39">
        <v>2581210412</v>
      </c>
      <c r="F76" s="41">
        <v>7306349</v>
      </c>
      <c r="G76" s="12" t="s">
        <v>191</v>
      </c>
      <c r="H76" s="11" t="s">
        <v>58</v>
      </c>
      <c r="I76" s="11" t="s">
        <v>422</v>
      </c>
      <c r="J76" s="11" t="s">
        <v>11</v>
      </c>
      <c r="K76" s="30">
        <v>1</v>
      </c>
      <c r="L76" s="30" t="s">
        <v>12</v>
      </c>
      <c r="M76" s="5" t="s">
        <v>216</v>
      </c>
      <c r="N76" s="119"/>
    </row>
    <row r="77" spans="1:14" s="9" customFormat="1" x14ac:dyDescent="0.35">
      <c r="A77" s="19">
        <f t="shared" si="3"/>
        <v>71</v>
      </c>
      <c r="B77" s="5">
        <v>1</v>
      </c>
      <c r="C77" s="38" t="s">
        <v>40</v>
      </c>
      <c r="D77" s="5">
        <v>1756000</v>
      </c>
      <c r="E77" s="39">
        <v>2591744368</v>
      </c>
      <c r="F77" s="41">
        <v>7271918</v>
      </c>
      <c r="G77" s="91" t="s">
        <v>174</v>
      </c>
      <c r="H77" s="11" t="s">
        <v>39</v>
      </c>
      <c r="I77" s="11" t="s">
        <v>423</v>
      </c>
      <c r="J77" s="6" t="s">
        <v>11</v>
      </c>
      <c r="K77" s="6">
        <v>1</v>
      </c>
      <c r="L77" s="20" t="s">
        <v>12</v>
      </c>
      <c r="M77" s="11" t="s">
        <v>217</v>
      </c>
      <c r="N77" s="27"/>
    </row>
    <row r="78" spans="1:14" s="9" customFormat="1" x14ac:dyDescent="0.35">
      <c r="A78" s="82">
        <f t="shared" si="3"/>
        <v>72</v>
      </c>
      <c r="B78" s="36">
        <v>1</v>
      </c>
      <c r="C78" s="104" t="s">
        <v>102</v>
      </c>
      <c r="D78" s="92">
        <v>9604360</v>
      </c>
      <c r="E78" s="99">
        <v>2593781723</v>
      </c>
      <c r="F78" s="99"/>
      <c r="G78" s="35" t="s">
        <v>326</v>
      </c>
      <c r="H78" s="11" t="s">
        <v>92</v>
      </c>
      <c r="I78" s="11"/>
      <c r="J78" s="36" t="s">
        <v>107</v>
      </c>
      <c r="K78" s="36">
        <v>1</v>
      </c>
      <c r="L78" s="36" t="s">
        <v>12</v>
      </c>
      <c r="M78" s="36" t="s">
        <v>216</v>
      </c>
      <c r="N78" s="43"/>
    </row>
    <row r="79" spans="1:14" s="9" customFormat="1" x14ac:dyDescent="0.35">
      <c r="A79" s="82">
        <f t="shared" si="3"/>
        <v>73</v>
      </c>
      <c r="B79" s="36">
        <v>1</v>
      </c>
      <c r="C79" s="104" t="s">
        <v>103</v>
      </c>
      <c r="D79" s="92">
        <v>9604302</v>
      </c>
      <c r="E79" s="99">
        <v>2562095386</v>
      </c>
      <c r="F79" s="99"/>
      <c r="G79" s="35" t="s">
        <v>176</v>
      </c>
      <c r="H79" s="11" t="s">
        <v>41</v>
      </c>
      <c r="I79" s="11" t="s">
        <v>421</v>
      </c>
      <c r="J79" s="36" t="s">
        <v>107</v>
      </c>
      <c r="K79" s="92">
        <v>1</v>
      </c>
      <c r="L79" s="92" t="s">
        <v>12</v>
      </c>
      <c r="M79" s="92" t="s">
        <v>216</v>
      </c>
      <c r="N79" s="43"/>
    </row>
    <row r="80" spans="1:14" s="9" customFormat="1" x14ac:dyDescent="0.35">
      <c r="A80" s="82">
        <f t="shared" si="3"/>
        <v>74</v>
      </c>
      <c r="B80" s="36">
        <v>1</v>
      </c>
      <c r="C80" s="104" t="s">
        <v>104</v>
      </c>
      <c r="D80" s="92">
        <v>9604303</v>
      </c>
      <c r="E80" s="99">
        <v>2579788015</v>
      </c>
      <c r="F80" s="99">
        <v>8720274</v>
      </c>
      <c r="G80" s="35" t="s">
        <v>177</v>
      </c>
      <c r="H80" s="11" t="s">
        <v>92</v>
      </c>
      <c r="I80" s="11" t="s">
        <v>424</v>
      </c>
      <c r="J80" s="75" t="s">
        <v>93</v>
      </c>
      <c r="K80" s="92">
        <v>1</v>
      </c>
      <c r="L80" s="92" t="s">
        <v>12</v>
      </c>
      <c r="M80" s="92" t="s">
        <v>217</v>
      </c>
      <c r="N80" s="43"/>
    </row>
    <row r="81" spans="1:14" s="9" customFormat="1" x14ac:dyDescent="0.35">
      <c r="A81" s="19">
        <f t="shared" si="3"/>
        <v>75</v>
      </c>
      <c r="B81" s="11">
        <v>1</v>
      </c>
      <c r="C81" s="49" t="s">
        <v>71</v>
      </c>
      <c r="D81" s="11">
        <v>1756361</v>
      </c>
      <c r="E81" s="11">
        <v>2611808078</v>
      </c>
      <c r="F81" s="258">
        <v>7306359</v>
      </c>
      <c r="G81" s="12" t="s">
        <v>200</v>
      </c>
      <c r="H81" s="11" t="s">
        <v>41</v>
      </c>
      <c r="I81" s="11" t="s">
        <v>421</v>
      </c>
      <c r="J81" s="11" t="s">
        <v>11</v>
      </c>
      <c r="K81" s="11">
        <v>1</v>
      </c>
      <c r="L81" s="11" t="s">
        <v>12</v>
      </c>
      <c r="M81" s="11" t="s">
        <v>217</v>
      </c>
      <c r="N81" s="28"/>
    </row>
    <row r="82" spans="1:14" s="9" customFormat="1" x14ac:dyDescent="0.35">
      <c r="A82" s="19">
        <f t="shared" si="3"/>
        <v>76</v>
      </c>
      <c r="B82" s="11">
        <v>1</v>
      </c>
      <c r="C82" s="49" t="s">
        <v>42</v>
      </c>
      <c r="D82" s="11">
        <v>1755932</v>
      </c>
      <c r="E82" s="11">
        <v>2583838095</v>
      </c>
      <c r="F82" s="258">
        <v>8712947</v>
      </c>
      <c r="G82" s="12" t="s">
        <v>185</v>
      </c>
      <c r="H82" s="11" t="s">
        <v>41</v>
      </c>
      <c r="I82" s="11" t="s">
        <v>421</v>
      </c>
      <c r="J82" s="11" t="s">
        <v>11</v>
      </c>
      <c r="K82" s="11">
        <v>1</v>
      </c>
      <c r="L82" s="11" t="s">
        <v>12</v>
      </c>
      <c r="M82" s="11" t="s">
        <v>217</v>
      </c>
      <c r="N82" s="28"/>
    </row>
    <row r="83" spans="1:14" s="9" customFormat="1" x14ac:dyDescent="0.35">
      <c r="A83" s="19">
        <f t="shared" si="3"/>
        <v>77</v>
      </c>
      <c r="B83" s="11">
        <v>1</v>
      </c>
      <c r="C83" s="49" t="s">
        <v>43</v>
      </c>
      <c r="D83" s="11">
        <v>1755737</v>
      </c>
      <c r="E83" s="11">
        <v>2571806609</v>
      </c>
      <c r="F83" s="11">
        <v>8714163</v>
      </c>
      <c r="G83" s="93" t="s">
        <v>183</v>
      </c>
      <c r="H83" s="11" t="s">
        <v>41</v>
      </c>
      <c r="I83" s="11" t="s">
        <v>421</v>
      </c>
      <c r="J83" s="11" t="s">
        <v>11</v>
      </c>
      <c r="K83" s="11">
        <v>1</v>
      </c>
      <c r="L83" s="11" t="s">
        <v>12</v>
      </c>
      <c r="M83" s="11" t="s">
        <v>217</v>
      </c>
      <c r="N83" s="28"/>
    </row>
    <row r="84" spans="1:14" s="9" customFormat="1" x14ac:dyDescent="0.35">
      <c r="A84" s="19">
        <f t="shared" si="3"/>
        <v>78</v>
      </c>
      <c r="B84" s="11">
        <v>1</v>
      </c>
      <c r="C84" s="49" t="s">
        <v>44</v>
      </c>
      <c r="D84" s="41">
        <v>1755931</v>
      </c>
      <c r="E84" s="11">
        <v>2583838020</v>
      </c>
      <c r="F84" s="11">
        <v>8712951</v>
      </c>
      <c r="G84" s="93" t="s">
        <v>184</v>
      </c>
      <c r="H84" s="11" t="s">
        <v>41</v>
      </c>
      <c r="I84" s="11" t="s">
        <v>421</v>
      </c>
      <c r="J84" s="11" t="s">
        <v>11</v>
      </c>
      <c r="K84" s="11">
        <v>1</v>
      </c>
      <c r="L84" s="11" t="s">
        <v>12</v>
      </c>
      <c r="M84" s="11" t="s">
        <v>217</v>
      </c>
      <c r="N84" s="28"/>
    </row>
    <row r="85" spans="1:14" s="16" customFormat="1" x14ac:dyDescent="0.35">
      <c r="A85" s="19">
        <f t="shared" si="3"/>
        <v>79</v>
      </c>
      <c r="B85" s="30">
        <v>1</v>
      </c>
      <c r="C85" s="49" t="s">
        <v>45</v>
      </c>
      <c r="D85" s="30">
        <v>1756040</v>
      </c>
      <c r="E85" s="132">
        <v>2593672393</v>
      </c>
      <c r="F85" s="30">
        <v>7282718</v>
      </c>
      <c r="G85" s="93" t="s">
        <v>178</v>
      </c>
      <c r="H85" s="11" t="s">
        <v>41</v>
      </c>
      <c r="I85" s="11" t="s">
        <v>421</v>
      </c>
      <c r="J85" s="30" t="s">
        <v>11</v>
      </c>
      <c r="K85" s="30">
        <v>1</v>
      </c>
      <c r="L85" s="30" t="s">
        <v>12</v>
      </c>
      <c r="M85" s="30" t="s">
        <v>217</v>
      </c>
      <c r="N85" s="133"/>
    </row>
    <row r="86" spans="1:14" s="9" customFormat="1" x14ac:dyDescent="0.35">
      <c r="A86" s="19">
        <f t="shared" si="3"/>
        <v>80</v>
      </c>
      <c r="B86" s="30">
        <v>1</v>
      </c>
      <c r="C86" s="49" t="s">
        <v>46</v>
      </c>
      <c r="D86" s="30">
        <v>1755739</v>
      </c>
      <c r="E86" s="30">
        <v>2571806666</v>
      </c>
      <c r="F86" s="30">
        <v>8719215</v>
      </c>
      <c r="G86" s="93" t="s">
        <v>146</v>
      </c>
      <c r="H86" s="11" t="s">
        <v>41</v>
      </c>
      <c r="I86" s="11" t="s">
        <v>421</v>
      </c>
      <c r="J86" s="30" t="s">
        <v>11</v>
      </c>
      <c r="K86" s="30">
        <v>1</v>
      </c>
      <c r="L86" s="30" t="s">
        <v>12</v>
      </c>
      <c r="M86" s="30" t="s">
        <v>216</v>
      </c>
      <c r="N86" s="131"/>
    </row>
    <row r="87" spans="1:14" s="9" customFormat="1" x14ac:dyDescent="0.35">
      <c r="A87" s="19">
        <f t="shared" si="3"/>
        <v>81</v>
      </c>
      <c r="B87" s="30">
        <v>1</v>
      </c>
      <c r="C87" s="49" t="s">
        <v>94</v>
      </c>
      <c r="D87" s="30">
        <v>1756044</v>
      </c>
      <c r="E87" s="132">
        <v>2593672518</v>
      </c>
      <c r="F87" s="30">
        <v>7271924</v>
      </c>
      <c r="G87" s="276" t="s">
        <v>179</v>
      </c>
      <c r="H87" s="11" t="s">
        <v>41</v>
      </c>
      <c r="I87" s="11" t="s">
        <v>421</v>
      </c>
      <c r="J87" s="30" t="s">
        <v>11</v>
      </c>
      <c r="K87" s="30">
        <v>1</v>
      </c>
      <c r="L87" s="30" t="s">
        <v>12</v>
      </c>
      <c r="M87" s="30" t="s">
        <v>217</v>
      </c>
      <c r="N87" s="133"/>
    </row>
    <row r="88" spans="1:14" s="9" customFormat="1" x14ac:dyDescent="0.35">
      <c r="A88" s="19">
        <f t="shared" si="3"/>
        <v>82</v>
      </c>
      <c r="B88" s="30">
        <v>1</v>
      </c>
      <c r="C88" s="49" t="s">
        <v>95</v>
      </c>
      <c r="D88" s="81">
        <v>1755956</v>
      </c>
      <c r="E88" s="30">
        <v>2585953215</v>
      </c>
      <c r="F88" s="30">
        <v>8719211</v>
      </c>
      <c r="G88" s="93" t="s">
        <v>148</v>
      </c>
      <c r="H88" s="11" t="s">
        <v>13</v>
      </c>
      <c r="I88" s="11" t="s">
        <v>419</v>
      </c>
      <c r="J88" s="30" t="s">
        <v>11</v>
      </c>
      <c r="K88" s="30">
        <v>1</v>
      </c>
      <c r="L88" s="30" t="s">
        <v>12</v>
      </c>
      <c r="M88" s="30" t="s">
        <v>217</v>
      </c>
      <c r="N88" s="85"/>
    </row>
    <row r="89" spans="1:14" s="9" customFormat="1" x14ac:dyDescent="0.35">
      <c r="A89" s="19">
        <f t="shared" si="3"/>
        <v>83</v>
      </c>
      <c r="B89" s="30">
        <v>1</v>
      </c>
      <c r="C89" s="49" t="s">
        <v>96</v>
      </c>
      <c r="D89" s="30">
        <v>1756242</v>
      </c>
      <c r="E89" s="30">
        <v>2604639530</v>
      </c>
      <c r="F89" s="30">
        <v>7301257</v>
      </c>
      <c r="G89" s="12" t="s">
        <v>180</v>
      </c>
      <c r="H89" s="11" t="s">
        <v>39</v>
      </c>
      <c r="I89" s="11" t="s">
        <v>423</v>
      </c>
      <c r="J89" s="30" t="s">
        <v>11</v>
      </c>
      <c r="K89" s="30">
        <v>1</v>
      </c>
      <c r="L89" s="30" t="s">
        <v>12</v>
      </c>
      <c r="M89" s="30" t="s">
        <v>216</v>
      </c>
      <c r="N89" s="85"/>
    </row>
    <row r="90" spans="1:14" s="9" customFormat="1" x14ac:dyDescent="0.35">
      <c r="A90" s="19">
        <f t="shared" si="3"/>
        <v>84</v>
      </c>
      <c r="B90" s="30">
        <v>1</v>
      </c>
      <c r="C90" s="49" t="s">
        <v>97</v>
      </c>
      <c r="D90" s="81">
        <v>1756093</v>
      </c>
      <c r="E90" s="30">
        <v>2595787389</v>
      </c>
      <c r="F90" s="30">
        <v>7271917</v>
      </c>
      <c r="G90" s="93" t="s">
        <v>149</v>
      </c>
      <c r="H90" s="11" t="s">
        <v>39</v>
      </c>
      <c r="I90" s="11" t="s">
        <v>423</v>
      </c>
      <c r="J90" s="30" t="s">
        <v>11</v>
      </c>
      <c r="K90" s="30">
        <v>1</v>
      </c>
      <c r="L90" s="30" t="s">
        <v>12</v>
      </c>
      <c r="M90" s="30" t="s">
        <v>217</v>
      </c>
      <c r="N90" s="85"/>
    </row>
    <row r="91" spans="1:14" s="9" customFormat="1" x14ac:dyDescent="0.35">
      <c r="A91" s="19">
        <f t="shared" si="3"/>
        <v>85</v>
      </c>
      <c r="B91" s="30">
        <v>1</v>
      </c>
      <c r="C91" s="49" t="s">
        <v>105</v>
      </c>
      <c r="D91" s="81">
        <v>1756045</v>
      </c>
      <c r="E91" s="30">
        <v>2593672559</v>
      </c>
      <c r="F91" s="30">
        <v>7271926</v>
      </c>
      <c r="G91" s="276" t="s">
        <v>150</v>
      </c>
      <c r="H91" s="11" t="s">
        <v>41</v>
      </c>
      <c r="I91" s="11" t="s">
        <v>421</v>
      </c>
      <c r="J91" s="30" t="s">
        <v>11</v>
      </c>
      <c r="K91" s="30">
        <v>1</v>
      </c>
      <c r="L91" s="30" t="s">
        <v>12</v>
      </c>
      <c r="M91" s="30" t="s">
        <v>216</v>
      </c>
      <c r="N91" s="85"/>
    </row>
    <row r="92" spans="1:14" s="9" customFormat="1" x14ac:dyDescent="0.35">
      <c r="A92" s="19">
        <f t="shared" si="3"/>
        <v>86</v>
      </c>
      <c r="B92" s="30">
        <v>1</v>
      </c>
      <c r="C92" s="49" t="s">
        <v>153</v>
      </c>
      <c r="D92" s="30">
        <v>1756289</v>
      </c>
      <c r="E92" s="30">
        <v>2607343916</v>
      </c>
      <c r="F92" s="30">
        <v>7306361</v>
      </c>
      <c r="G92" s="12" t="s">
        <v>181</v>
      </c>
      <c r="H92" s="11" t="s">
        <v>41</v>
      </c>
      <c r="I92" s="11" t="s">
        <v>421</v>
      </c>
      <c r="J92" s="30" t="s">
        <v>11</v>
      </c>
      <c r="K92" s="30">
        <v>1</v>
      </c>
      <c r="L92" s="30" t="s">
        <v>12</v>
      </c>
      <c r="M92" s="30" t="s">
        <v>216</v>
      </c>
      <c r="N92" s="85"/>
    </row>
    <row r="93" spans="1:14" s="9" customFormat="1" x14ac:dyDescent="0.35">
      <c r="A93" s="19">
        <f t="shared" si="3"/>
        <v>87</v>
      </c>
      <c r="B93" s="30">
        <v>1</v>
      </c>
      <c r="C93" s="49" t="s">
        <v>155</v>
      </c>
      <c r="D93" s="30">
        <v>1756315</v>
      </c>
      <c r="E93" s="30">
        <v>2608038366</v>
      </c>
      <c r="F93" s="30">
        <v>7301261</v>
      </c>
      <c r="G93" s="12" t="s">
        <v>182</v>
      </c>
      <c r="H93" s="11" t="s">
        <v>41</v>
      </c>
      <c r="I93" s="11" t="s">
        <v>421</v>
      </c>
      <c r="J93" s="30" t="s">
        <v>11</v>
      </c>
      <c r="K93" s="30">
        <v>1</v>
      </c>
      <c r="L93" s="30" t="s">
        <v>75</v>
      </c>
      <c r="M93" s="30" t="s">
        <v>217</v>
      </c>
      <c r="N93" s="85"/>
    </row>
    <row r="94" spans="1:14" s="9" customFormat="1" x14ac:dyDescent="0.35">
      <c r="A94" s="19">
        <f t="shared" si="3"/>
        <v>88</v>
      </c>
      <c r="B94" s="30">
        <v>1</v>
      </c>
      <c r="C94" s="49" t="s">
        <v>204</v>
      </c>
      <c r="D94" s="30">
        <v>1756159</v>
      </c>
      <c r="E94" s="30">
        <v>2598998082</v>
      </c>
      <c r="F94" s="30">
        <v>7271461</v>
      </c>
      <c r="G94" s="12" t="s">
        <v>152</v>
      </c>
      <c r="H94" s="11" t="s">
        <v>41</v>
      </c>
      <c r="I94" s="11" t="s">
        <v>421</v>
      </c>
      <c r="J94" s="30" t="s">
        <v>11</v>
      </c>
      <c r="K94" s="30">
        <v>1</v>
      </c>
      <c r="L94" s="30" t="s">
        <v>12</v>
      </c>
      <c r="M94" s="30" t="s">
        <v>216</v>
      </c>
      <c r="N94" s="131"/>
    </row>
    <row r="95" spans="1:14" s="9" customFormat="1" x14ac:dyDescent="0.35">
      <c r="A95" s="19">
        <f t="shared" si="3"/>
        <v>89</v>
      </c>
      <c r="B95" s="30">
        <v>1</v>
      </c>
      <c r="C95" s="49" t="s">
        <v>205</v>
      </c>
      <c r="D95" s="81">
        <v>1756150</v>
      </c>
      <c r="E95" s="30">
        <v>2598989081</v>
      </c>
      <c r="F95" s="30">
        <v>7279548</v>
      </c>
      <c r="G95" s="93" t="s">
        <v>151</v>
      </c>
      <c r="H95" s="11" t="s">
        <v>41</v>
      </c>
      <c r="I95" s="11" t="s">
        <v>421</v>
      </c>
      <c r="J95" s="30" t="s">
        <v>11</v>
      </c>
      <c r="K95" s="30">
        <v>1</v>
      </c>
      <c r="L95" s="30" t="s">
        <v>80</v>
      </c>
      <c r="M95" s="30" t="s">
        <v>216</v>
      </c>
      <c r="N95" s="85"/>
    </row>
    <row r="96" spans="1:14" s="9" customFormat="1" x14ac:dyDescent="0.35">
      <c r="A96" s="19">
        <f t="shared" si="3"/>
        <v>90</v>
      </c>
      <c r="B96" s="30">
        <v>1</v>
      </c>
      <c r="C96" s="49" t="s">
        <v>242</v>
      </c>
      <c r="D96" s="30">
        <v>1756240</v>
      </c>
      <c r="E96" s="30">
        <v>2604639282</v>
      </c>
      <c r="F96" s="30">
        <v>7298801</v>
      </c>
      <c r="G96" s="12" t="s">
        <v>154</v>
      </c>
      <c r="H96" s="11" t="s">
        <v>39</v>
      </c>
      <c r="I96" s="11" t="s">
        <v>423</v>
      </c>
      <c r="J96" s="30" t="s">
        <v>11</v>
      </c>
      <c r="K96" s="30">
        <v>1</v>
      </c>
      <c r="L96" s="30" t="s">
        <v>12</v>
      </c>
      <c r="M96" s="30" t="s">
        <v>216</v>
      </c>
      <c r="N96" s="85"/>
    </row>
    <row r="97" spans="1:14" s="9" customFormat="1" x14ac:dyDescent="0.35">
      <c r="A97" s="19">
        <f t="shared" si="3"/>
        <v>91</v>
      </c>
      <c r="B97" s="30">
        <v>1</v>
      </c>
      <c r="C97" s="49" t="s">
        <v>244</v>
      </c>
      <c r="D97" s="30">
        <v>1756241</v>
      </c>
      <c r="E97" s="30">
        <v>2604639381</v>
      </c>
      <c r="F97" s="30">
        <v>7298798</v>
      </c>
      <c r="G97" s="12" t="s">
        <v>156</v>
      </c>
      <c r="H97" s="11" t="s">
        <v>39</v>
      </c>
      <c r="I97" s="11" t="s">
        <v>423</v>
      </c>
      <c r="J97" s="30" t="s">
        <v>11</v>
      </c>
      <c r="K97" s="30">
        <v>1</v>
      </c>
      <c r="L97" s="30" t="s">
        <v>12</v>
      </c>
      <c r="M97" s="30" t="s">
        <v>216</v>
      </c>
      <c r="N97" s="85"/>
    </row>
    <row r="98" spans="1:14" s="9" customFormat="1" x14ac:dyDescent="0.35">
      <c r="A98" s="19">
        <f t="shared" si="3"/>
        <v>92</v>
      </c>
      <c r="B98" s="30">
        <v>1</v>
      </c>
      <c r="C98" s="49" t="s">
        <v>251</v>
      </c>
      <c r="D98" s="30">
        <v>1755933</v>
      </c>
      <c r="E98" s="30">
        <v>2583838343</v>
      </c>
      <c r="F98" s="30">
        <v>8712946</v>
      </c>
      <c r="G98" s="12" t="s">
        <v>186</v>
      </c>
      <c r="H98" s="11" t="s">
        <v>41</v>
      </c>
      <c r="I98" s="11" t="s">
        <v>421</v>
      </c>
      <c r="J98" s="30" t="s">
        <v>11</v>
      </c>
      <c r="K98" s="30">
        <v>1</v>
      </c>
      <c r="L98" s="30" t="s">
        <v>12</v>
      </c>
      <c r="M98" s="30" t="s">
        <v>217</v>
      </c>
      <c r="N98" s="128"/>
    </row>
    <row r="99" spans="1:14" s="9" customFormat="1" x14ac:dyDescent="0.35">
      <c r="A99" s="19">
        <f t="shared" si="3"/>
        <v>93</v>
      </c>
      <c r="B99" s="30">
        <v>1</v>
      </c>
      <c r="C99" s="49" t="s">
        <v>252</v>
      </c>
      <c r="D99" s="30">
        <v>1756041</v>
      </c>
      <c r="E99" s="132">
        <v>2593672427</v>
      </c>
      <c r="F99" s="30">
        <v>7271894</v>
      </c>
      <c r="G99" s="93" t="s">
        <v>187</v>
      </c>
      <c r="H99" s="11" t="s">
        <v>41</v>
      </c>
      <c r="I99" s="11" t="s">
        <v>421</v>
      </c>
      <c r="J99" s="30" t="s">
        <v>11</v>
      </c>
      <c r="K99" s="30">
        <v>1</v>
      </c>
      <c r="L99" s="30" t="s">
        <v>12</v>
      </c>
      <c r="M99" s="30" t="s">
        <v>216</v>
      </c>
      <c r="N99" s="85"/>
    </row>
    <row r="100" spans="1:14" s="9" customFormat="1" x14ac:dyDescent="0.35">
      <c r="A100" s="82">
        <f t="shared" si="3"/>
        <v>94</v>
      </c>
      <c r="B100" s="92">
        <v>1</v>
      </c>
      <c r="C100" s="140" t="s">
        <v>253</v>
      </c>
      <c r="D100" s="92">
        <v>9604378</v>
      </c>
      <c r="E100" s="132"/>
      <c r="F100" s="30"/>
      <c r="G100" s="241" t="s">
        <v>243</v>
      </c>
      <c r="H100" s="11" t="s">
        <v>41</v>
      </c>
      <c r="I100" s="11" t="s">
        <v>421</v>
      </c>
      <c r="J100" s="92" t="s">
        <v>241</v>
      </c>
      <c r="K100" s="92">
        <v>1</v>
      </c>
      <c r="L100" s="92" t="s">
        <v>75</v>
      </c>
      <c r="M100" s="92" t="s">
        <v>216</v>
      </c>
      <c r="N100" s="141"/>
    </row>
    <row r="101" spans="1:14" s="9" customFormat="1" x14ac:dyDescent="0.35">
      <c r="A101" s="233">
        <f t="shared" si="3"/>
        <v>95</v>
      </c>
      <c r="B101" s="30">
        <v>1</v>
      </c>
      <c r="C101" s="49" t="s">
        <v>254</v>
      </c>
      <c r="D101" s="30">
        <v>1756581</v>
      </c>
      <c r="E101" s="132"/>
      <c r="F101" s="30"/>
      <c r="G101" s="93" t="s">
        <v>411</v>
      </c>
      <c r="H101" s="11" t="s">
        <v>39</v>
      </c>
      <c r="I101" s="11" t="s">
        <v>423</v>
      </c>
      <c r="J101" s="30" t="s">
        <v>11</v>
      </c>
      <c r="K101" s="30">
        <v>1</v>
      </c>
      <c r="L101" s="30" t="s">
        <v>12</v>
      </c>
      <c r="M101" s="30" t="s">
        <v>216</v>
      </c>
      <c r="N101" s="51" t="s">
        <v>413</v>
      </c>
    </row>
    <row r="102" spans="1:14" s="9" customFormat="1" x14ac:dyDescent="0.35">
      <c r="A102" s="19">
        <f t="shared" si="3"/>
        <v>96</v>
      </c>
      <c r="B102" s="30">
        <v>1</v>
      </c>
      <c r="C102" s="49" t="s">
        <v>248</v>
      </c>
      <c r="D102" s="30">
        <v>1756582</v>
      </c>
      <c r="E102" s="132"/>
      <c r="F102" s="30"/>
      <c r="G102" s="93" t="s">
        <v>412</v>
      </c>
      <c r="H102" s="11" t="s">
        <v>39</v>
      </c>
      <c r="I102" s="11" t="s">
        <v>423</v>
      </c>
      <c r="J102" s="30" t="s">
        <v>11</v>
      </c>
      <c r="K102" s="30">
        <v>1</v>
      </c>
      <c r="L102" s="30" t="s">
        <v>12</v>
      </c>
      <c r="M102" s="30" t="s">
        <v>216</v>
      </c>
      <c r="N102" s="51" t="s">
        <v>413</v>
      </c>
    </row>
    <row r="103" spans="1:14" s="9" customFormat="1" x14ac:dyDescent="0.35">
      <c r="A103" s="19">
        <f t="shared" si="3"/>
        <v>97</v>
      </c>
      <c r="B103" s="5">
        <v>1</v>
      </c>
      <c r="C103" s="14" t="s">
        <v>47</v>
      </c>
      <c r="D103" s="5">
        <v>1755676</v>
      </c>
      <c r="E103" s="20">
        <v>1099318352</v>
      </c>
      <c r="F103" s="5">
        <v>8714070</v>
      </c>
      <c r="G103" s="14" t="s">
        <v>157</v>
      </c>
      <c r="H103" s="11" t="s">
        <v>10</v>
      </c>
      <c r="I103" s="11" t="s">
        <v>418</v>
      </c>
      <c r="J103" s="5" t="s">
        <v>11</v>
      </c>
      <c r="K103" s="5">
        <v>1</v>
      </c>
      <c r="L103" s="5" t="s">
        <v>12</v>
      </c>
      <c r="M103" s="20" t="s">
        <v>216</v>
      </c>
      <c r="N103" s="89"/>
    </row>
    <row r="104" spans="1:14" s="9" customFormat="1" x14ac:dyDescent="0.35">
      <c r="A104" s="19">
        <f t="shared" si="3"/>
        <v>98</v>
      </c>
      <c r="B104" s="5">
        <v>1</v>
      </c>
      <c r="C104" s="38" t="s">
        <v>48</v>
      </c>
      <c r="D104" s="39">
        <v>1755054</v>
      </c>
      <c r="E104" s="5">
        <v>2509318099</v>
      </c>
      <c r="F104" s="5">
        <v>8731982</v>
      </c>
      <c r="G104" s="21" t="s">
        <v>158</v>
      </c>
      <c r="H104" s="11" t="s">
        <v>13</v>
      </c>
      <c r="I104" s="11" t="s">
        <v>419</v>
      </c>
      <c r="J104" s="6" t="s">
        <v>11</v>
      </c>
      <c r="K104" s="5">
        <v>1</v>
      </c>
      <c r="L104" s="5" t="s">
        <v>12</v>
      </c>
      <c r="M104" s="20" t="s">
        <v>216</v>
      </c>
      <c r="N104" s="28"/>
    </row>
    <row r="105" spans="1:14" s="9" customFormat="1" x14ac:dyDescent="0.35">
      <c r="A105" s="19">
        <f t="shared" si="3"/>
        <v>99</v>
      </c>
      <c r="B105" s="11">
        <v>1</v>
      </c>
      <c r="C105" s="14" t="s">
        <v>112</v>
      </c>
      <c r="D105" s="39">
        <v>1756360</v>
      </c>
      <c r="E105" s="5">
        <v>2611808003</v>
      </c>
      <c r="F105" s="5">
        <v>7306350</v>
      </c>
      <c r="G105" s="8" t="s">
        <v>194</v>
      </c>
      <c r="H105" s="11" t="s">
        <v>13</v>
      </c>
      <c r="I105" s="11" t="s">
        <v>419</v>
      </c>
      <c r="J105" s="6" t="s">
        <v>11</v>
      </c>
      <c r="K105" s="5">
        <v>1</v>
      </c>
      <c r="L105" s="5" t="s">
        <v>12</v>
      </c>
      <c r="M105" s="20" t="s">
        <v>216</v>
      </c>
      <c r="N105" s="120"/>
    </row>
    <row r="106" spans="1:14" s="9" customFormat="1" x14ac:dyDescent="0.35">
      <c r="A106" s="19">
        <f t="shared" si="3"/>
        <v>100</v>
      </c>
      <c r="B106" s="5">
        <v>1</v>
      </c>
      <c r="C106" s="38" t="s">
        <v>113</v>
      </c>
      <c r="D106" s="5">
        <v>1755131</v>
      </c>
      <c r="E106" s="5">
        <v>2345542308</v>
      </c>
      <c r="F106" s="5">
        <v>8719209</v>
      </c>
      <c r="G106" s="14" t="s">
        <v>188</v>
      </c>
      <c r="H106" s="11" t="s">
        <v>58</v>
      </c>
      <c r="I106" s="11" t="s">
        <v>422</v>
      </c>
      <c r="J106" s="5" t="s">
        <v>11</v>
      </c>
      <c r="K106" s="20">
        <v>1</v>
      </c>
      <c r="L106" s="20" t="s">
        <v>12</v>
      </c>
      <c r="M106" s="20" t="s">
        <v>217</v>
      </c>
      <c r="N106" s="121"/>
    </row>
    <row r="107" spans="1:14" s="9" customFormat="1" x14ac:dyDescent="0.35">
      <c r="A107" s="19">
        <f t="shared" si="3"/>
        <v>101</v>
      </c>
      <c r="B107" s="5">
        <v>1</v>
      </c>
      <c r="C107" s="12" t="s">
        <v>49</v>
      </c>
      <c r="D107" s="41">
        <v>1756293</v>
      </c>
      <c r="E107" s="30">
        <v>2535472050</v>
      </c>
      <c r="F107" s="5">
        <v>7239791</v>
      </c>
      <c r="G107" s="277" t="s">
        <v>221</v>
      </c>
      <c r="H107" s="11" t="s">
        <v>58</v>
      </c>
      <c r="I107" s="11" t="s">
        <v>422</v>
      </c>
      <c r="J107" s="11" t="s">
        <v>11</v>
      </c>
      <c r="K107" s="11">
        <v>1</v>
      </c>
      <c r="L107" s="11" t="s">
        <v>12</v>
      </c>
      <c r="M107" s="11" t="s">
        <v>216</v>
      </c>
      <c r="N107" s="28"/>
    </row>
    <row r="108" spans="1:14" s="9" customFormat="1" x14ac:dyDescent="0.35">
      <c r="A108" s="19">
        <f t="shared" si="3"/>
        <v>102</v>
      </c>
      <c r="B108" s="20">
        <v>1</v>
      </c>
      <c r="C108" s="49" t="s">
        <v>197</v>
      </c>
      <c r="D108" s="81">
        <v>1756526</v>
      </c>
      <c r="E108" s="30">
        <v>2610600237</v>
      </c>
      <c r="F108" s="127"/>
      <c r="G108" s="49" t="s">
        <v>238</v>
      </c>
      <c r="H108" s="11" t="s">
        <v>58</v>
      </c>
      <c r="I108" s="11" t="s">
        <v>422</v>
      </c>
      <c r="J108" s="30" t="s">
        <v>11</v>
      </c>
      <c r="K108" s="30">
        <v>1</v>
      </c>
      <c r="L108" s="30" t="s">
        <v>12</v>
      </c>
      <c r="M108" s="30" t="s">
        <v>216</v>
      </c>
      <c r="N108" s="85"/>
    </row>
    <row r="109" spans="1:14" s="9" customFormat="1" x14ac:dyDescent="0.35">
      <c r="A109" s="19">
        <f t="shared" si="3"/>
        <v>103</v>
      </c>
      <c r="B109" s="11">
        <v>1</v>
      </c>
      <c r="C109" s="12" t="s">
        <v>159</v>
      </c>
      <c r="D109" s="5">
        <v>1756131</v>
      </c>
      <c r="E109" s="5">
        <v>2597990650</v>
      </c>
      <c r="F109" s="5">
        <v>7279546</v>
      </c>
      <c r="G109" s="8" t="s">
        <v>145</v>
      </c>
      <c r="H109" s="11" t="s">
        <v>13</v>
      </c>
      <c r="I109" s="11" t="s">
        <v>419</v>
      </c>
      <c r="J109" s="5" t="s">
        <v>11</v>
      </c>
      <c r="K109" s="5">
        <v>1</v>
      </c>
      <c r="L109" s="5" t="s">
        <v>12</v>
      </c>
      <c r="M109" s="5" t="s">
        <v>216</v>
      </c>
      <c r="N109" s="27"/>
    </row>
    <row r="110" spans="1:14" s="9" customFormat="1" ht="19" thickBot="1" x14ac:dyDescent="0.4">
      <c r="A110" s="55"/>
      <c r="B110" s="56">
        <f>SUM(B4,B18,B50)</f>
        <v>101</v>
      </c>
      <c r="C110" s="57"/>
      <c r="D110" s="58"/>
      <c r="E110" s="57"/>
      <c r="F110" s="57"/>
      <c r="G110" s="58"/>
      <c r="H110" s="11"/>
      <c r="I110" s="11"/>
      <c r="J110" s="59"/>
      <c r="K110" s="56">
        <f>SUM(K4,K18,K50)</f>
        <v>97</v>
      </c>
      <c r="L110" s="56"/>
      <c r="M110" s="56"/>
      <c r="N110" s="60"/>
    </row>
    <row r="111" spans="1:14" ht="18.5" thickBot="1" x14ac:dyDescent="0.45">
      <c r="A111" s="52" t="str">
        <f>"Total: " &amp; K110 &amp; "/" &amp; B110</f>
        <v>Total: 97/101</v>
      </c>
      <c r="B111" s="106"/>
      <c r="C111" s="69" t="s">
        <v>50</v>
      </c>
      <c r="D111" s="108">
        <f>COUNTIF(H4:H109, "Saudi")</f>
        <v>8</v>
      </c>
      <c r="E111" s="107"/>
      <c r="F111" s="107"/>
      <c r="G111" s="70" t="s">
        <v>56</v>
      </c>
      <c r="H111" s="290">
        <f>D111/K110*100</f>
        <v>8.2474226804123703</v>
      </c>
      <c r="I111" s="290"/>
      <c r="J111" s="107"/>
      <c r="K111" s="107"/>
      <c r="L111" s="144" t="s">
        <v>261</v>
      </c>
      <c r="M111" s="145">
        <f>COUNTIF(G5:G109,"vacancy*")</f>
        <v>6</v>
      </c>
      <c r="N111" s="109"/>
    </row>
    <row r="113" spans="1:15" ht="24" thickBot="1" x14ac:dyDescent="0.4">
      <c r="A113" s="288" t="s">
        <v>207</v>
      </c>
      <c r="B113" s="288"/>
      <c r="C113" s="288"/>
      <c r="D113" s="288"/>
      <c r="E113" s="288"/>
      <c r="F113" s="288"/>
      <c r="G113" s="288"/>
      <c r="H113" s="288"/>
      <c r="I113" s="288"/>
      <c r="J113" s="288"/>
      <c r="K113" s="288"/>
      <c r="L113" s="288"/>
      <c r="M113" s="288"/>
      <c r="N113" s="288"/>
    </row>
    <row r="114" spans="1:15" ht="31" x14ac:dyDescent="0.35">
      <c r="A114" s="45" t="s">
        <v>0</v>
      </c>
      <c r="B114" s="46" t="s">
        <v>72</v>
      </c>
      <c r="C114" s="46" t="s">
        <v>73</v>
      </c>
      <c r="D114" s="46" t="s">
        <v>61</v>
      </c>
      <c r="E114" s="46" t="s">
        <v>76</v>
      </c>
      <c r="F114" s="46" t="s">
        <v>74</v>
      </c>
      <c r="G114" s="46" t="s">
        <v>62</v>
      </c>
      <c r="H114" s="46" t="s">
        <v>2</v>
      </c>
      <c r="I114" s="46"/>
      <c r="J114" s="46" t="s">
        <v>3</v>
      </c>
      <c r="K114" s="46" t="s">
        <v>4</v>
      </c>
      <c r="L114" s="46" t="s">
        <v>63</v>
      </c>
      <c r="M114" s="96"/>
      <c r="N114" s="47" t="s">
        <v>6</v>
      </c>
    </row>
    <row r="115" spans="1:15" x14ac:dyDescent="0.35">
      <c r="A115" s="5">
        <v>1</v>
      </c>
      <c r="B115" s="11"/>
      <c r="C115" s="12" t="s">
        <v>115</v>
      </c>
      <c r="D115" s="41">
        <v>1756216</v>
      </c>
      <c r="E115" s="41"/>
      <c r="F115" s="41"/>
      <c r="G115" s="54" t="s">
        <v>116</v>
      </c>
      <c r="H115" s="37" t="s">
        <v>10</v>
      </c>
      <c r="I115" s="37" t="s">
        <v>418</v>
      </c>
      <c r="J115" s="11" t="s">
        <v>11</v>
      </c>
      <c r="K115" s="11">
        <v>1</v>
      </c>
      <c r="L115" s="11" t="s">
        <v>80</v>
      </c>
      <c r="M115" s="11"/>
      <c r="N115" s="64"/>
    </row>
    <row r="116" spans="1:15" x14ac:dyDescent="0.35">
      <c r="A116" s="5">
        <v>2</v>
      </c>
      <c r="B116" s="11"/>
      <c r="C116" s="12" t="s">
        <v>117</v>
      </c>
      <c r="D116" s="41">
        <v>1756215</v>
      </c>
      <c r="E116" s="41"/>
      <c r="F116" s="41"/>
      <c r="G116" s="54" t="s">
        <v>118</v>
      </c>
      <c r="H116" s="37" t="s">
        <v>10</v>
      </c>
      <c r="I116" s="37" t="s">
        <v>418</v>
      </c>
      <c r="J116" s="11" t="s">
        <v>11</v>
      </c>
      <c r="K116" s="11">
        <v>1</v>
      </c>
      <c r="L116" s="11" t="s">
        <v>12</v>
      </c>
      <c r="M116" s="11"/>
      <c r="N116" s="64"/>
    </row>
    <row r="117" spans="1:15" x14ac:dyDescent="0.35">
      <c r="A117" s="5">
        <v>3</v>
      </c>
      <c r="B117" s="11"/>
      <c r="C117" s="12" t="s">
        <v>223</v>
      </c>
      <c r="D117" s="11">
        <v>1756470</v>
      </c>
      <c r="E117" s="11">
        <v>2620710844</v>
      </c>
      <c r="F117" s="95">
        <v>7211807</v>
      </c>
      <c r="G117" s="12" t="s">
        <v>222</v>
      </c>
      <c r="H117" s="11" t="s">
        <v>39</v>
      </c>
      <c r="I117" s="11" t="s">
        <v>423</v>
      </c>
      <c r="J117" s="11" t="s">
        <v>11</v>
      </c>
      <c r="K117" s="11">
        <v>1</v>
      </c>
      <c r="L117" s="11" t="s">
        <v>12</v>
      </c>
      <c r="M117" s="11" t="s">
        <v>216</v>
      </c>
      <c r="N117" s="64"/>
    </row>
    <row r="118" spans="1:15" x14ac:dyDescent="0.35">
      <c r="A118" s="5">
        <v>4</v>
      </c>
      <c r="B118" s="11"/>
      <c r="C118" s="12" t="s">
        <v>224</v>
      </c>
      <c r="D118" s="5">
        <v>1755740</v>
      </c>
      <c r="E118" s="5">
        <v>2571806708</v>
      </c>
      <c r="F118" s="5">
        <v>8719207</v>
      </c>
      <c r="G118" s="94" t="s">
        <v>147</v>
      </c>
      <c r="H118" s="11" t="s">
        <v>41</v>
      </c>
      <c r="I118" s="11" t="s">
        <v>421</v>
      </c>
      <c r="J118" s="5" t="s">
        <v>11</v>
      </c>
      <c r="K118" s="5">
        <v>1</v>
      </c>
      <c r="L118" s="5" t="s">
        <v>12</v>
      </c>
      <c r="M118" s="5" t="s">
        <v>216</v>
      </c>
      <c r="N118" s="134"/>
    </row>
    <row r="119" spans="1:15" ht="31" x14ac:dyDescent="0.35">
      <c r="A119" s="208" t="s">
        <v>0</v>
      </c>
      <c r="B119" s="209" t="s">
        <v>72</v>
      </c>
      <c r="C119" s="209" t="s">
        <v>73</v>
      </c>
      <c r="D119" s="209" t="s">
        <v>61</v>
      </c>
      <c r="E119" s="209" t="s">
        <v>76</v>
      </c>
      <c r="F119" s="209" t="s">
        <v>74</v>
      </c>
      <c r="G119" s="209" t="s">
        <v>62</v>
      </c>
      <c r="H119" s="209" t="s">
        <v>2</v>
      </c>
      <c r="I119" s="209"/>
      <c r="J119" s="209" t="s">
        <v>3</v>
      </c>
      <c r="K119" s="209" t="s">
        <v>4</v>
      </c>
      <c r="L119" s="209" t="s">
        <v>63</v>
      </c>
      <c r="M119" s="209"/>
      <c r="N119" s="209" t="s">
        <v>6</v>
      </c>
      <c r="O119" s="7"/>
    </row>
    <row r="120" spans="1:15" x14ac:dyDescent="0.35">
      <c r="A120" s="210">
        <v>1</v>
      </c>
      <c r="B120" s="210"/>
      <c r="C120" s="8" t="s">
        <v>313</v>
      </c>
      <c r="D120" s="39">
        <v>1756080</v>
      </c>
      <c r="E120" s="39">
        <v>2593673110</v>
      </c>
      <c r="F120" s="39">
        <v>7279546</v>
      </c>
      <c r="G120" s="21" t="s">
        <v>314</v>
      </c>
      <c r="H120" s="20" t="s">
        <v>13</v>
      </c>
      <c r="I120" s="11" t="s">
        <v>419</v>
      </c>
      <c r="J120" s="6" t="s">
        <v>11</v>
      </c>
      <c r="K120" s="5">
        <v>1</v>
      </c>
      <c r="L120" s="5" t="s">
        <v>12</v>
      </c>
      <c r="M120" s="5" t="s">
        <v>217</v>
      </c>
      <c r="N120" s="211" t="s">
        <v>315</v>
      </c>
      <c r="O120" s="7"/>
    </row>
    <row r="121" spans="1:15" s="9" customFormat="1" x14ac:dyDescent="0.35">
      <c r="A121" s="66">
        <f t="shared" ref="A121:A123" si="4">A120+1</f>
        <v>2</v>
      </c>
      <c r="B121" s="212"/>
      <c r="C121" s="12" t="s">
        <v>316</v>
      </c>
      <c r="D121" s="11">
        <v>1755830</v>
      </c>
      <c r="E121" s="213"/>
      <c r="F121" s="213"/>
      <c r="G121" s="12" t="s">
        <v>317</v>
      </c>
      <c r="H121" s="37" t="s">
        <v>10</v>
      </c>
      <c r="I121" s="37" t="s">
        <v>418</v>
      </c>
      <c r="J121" s="11" t="s">
        <v>11</v>
      </c>
      <c r="K121" s="214">
        <v>1</v>
      </c>
      <c r="L121" s="214" t="s">
        <v>12</v>
      </c>
      <c r="M121" s="214"/>
      <c r="N121" s="28"/>
    </row>
    <row r="122" spans="1:15" s="9" customFormat="1" x14ac:dyDescent="0.35">
      <c r="A122" s="100">
        <f t="shared" si="4"/>
        <v>3</v>
      </c>
      <c r="B122" s="5"/>
      <c r="C122" s="12" t="s">
        <v>407</v>
      </c>
      <c r="D122" s="11">
        <v>1752802</v>
      </c>
      <c r="E122" s="11">
        <v>1012921183</v>
      </c>
      <c r="F122" s="84"/>
      <c r="G122" s="12" t="s">
        <v>405</v>
      </c>
      <c r="H122" s="37" t="s">
        <v>10</v>
      </c>
      <c r="I122" s="37" t="s">
        <v>418</v>
      </c>
      <c r="J122" s="11" t="s">
        <v>11</v>
      </c>
      <c r="K122" s="11">
        <v>1</v>
      </c>
      <c r="L122" s="11" t="s">
        <v>12</v>
      </c>
      <c r="M122" s="5" t="s">
        <v>216</v>
      </c>
      <c r="N122" s="51" t="s">
        <v>406</v>
      </c>
    </row>
    <row r="123" spans="1:15" s="7" customFormat="1" x14ac:dyDescent="0.35">
      <c r="A123" s="19">
        <f t="shared" si="4"/>
        <v>4</v>
      </c>
      <c r="B123" s="11"/>
      <c r="C123" s="12" t="s">
        <v>59</v>
      </c>
      <c r="D123" s="11">
        <v>1752799</v>
      </c>
      <c r="E123" s="11">
        <v>1055153082</v>
      </c>
      <c r="F123" s="95"/>
      <c r="G123" s="8" t="s">
        <v>401</v>
      </c>
      <c r="H123" s="37" t="s">
        <v>10</v>
      </c>
      <c r="I123" s="37" t="s">
        <v>418</v>
      </c>
      <c r="J123" s="11" t="s">
        <v>11</v>
      </c>
      <c r="K123" s="11">
        <v>1</v>
      </c>
      <c r="L123" s="11" t="s">
        <v>12</v>
      </c>
      <c r="M123" s="11" t="s">
        <v>216</v>
      </c>
      <c r="N123" s="51" t="s">
        <v>402</v>
      </c>
    </row>
    <row r="124" spans="1:15" x14ac:dyDescent="0.35">
      <c r="D124"/>
    </row>
    <row r="125" spans="1:15" ht="23.5" x14ac:dyDescent="0.35">
      <c r="A125" s="289" t="s">
        <v>318</v>
      </c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7"/>
    </row>
    <row r="126" spans="1:15" s="221" customFormat="1" x14ac:dyDescent="0.35">
      <c r="A126" s="215">
        <v>1</v>
      </c>
      <c r="B126" s="216"/>
      <c r="C126" s="216" t="s">
        <v>319</v>
      </c>
      <c r="D126" s="217">
        <v>9604335</v>
      </c>
      <c r="E126" s="216">
        <v>2579356367</v>
      </c>
      <c r="F126" s="216"/>
      <c r="G126" s="217" t="s">
        <v>320</v>
      </c>
      <c r="H126" s="218" t="s">
        <v>321</v>
      </c>
      <c r="I126" s="218"/>
      <c r="J126" s="29" t="s">
        <v>107</v>
      </c>
      <c r="K126" s="29">
        <v>1</v>
      </c>
      <c r="L126" s="29" t="s">
        <v>12</v>
      </c>
      <c r="M126" s="219" t="s">
        <v>216</v>
      </c>
      <c r="N126" s="220" t="s">
        <v>322</v>
      </c>
    </row>
    <row r="127" spans="1:15" s="221" customFormat="1" x14ac:dyDescent="0.35">
      <c r="A127" s="215">
        <v>2</v>
      </c>
      <c r="B127" s="216"/>
      <c r="C127" s="216" t="s">
        <v>319</v>
      </c>
      <c r="D127" s="217">
        <v>9604334</v>
      </c>
      <c r="E127" s="216">
        <v>2564009153</v>
      </c>
      <c r="F127" s="216"/>
      <c r="G127" s="217" t="s">
        <v>323</v>
      </c>
      <c r="H127" s="218" t="s">
        <v>321</v>
      </c>
      <c r="I127" s="218"/>
      <c r="J127" s="29" t="s">
        <v>107</v>
      </c>
      <c r="K127" s="29">
        <v>1</v>
      </c>
      <c r="L127" s="29" t="s">
        <v>12</v>
      </c>
      <c r="M127" s="219" t="s">
        <v>216</v>
      </c>
      <c r="N127" s="220" t="s">
        <v>322</v>
      </c>
    </row>
    <row r="128" spans="1:15" s="221" customFormat="1" x14ac:dyDescent="0.35">
      <c r="A128" s="215">
        <v>3</v>
      </c>
      <c r="B128" s="216"/>
      <c r="C128" s="216" t="s">
        <v>319</v>
      </c>
      <c r="D128" s="217">
        <v>9604357</v>
      </c>
      <c r="E128" s="216">
        <v>2563259502</v>
      </c>
      <c r="F128" s="216"/>
      <c r="G128" s="217" t="s">
        <v>324</v>
      </c>
      <c r="H128" s="218" t="s">
        <v>321</v>
      </c>
      <c r="I128" s="218"/>
      <c r="J128" s="29" t="s">
        <v>107</v>
      </c>
      <c r="K128" s="29">
        <v>1</v>
      </c>
      <c r="L128" s="29" t="s">
        <v>12</v>
      </c>
      <c r="M128" s="219" t="s">
        <v>216</v>
      </c>
      <c r="N128" s="220" t="s">
        <v>322</v>
      </c>
    </row>
    <row r="129" spans="1:14" s="221" customFormat="1" x14ac:dyDescent="0.35">
      <c r="A129" s="215">
        <v>4</v>
      </c>
      <c r="B129" s="216"/>
      <c r="C129" s="216" t="s">
        <v>319</v>
      </c>
      <c r="D129" s="217">
        <v>9604358</v>
      </c>
      <c r="E129" s="216">
        <v>2592739383</v>
      </c>
      <c r="F129" s="216"/>
      <c r="G129" s="217" t="s">
        <v>325</v>
      </c>
      <c r="H129" s="218" t="s">
        <v>321</v>
      </c>
      <c r="I129" s="218"/>
      <c r="J129" s="29" t="s">
        <v>107</v>
      </c>
      <c r="K129" s="29">
        <v>1</v>
      </c>
      <c r="L129" s="29" t="s">
        <v>12</v>
      </c>
      <c r="M129" s="219" t="s">
        <v>216</v>
      </c>
      <c r="N129" s="220" t="s">
        <v>322</v>
      </c>
    </row>
    <row r="130" spans="1:14" s="221" customFormat="1" x14ac:dyDescent="0.35">
      <c r="A130" s="215">
        <v>5</v>
      </c>
      <c r="B130" s="216"/>
      <c r="C130" s="216" t="s">
        <v>319</v>
      </c>
      <c r="D130" s="217">
        <v>9604360</v>
      </c>
      <c r="E130" s="216">
        <v>2593781723</v>
      </c>
      <c r="F130" s="216"/>
      <c r="G130" s="217" t="s">
        <v>326</v>
      </c>
      <c r="H130" s="218" t="s">
        <v>321</v>
      </c>
      <c r="I130" s="218"/>
      <c r="J130" s="29" t="s">
        <v>107</v>
      </c>
      <c r="K130" s="29">
        <v>1</v>
      </c>
      <c r="L130" s="29" t="s">
        <v>12</v>
      </c>
      <c r="M130" s="219" t="s">
        <v>216</v>
      </c>
      <c r="N130" s="220" t="s">
        <v>322</v>
      </c>
    </row>
    <row r="131" spans="1:14" s="221" customFormat="1" x14ac:dyDescent="0.35">
      <c r="A131" s="215">
        <v>6</v>
      </c>
      <c r="B131" s="216"/>
      <c r="C131" s="216" t="s">
        <v>327</v>
      </c>
      <c r="D131" s="217">
        <v>9604122</v>
      </c>
      <c r="E131" s="216">
        <v>2487157907</v>
      </c>
      <c r="F131" s="216">
        <v>7306348</v>
      </c>
      <c r="G131" s="217" t="s">
        <v>328</v>
      </c>
      <c r="H131" s="218" t="s">
        <v>13</v>
      </c>
      <c r="I131" s="218"/>
      <c r="J131" s="29" t="s">
        <v>329</v>
      </c>
      <c r="K131" s="29">
        <v>1</v>
      </c>
      <c r="L131" s="29" t="s">
        <v>12</v>
      </c>
      <c r="M131" s="219" t="s">
        <v>217</v>
      </c>
      <c r="N131" s="220" t="s">
        <v>322</v>
      </c>
    </row>
    <row r="132" spans="1:14" s="221" customFormat="1" x14ac:dyDescent="0.35">
      <c r="A132" s="215">
        <v>7</v>
      </c>
      <c r="B132" s="216"/>
      <c r="C132" s="216" t="s">
        <v>327</v>
      </c>
      <c r="D132" s="217">
        <v>9603363</v>
      </c>
      <c r="E132" s="216">
        <v>2513117222</v>
      </c>
      <c r="F132" s="216">
        <v>7309067</v>
      </c>
      <c r="G132" s="217" t="s">
        <v>330</v>
      </c>
      <c r="H132" s="218" t="s">
        <v>331</v>
      </c>
      <c r="I132" s="218"/>
      <c r="J132" s="29" t="s">
        <v>332</v>
      </c>
      <c r="K132" s="29">
        <v>1</v>
      </c>
      <c r="L132" s="29" t="s">
        <v>12</v>
      </c>
      <c r="M132" s="219" t="s">
        <v>217</v>
      </c>
      <c r="N132" s="220" t="s">
        <v>322</v>
      </c>
    </row>
    <row r="133" spans="1:14" s="221" customFormat="1" x14ac:dyDescent="0.35">
      <c r="A133" s="215">
        <v>8</v>
      </c>
      <c r="B133" s="216"/>
      <c r="C133" s="216" t="s">
        <v>333</v>
      </c>
      <c r="D133" s="217">
        <v>9601796</v>
      </c>
      <c r="E133" s="216">
        <v>2481188452</v>
      </c>
      <c r="F133" s="216">
        <v>7306360</v>
      </c>
      <c r="G133" s="217" t="s">
        <v>334</v>
      </c>
      <c r="H133" s="218" t="s">
        <v>13</v>
      </c>
      <c r="I133" s="218"/>
      <c r="J133" s="29" t="s">
        <v>335</v>
      </c>
      <c r="K133" s="29">
        <v>1</v>
      </c>
      <c r="L133" s="29" t="s">
        <v>12</v>
      </c>
      <c r="M133" s="219" t="s">
        <v>216</v>
      </c>
      <c r="N133" s="220" t="s">
        <v>322</v>
      </c>
    </row>
    <row r="134" spans="1:14" s="221" customFormat="1" x14ac:dyDescent="0.35">
      <c r="A134" s="215">
        <v>9</v>
      </c>
      <c r="B134" s="216"/>
      <c r="C134" s="216" t="s">
        <v>336</v>
      </c>
      <c r="D134" s="217">
        <v>9603626</v>
      </c>
      <c r="E134" s="216">
        <v>2543211300</v>
      </c>
      <c r="F134" s="216">
        <v>7306354</v>
      </c>
      <c r="G134" s="217" t="s">
        <v>337</v>
      </c>
      <c r="H134" s="11" t="s">
        <v>58</v>
      </c>
      <c r="I134" s="11"/>
      <c r="J134" s="29" t="s">
        <v>332</v>
      </c>
      <c r="K134" s="29">
        <v>1</v>
      </c>
      <c r="L134" s="29" t="s">
        <v>12</v>
      </c>
      <c r="M134" s="219" t="s">
        <v>217</v>
      </c>
      <c r="N134" s="220" t="s">
        <v>322</v>
      </c>
    </row>
    <row r="135" spans="1:14" s="221" customFormat="1" x14ac:dyDescent="0.35">
      <c r="A135" s="215">
        <v>10</v>
      </c>
      <c r="B135" s="216"/>
      <c r="C135" s="216" t="s">
        <v>189</v>
      </c>
      <c r="D135" s="217">
        <v>9603507</v>
      </c>
      <c r="E135" s="216">
        <v>2391382864</v>
      </c>
      <c r="F135" s="216"/>
      <c r="G135" s="217" t="s">
        <v>338</v>
      </c>
      <c r="H135" s="11" t="s">
        <v>58</v>
      </c>
      <c r="I135" s="11"/>
      <c r="J135" s="29" t="s">
        <v>329</v>
      </c>
      <c r="K135" s="29">
        <v>1</v>
      </c>
      <c r="L135" s="29" t="s">
        <v>12</v>
      </c>
      <c r="M135" s="219" t="s">
        <v>216</v>
      </c>
      <c r="N135" s="220" t="s">
        <v>322</v>
      </c>
    </row>
    <row r="136" spans="1:14" s="223" customFormat="1" x14ac:dyDescent="0.35">
      <c r="A136" s="215">
        <v>11</v>
      </c>
      <c r="B136" s="216"/>
      <c r="C136" s="216" t="s">
        <v>339</v>
      </c>
      <c r="D136" s="217">
        <v>1756336</v>
      </c>
      <c r="E136" s="216">
        <v>2609951245</v>
      </c>
      <c r="F136" s="216">
        <v>7318574</v>
      </c>
      <c r="G136" s="217" t="s">
        <v>340</v>
      </c>
      <c r="H136" s="218" t="s">
        <v>13</v>
      </c>
      <c r="I136" s="218"/>
      <c r="J136" s="222" t="s">
        <v>11</v>
      </c>
      <c r="K136" s="29"/>
      <c r="L136" s="29" t="s">
        <v>12</v>
      </c>
      <c r="M136" s="219" t="s">
        <v>216</v>
      </c>
      <c r="N136" s="220" t="s">
        <v>341</v>
      </c>
    </row>
    <row r="137" spans="1:14" s="221" customFormat="1" x14ac:dyDescent="0.35">
      <c r="A137" s="215">
        <v>12</v>
      </c>
      <c r="B137" s="216"/>
      <c r="C137" s="216" t="s">
        <v>319</v>
      </c>
      <c r="D137" s="217">
        <v>9604353</v>
      </c>
      <c r="E137" s="216">
        <v>2602941730</v>
      </c>
      <c r="F137" s="216"/>
      <c r="G137" s="217" t="s">
        <v>342</v>
      </c>
      <c r="H137" s="218" t="s">
        <v>321</v>
      </c>
      <c r="I137" s="218"/>
      <c r="J137" s="29" t="s">
        <v>107</v>
      </c>
      <c r="K137" s="29">
        <v>1</v>
      </c>
      <c r="L137" s="29" t="s">
        <v>12</v>
      </c>
      <c r="M137" s="219" t="s">
        <v>216</v>
      </c>
      <c r="N137" s="220" t="s">
        <v>343</v>
      </c>
    </row>
    <row r="138" spans="1:14" s="221" customFormat="1" x14ac:dyDescent="0.35">
      <c r="A138" s="215">
        <v>13</v>
      </c>
      <c r="B138" s="216"/>
      <c r="C138" s="216" t="s">
        <v>319</v>
      </c>
      <c r="D138" s="217">
        <v>9604354</v>
      </c>
      <c r="E138" s="216">
        <v>2585940915</v>
      </c>
      <c r="F138" s="216"/>
      <c r="G138" s="217" t="s">
        <v>344</v>
      </c>
      <c r="H138" s="218" t="s">
        <v>321</v>
      </c>
      <c r="I138" s="218"/>
      <c r="J138" s="29" t="s">
        <v>107</v>
      </c>
      <c r="K138" s="29">
        <v>1</v>
      </c>
      <c r="L138" s="29" t="s">
        <v>12</v>
      </c>
      <c r="M138" s="219" t="s">
        <v>216</v>
      </c>
      <c r="N138" s="220" t="s">
        <v>343</v>
      </c>
    </row>
    <row r="139" spans="1:14" s="221" customFormat="1" x14ac:dyDescent="0.35">
      <c r="A139" s="215">
        <v>14</v>
      </c>
      <c r="B139" s="216"/>
      <c r="C139" s="216" t="s">
        <v>319</v>
      </c>
      <c r="D139" s="217">
        <v>9604356</v>
      </c>
      <c r="E139" s="216">
        <v>2577011527</v>
      </c>
      <c r="F139" s="216"/>
      <c r="G139" s="217" t="s">
        <v>345</v>
      </c>
      <c r="H139" s="218" t="s">
        <v>321</v>
      </c>
      <c r="I139" s="218"/>
      <c r="J139" s="29" t="s">
        <v>107</v>
      </c>
      <c r="K139" s="29">
        <v>1</v>
      </c>
      <c r="L139" s="29" t="s">
        <v>12</v>
      </c>
      <c r="M139" s="219" t="s">
        <v>216</v>
      </c>
      <c r="N139" s="220" t="s">
        <v>343</v>
      </c>
    </row>
    <row r="140" spans="1:14" s="221" customFormat="1" x14ac:dyDescent="0.35">
      <c r="A140" s="215">
        <v>15</v>
      </c>
      <c r="B140" s="216"/>
      <c r="C140" s="216" t="s">
        <v>319</v>
      </c>
      <c r="D140" s="217">
        <v>9604361</v>
      </c>
      <c r="E140" s="216">
        <v>2593781269</v>
      </c>
      <c r="F140" s="216"/>
      <c r="G140" s="217" t="s">
        <v>346</v>
      </c>
      <c r="H140" s="218" t="s">
        <v>321</v>
      </c>
      <c r="I140" s="218"/>
      <c r="J140" s="29" t="s">
        <v>107</v>
      </c>
      <c r="K140" s="29">
        <v>1</v>
      </c>
      <c r="L140" s="29" t="s">
        <v>12</v>
      </c>
      <c r="M140" s="219" t="s">
        <v>216</v>
      </c>
      <c r="N140" s="220" t="s">
        <v>343</v>
      </c>
    </row>
    <row r="141" spans="1:14" s="221" customFormat="1" x14ac:dyDescent="0.35">
      <c r="A141" s="215">
        <v>16</v>
      </c>
      <c r="B141" s="216"/>
      <c r="C141" s="216" t="s">
        <v>347</v>
      </c>
      <c r="D141" s="217">
        <v>9604082</v>
      </c>
      <c r="E141" s="216">
        <v>2529950616</v>
      </c>
      <c r="F141" s="216">
        <v>7306337</v>
      </c>
      <c r="G141" s="217" t="s">
        <v>348</v>
      </c>
      <c r="H141" s="11" t="s">
        <v>58</v>
      </c>
      <c r="I141" s="11"/>
      <c r="J141" s="29" t="s">
        <v>329</v>
      </c>
      <c r="K141" s="29">
        <v>1</v>
      </c>
      <c r="L141" s="29" t="s">
        <v>12</v>
      </c>
      <c r="M141" s="219" t="s">
        <v>216</v>
      </c>
      <c r="N141" s="220" t="s">
        <v>343</v>
      </c>
    </row>
    <row r="142" spans="1:14" s="221" customFormat="1" x14ac:dyDescent="0.35">
      <c r="A142" s="215">
        <v>17</v>
      </c>
      <c r="B142" s="216"/>
      <c r="C142" s="216" t="s">
        <v>189</v>
      </c>
      <c r="D142" s="217">
        <v>9600377</v>
      </c>
      <c r="E142" s="216">
        <v>2330676632</v>
      </c>
      <c r="F142" s="216"/>
      <c r="G142" s="217" t="s">
        <v>349</v>
      </c>
      <c r="H142" s="11" t="s">
        <v>58</v>
      </c>
      <c r="I142" s="11"/>
      <c r="J142" s="29" t="s">
        <v>335</v>
      </c>
      <c r="K142" s="29">
        <v>1</v>
      </c>
      <c r="L142" s="29" t="s">
        <v>12</v>
      </c>
      <c r="M142" s="219" t="s">
        <v>216</v>
      </c>
      <c r="N142" s="220" t="s">
        <v>343</v>
      </c>
    </row>
    <row r="143" spans="1:14" s="221" customFormat="1" x14ac:dyDescent="0.35">
      <c r="A143" s="215">
        <v>18</v>
      </c>
      <c r="B143" s="216"/>
      <c r="C143" s="216" t="s">
        <v>350</v>
      </c>
      <c r="D143" s="217">
        <v>1755573</v>
      </c>
      <c r="E143" s="216">
        <v>2563974761</v>
      </c>
      <c r="F143" s="216">
        <v>8666258</v>
      </c>
      <c r="G143" s="217" t="s">
        <v>351</v>
      </c>
      <c r="H143" s="218" t="s">
        <v>13</v>
      </c>
      <c r="I143" s="218"/>
      <c r="J143" s="222" t="s">
        <v>11</v>
      </c>
      <c r="K143" s="29"/>
      <c r="L143" s="29" t="s">
        <v>12</v>
      </c>
      <c r="M143" s="219" t="s">
        <v>217</v>
      </c>
      <c r="N143" s="220" t="s">
        <v>352</v>
      </c>
    </row>
    <row r="144" spans="1:14" s="221" customFormat="1" x14ac:dyDescent="0.35">
      <c r="A144" s="215">
        <v>19</v>
      </c>
      <c r="B144" s="216"/>
      <c r="C144" s="216" t="s">
        <v>319</v>
      </c>
      <c r="D144" s="217">
        <v>9604359</v>
      </c>
      <c r="E144" s="216">
        <v>2597136411</v>
      </c>
      <c r="F144" s="216"/>
      <c r="G144" s="217" t="s">
        <v>353</v>
      </c>
      <c r="H144" s="218" t="s">
        <v>321</v>
      </c>
      <c r="I144" s="218"/>
      <c r="J144" s="29" t="s">
        <v>107</v>
      </c>
      <c r="K144" s="29">
        <v>1</v>
      </c>
      <c r="L144" s="29" t="s">
        <v>12</v>
      </c>
      <c r="M144" s="219" t="s">
        <v>216</v>
      </c>
      <c r="N144" s="220" t="s">
        <v>354</v>
      </c>
    </row>
    <row r="145" spans="1:15" s="221" customFormat="1" x14ac:dyDescent="0.35">
      <c r="A145" s="215">
        <v>20</v>
      </c>
      <c r="B145" s="216"/>
      <c r="C145" s="216" t="s">
        <v>336</v>
      </c>
      <c r="D145" s="216">
        <v>9603627</v>
      </c>
      <c r="E145" s="216">
        <v>2543210856</v>
      </c>
      <c r="F145" s="216">
        <v>7306355</v>
      </c>
      <c r="G145" s="216" t="s">
        <v>355</v>
      </c>
      <c r="H145" s="11" t="s">
        <v>58</v>
      </c>
      <c r="I145" s="11"/>
      <c r="J145" s="29" t="s">
        <v>332</v>
      </c>
      <c r="K145" s="29">
        <v>1</v>
      </c>
      <c r="L145" s="29" t="s">
        <v>12</v>
      </c>
      <c r="M145" s="219" t="s">
        <v>217</v>
      </c>
      <c r="N145" s="220" t="s">
        <v>354</v>
      </c>
    </row>
    <row r="146" spans="1:15" s="223" customFormat="1" x14ac:dyDescent="0.35">
      <c r="A146" s="215">
        <v>21</v>
      </c>
      <c r="B146" s="224"/>
      <c r="C146" s="12" t="s">
        <v>356</v>
      </c>
      <c r="D146" s="105">
        <v>9604347</v>
      </c>
      <c r="E146" s="12">
        <v>2509480774</v>
      </c>
      <c r="F146" s="225">
        <v>7306357</v>
      </c>
      <c r="G146" s="12" t="s">
        <v>357</v>
      </c>
      <c r="H146" s="11" t="s">
        <v>58</v>
      </c>
      <c r="I146" s="11"/>
      <c r="J146" s="11" t="s">
        <v>107</v>
      </c>
      <c r="K146" s="11">
        <v>1</v>
      </c>
      <c r="L146" s="11" t="s">
        <v>80</v>
      </c>
      <c r="M146" s="11" t="s">
        <v>217</v>
      </c>
      <c r="N146" s="226" t="s">
        <v>358</v>
      </c>
    </row>
    <row r="147" spans="1:15" s="221" customFormat="1" x14ac:dyDescent="0.35">
      <c r="A147" s="215">
        <v>22</v>
      </c>
      <c r="B147" s="12"/>
      <c r="C147" s="12" t="s">
        <v>219</v>
      </c>
      <c r="D147" s="12">
        <v>1756049</v>
      </c>
      <c r="E147" s="12">
        <v>2593672153</v>
      </c>
      <c r="F147" s="225">
        <v>8736541</v>
      </c>
      <c r="G147" s="12" t="s">
        <v>359</v>
      </c>
      <c r="H147" s="11" t="s">
        <v>51</v>
      </c>
      <c r="I147" s="11"/>
      <c r="J147" s="227" t="s">
        <v>11</v>
      </c>
      <c r="K147" s="11"/>
      <c r="L147" s="11" t="s">
        <v>12</v>
      </c>
      <c r="M147" s="11" t="s">
        <v>216</v>
      </c>
      <c r="N147" s="228" t="s">
        <v>360</v>
      </c>
    </row>
    <row r="148" spans="1:15" s="221" customFormat="1" x14ac:dyDescent="0.35">
      <c r="A148" s="215">
        <v>23</v>
      </c>
      <c r="B148" s="12"/>
      <c r="C148" s="12" t="s">
        <v>22</v>
      </c>
      <c r="D148" s="12">
        <v>1755703</v>
      </c>
      <c r="E148" s="12">
        <v>2569925759</v>
      </c>
      <c r="F148" s="225">
        <v>8693796</v>
      </c>
      <c r="G148" s="12" t="s">
        <v>361</v>
      </c>
      <c r="H148" s="11" t="s">
        <v>13</v>
      </c>
      <c r="I148" s="11"/>
      <c r="J148" s="227" t="s">
        <v>11</v>
      </c>
      <c r="K148" s="11"/>
      <c r="L148" s="11" t="s">
        <v>12</v>
      </c>
      <c r="M148" s="11" t="s">
        <v>216</v>
      </c>
      <c r="N148" s="228" t="s">
        <v>362</v>
      </c>
    </row>
    <row r="149" spans="1:15" s="221" customFormat="1" x14ac:dyDescent="0.35">
      <c r="A149" s="215">
        <v>24</v>
      </c>
      <c r="B149" s="12"/>
      <c r="C149" s="12" t="s">
        <v>363</v>
      </c>
      <c r="D149" s="12">
        <v>1755627</v>
      </c>
      <c r="E149" s="105">
        <v>2567236993</v>
      </c>
      <c r="F149" s="105">
        <v>8696289</v>
      </c>
      <c r="G149" s="12" t="s">
        <v>364</v>
      </c>
      <c r="H149" s="11" t="s">
        <v>13</v>
      </c>
      <c r="I149" s="11"/>
      <c r="J149" s="227" t="s">
        <v>11</v>
      </c>
      <c r="K149" s="11">
        <v>1</v>
      </c>
      <c r="L149" s="11" t="s">
        <v>12</v>
      </c>
      <c r="M149" s="11" t="s">
        <v>217</v>
      </c>
      <c r="N149" s="229" t="s">
        <v>365</v>
      </c>
    </row>
    <row r="150" spans="1:15" s="223" customFormat="1" x14ac:dyDescent="0.35">
      <c r="A150" s="215">
        <v>25</v>
      </c>
      <c r="B150" s="12"/>
      <c r="C150" s="12" t="s">
        <v>366</v>
      </c>
      <c r="D150" s="12">
        <v>1755694</v>
      </c>
      <c r="E150" s="12">
        <v>2569619667</v>
      </c>
      <c r="F150" s="105">
        <v>8696295</v>
      </c>
      <c r="G150" s="230" t="s">
        <v>367</v>
      </c>
      <c r="H150" s="11" t="s">
        <v>39</v>
      </c>
      <c r="I150" s="11"/>
      <c r="J150" s="227" t="s">
        <v>11</v>
      </c>
      <c r="K150" s="11"/>
      <c r="L150" s="11" t="s">
        <v>12</v>
      </c>
      <c r="M150" s="11" t="s">
        <v>217</v>
      </c>
      <c r="N150" s="228" t="s">
        <v>368</v>
      </c>
    </row>
    <row r="151" spans="1:15" s="223" customFormat="1" x14ac:dyDescent="0.35">
      <c r="A151" s="215">
        <v>26</v>
      </c>
      <c r="B151" s="12"/>
      <c r="C151" s="105" t="s">
        <v>60</v>
      </c>
      <c r="D151" s="225">
        <v>1755705</v>
      </c>
      <c r="E151" s="105">
        <v>2569926401</v>
      </c>
      <c r="F151" s="105">
        <v>8718492</v>
      </c>
      <c r="G151" s="12" t="s">
        <v>369</v>
      </c>
      <c r="H151" s="11" t="s">
        <v>13</v>
      </c>
      <c r="I151" s="11"/>
      <c r="J151" s="227" t="s">
        <v>11</v>
      </c>
      <c r="K151" s="11"/>
      <c r="L151" s="11" t="s">
        <v>12</v>
      </c>
      <c r="M151" s="11" t="s">
        <v>216</v>
      </c>
      <c r="N151" s="231" t="s">
        <v>362</v>
      </c>
    </row>
    <row r="152" spans="1:15" s="223" customFormat="1" x14ac:dyDescent="0.35">
      <c r="A152" s="215">
        <v>27</v>
      </c>
      <c r="B152" s="12"/>
      <c r="C152" s="105" t="s">
        <v>102</v>
      </c>
      <c r="D152" s="225">
        <v>1756397</v>
      </c>
      <c r="E152" s="105">
        <v>2613442678</v>
      </c>
      <c r="F152" s="105">
        <v>7306370</v>
      </c>
      <c r="G152" s="12" t="s">
        <v>370</v>
      </c>
      <c r="H152" s="11" t="s">
        <v>41</v>
      </c>
      <c r="I152" s="11"/>
      <c r="J152" s="227" t="s">
        <v>11</v>
      </c>
      <c r="K152" s="11"/>
      <c r="L152" s="11" t="s">
        <v>80</v>
      </c>
      <c r="M152" s="11" t="s">
        <v>217</v>
      </c>
      <c r="N152" s="231" t="s">
        <v>371</v>
      </c>
    </row>
    <row r="153" spans="1:15" s="221" customFormat="1" x14ac:dyDescent="0.35">
      <c r="A153" s="215">
        <v>28</v>
      </c>
      <c r="B153" s="12"/>
      <c r="C153" s="105" t="s">
        <v>372</v>
      </c>
      <c r="D153" s="225">
        <v>1755738</v>
      </c>
      <c r="E153" s="105">
        <v>2571806633</v>
      </c>
      <c r="F153" s="105">
        <v>8745694</v>
      </c>
      <c r="G153" s="12" t="s">
        <v>373</v>
      </c>
      <c r="H153" s="11" t="s">
        <v>41</v>
      </c>
      <c r="I153" s="11"/>
      <c r="J153" s="227" t="s">
        <v>11</v>
      </c>
      <c r="K153" s="11"/>
      <c r="L153" s="11" t="s">
        <v>12</v>
      </c>
      <c r="M153" s="11" t="s">
        <v>216</v>
      </c>
      <c r="N153" s="231" t="s">
        <v>374</v>
      </c>
    </row>
    <row r="154" spans="1:15" x14ac:dyDescent="0.35">
      <c r="A154" s="215">
        <v>29</v>
      </c>
      <c r="B154" s="12"/>
      <c r="C154" s="12" t="s">
        <v>66</v>
      </c>
      <c r="D154" s="12">
        <v>1755609</v>
      </c>
      <c r="E154" s="12">
        <v>2566403214</v>
      </c>
      <c r="F154" s="12">
        <v>8706544</v>
      </c>
      <c r="G154" s="12" t="s">
        <v>375</v>
      </c>
      <c r="H154" s="11" t="s">
        <v>13</v>
      </c>
      <c r="I154" s="11"/>
      <c r="J154" s="227" t="s">
        <v>11</v>
      </c>
      <c r="K154" s="11">
        <v>1</v>
      </c>
      <c r="L154" s="11" t="s">
        <v>12</v>
      </c>
      <c r="M154" s="11" t="s">
        <v>216</v>
      </c>
      <c r="N154" s="228" t="s">
        <v>376</v>
      </c>
      <c r="O154" s="7"/>
    </row>
    <row r="155" spans="1:15" s="232" customFormat="1" x14ac:dyDescent="0.35">
      <c r="A155" s="215">
        <v>30</v>
      </c>
      <c r="B155" s="11"/>
      <c r="C155" s="12" t="s">
        <v>377</v>
      </c>
      <c r="D155" s="12">
        <v>1755537</v>
      </c>
      <c r="E155" s="12">
        <v>2562390142</v>
      </c>
      <c r="F155" s="12">
        <v>8681657</v>
      </c>
      <c r="G155" s="12" t="s">
        <v>378</v>
      </c>
      <c r="H155" s="11" t="s">
        <v>13</v>
      </c>
      <c r="I155" s="11"/>
      <c r="J155" s="227" t="s">
        <v>11</v>
      </c>
      <c r="K155" s="11"/>
      <c r="L155" s="11" t="s">
        <v>12</v>
      </c>
      <c r="M155" s="11" t="s">
        <v>216</v>
      </c>
      <c r="N155" s="226" t="s">
        <v>379</v>
      </c>
    </row>
    <row r="156" spans="1:15" s="232" customFormat="1" x14ac:dyDescent="0.35">
      <c r="A156" s="215">
        <v>31</v>
      </c>
      <c r="B156" s="11"/>
      <c r="C156" s="10" t="s">
        <v>380</v>
      </c>
      <c r="D156" s="12">
        <v>9604216</v>
      </c>
      <c r="E156" s="12">
        <v>2558774101</v>
      </c>
      <c r="F156" s="12">
        <v>8647204</v>
      </c>
      <c r="G156" s="12" t="s">
        <v>381</v>
      </c>
      <c r="H156" s="11" t="s">
        <v>58</v>
      </c>
      <c r="I156" s="11"/>
      <c r="J156" s="11" t="s">
        <v>382</v>
      </c>
      <c r="K156" s="11"/>
      <c r="L156" s="11" t="s">
        <v>12</v>
      </c>
      <c r="M156" s="11"/>
      <c r="N156" s="228" t="s">
        <v>383</v>
      </c>
    </row>
    <row r="157" spans="1:15" s="232" customFormat="1" x14ac:dyDescent="0.35">
      <c r="A157" s="215">
        <v>32</v>
      </c>
      <c r="B157" s="11"/>
      <c r="C157" s="105" t="s">
        <v>384</v>
      </c>
      <c r="D157" s="105">
        <v>1755952</v>
      </c>
      <c r="E157" s="105">
        <v>1076470507</v>
      </c>
      <c r="F157" s="105">
        <v>8716984</v>
      </c>
      <c r="G157" s="12" t="s">
        <v>385</v>
      </c>
      <c r="H157" s="64" t="s">
        <v>10</v>
      </c>
      <c r="I157" s="64"/>
      <c r="J157" s="227" t="s">
        <v>11</v>
      </c>
      <c r="K157" s="11">
        <v>1</v>
      </c>
      <c r="L157" s="11" t="s">
        <v>12</v>
      </c>
      <c r="M157" s="11" t="s">
        <v>217</v>
      </c>
      <c r="N157" s="228" t="s">
        <v>386</v>
      </c>
    </row>
    <row r="158" spans="1:15" s="232" customFormat="1" x14ac:dyDescent="0.35">
      <c r="A158" s="215">
        <v>33</v>
      </c>
      <c r="B158" s="11"/>
      <c r="C158" s="12" t="s">
        <v>106</v>
      </c>
      <c r="D158" s="12">
        <v>1756048</v>
      </c>
      <c r="E158" s="12">
        <v>2593672120</v>
      </c>
      <c r="F158" s="225">
        <v>7278909</v>
      </c>
      <c r="G158" s="12" t="s">
        <v>387</v>
      </c>
      <c r="H158" s="11" t="s">
        <v>51</v>
      </c>
      <c r="I158" s="11"/>
      <c r="J158" s="227" t="s">
        <v>11</v>
      </c>
      <c r="K158" s="11"/>
      <c r="L158" s="11" t="s">
        <v>12</v>
      </c>
      <c r="M158" s="11" t="s">
        <v>217</v>
      </c>
      <c r="N158" s="228" t="s">
        <v>388</v>
      </c>
    </row>
    <row r="159" spans="1:15" s="232" customFormat="1" x14ac:dyDescent="0.35">
      <c r="A159" s="215">
        <v>34</v>
      </c>
      <c r="B159" s="11"/>
      <c r="C159" s="105" t="s">
        <v>83</v>
      </c>
      <c r="D159" s="12">
        <v>1755974</v>
      </c>
      <c r="E159" s="105">
        <v>2587700291</v>
      </c>
      <c r="F159" s="105">
        <v>8720284</v>
      </c>
      <c r="G159" s="12" t="s">
        <v>389</v>
      </c>
      <c r="H159" s="11" t="s">
        <v>13</v>
      </c>
      <c r="I159" s="11"/>
      <c r="J159" s="227" t="s">
        <v>11</v>
      </c>
      <c r="K159" s="11"/>
      <c r="L159" s="11" t="s">
        <v>12</v>
      </c>
      <c r="M159" s="11" t="s">
        <v>216</v>
      </c>
      <c r="N159" s="228" t="s">
        <v>390</v>
      </c>
    </row>
    <row r="160" spans="1:15" x14ac:dyDescent="0.35">
      <c r="A160" s="215">
        <v>35</v>
      </c>
      <c r="B160" s="11"/>
      <c r="C160" s="12" t="s">
        <v>219</v>
      </c>
      <c r="D160" s="12">
        <v>1756049</v>
      </c>
      <c r="E160" s="12">
        <v>2593672153</v>
      </c>
      <c r="F160" s="225">
        <v>8736541</v>
      </c>
      <c r="G160" s="12" t="s">
        <v>359</v>
      </c>
      <c r="H160" s="11" t="s">
        <v>51</v>
      </c>
      <c r="I160" s="11"/>
      <c r="J160" s="227" t="s">
        <v>11</v>
      </c>
      <c r="K160" s="11"/>
      <c r="L160" s="11" t="s">
        <v>12</v>
      </c>
      <c r="M160" s="11" t="s">
        <v>216</v>
      </c>
      <c r="N160" s="228" t="s">
        <v>360</v>
      </c>
      <c r="O160" s="7"/>
    </row>
    <row r="161" spans="1:14" s="7" customFormat="1" x14ac:dyDescent="0.35">
      <c r="A161" s="234">
        <v>36</v>
      </c>
      <c r="B161" s="6"/>
      <c r="C161" s="235" t="s">
        <v>84</v>
      </c>
      <c r="D161" s="6">
        <v>1755856</v>
      </c>
      <c r="E161" s="6">
        <v>2577685254</v>
      </c>
      <c r="F161" s="6">
        <v>8714182</v>
      </c>
      <c r="G161" s="17" t="s">
        <v>391</v>
      </c>
      <c r="H161" s="6" t="s">
        <v>13</v>
      </c>
      <c r="I161" s="6"/>
      <c r="J161" s="227" t="s">
        <v>11</v>
      </c>
      <c r="K161" s="6"/>
      <c r="L161" s="6" t="s">
        <v>12</v>
      </c>
      <c r="M161" s="6" t="s">
        <v>216</v>
      </c>
      <c r="N161" s="89" t="s">
        <v>392</v>
      </c>
    </row>
    <row r="162" spans="1:14" s="7" customFormat="1" x14ac:dyDescent="0.35">
      <c r="A162" s="234">
        <v>37</v>
      </c>
      <c r="B162" s="6"/>
      <c r="C162" s="17" t="s">
        <v>242</v>
      </c>
      <c r="D162" s="6">
        <v>9604239</v>
      </c>
      <c r="E162" s="6">
        <v>2575699935</v>
      </c>
      <c r="F162" s="6"/>
      <c r="G162" s="94" t="s">
        <v>239</v>
      </c>
      <c r="H162" s="6" t="s">
        <v>51</v>
      </c>
      <c r="I162" s="6"/>
      <c r="J162" s="6" t="s">
        <v>241</v>
      </c>
      <c r="K162" s="6"/>
      <c r="L162" s="6" t="s">
        <v>12</v>
      </c>
      <c r="M162" s="6" t="s">
        <v>216</v>
      </c>
      <c r="N162" s="89" t="s">
        <v>393</v>
      </c>
    </row>
    <row r="163" spans="1:14" s="7" customFormat="1" x14ac:dyDescent="0.35">
      <c r="A163" s="234">
        <v>38</v>
      </c>
      <c r="B163" s="6"/>
      <c r="C163" s="17" t="s">
        <v>110</v>
      </c>
      <c r="D163" s="6">
        <v>9604197</v>
      </c>
      <c r="E163" s="6">
        <v>2563049200</v>
      </c>
      <c r="F163" s="6"/>
      <c r="G163" s="17" t="s">
        <v>394</v>
      </c>
      <c r="H163" s="6" t="s">
        <v>321</v>
      </c>
      <c r="I163" s="6"/>
      <c r="J163" s="6" t="s">
        <v>329</v>
      </c>
      <c r="K163" s="6"/>
      <c r="L163" s="6" t="s">
        <v>12</v>
      </c>
      <c r="M163" s="6" t="s">
        <v>216</v>
      </c>
      <c r="N163" s="89" t="s">
        <v>395</v>
      </c>
    </row>
    <row r="164" spans="1:14" s="7" customFormat="1" x14ac:dyDescent="0.35">
      <c r="A164" s="234">
        <v>39</v>
      </c>
      <c r="B164" s="6"/>
      <c r="C164" s="235" t="s">
        <v>396</v>
      </c>
      <c r="D164" s="6">
        <v>9604375</v>
      </c>
      <c r="E164" s="6">
        <v>2612017489</v>
      </c>
      <c r="F164" s="6"/>
      <c r="G164" s="17" t="s">
        <v>397</v>
      </c>
      <c r="H164" s="6" t="s">
        <v>58</v>
      </c>
      <c r="I164" s="6"/>
      <c r="J164" s="6" t="s">
        <v>107</v>
      </c>
      <c r="K164" s="6"/>
      <c r="L164" s="6" t="s">
        <v>12</v>
      </c>
      <c r="M164" s="6" t="s">
        <v>216</v>
      </c>
      <c r="N164" s="89" t="s">
        <v>395</v>
      </c>
    </row>
    <row r="165" spans="1:14" s="232" customFormat="1" x14ac:dyDescent="0.35">
      <c r="A165" s="215">
        <v>40</v>
      </c>
      <c r="B165" s="11"/>
      <c r="C165" s="12" t="s">
        <v>16</v>
      </c>
      <c r="D165" s="11">
        <v>1755355</v>
      </c>
      <c r="E165" s="11">
        <v>2538798873</v>
      </c>
      <c r="F165" s="11">
        <v>7306326</v>
      </c>
      <c r="G165" s="12" t="s">
        <v>123</v>
      </c>
      <c r="H165" s="11" t="s">
        <v>13</v>
      </c>
      <c r="I165" s="11" t="s">
        <v>419</v>
      </c>
      <c r="J165" s="11" t="s">
        <v>11</v>
      </c>
      <c r="K165" s="11"/>
      <c r="L165" s="11" t="s">
        <v>12</v>
      </c>
      <c r="M165" s="11" t="s">
        <v>216</v>
      </c>
      <c r="N165" s="28" t="s">
        <v>416</v>
      </c>
    </row>
  </sheetData>
  <autoFilter ref="A3:N111" xr:uid="{59CA2C84-577B-460A-8580-73DCC1C9D7C7}"/>
  <mergeCells count="5">
    <mergeCell ref="A1:N1"/>
    <mergeCell ref="A2:N2"/>
    <mergeCell ref="A113:N113"/>
    <mergeCell ref="A125:N125"/>
    <mergeCell ref="H111:I111"/>
  </mergeCells>
  <conditionalFormatting sqref="D37">
    <cfRule type="duplicateValues" dxfId="89" priority="50"/>
  </conditionalFormatting>
  <conditionalFormatting sqref="D103:D118 D1:D5 D33 D38 D83:D97 D15:D19 D165:D1048576 D40:D44 D8:D13 D62:D72 D21:D31 D46:D48 D76:D77 D50:D53 D55:D59 D124 D79:D81">
    <cfRule type="duplicateValues" dxfId="88" priority="75"/>
  </conditionalFormatting>
  <conditionalFormatting sqref="D7">
    <cfRule type="duplicateValues" dxfId="87" priority="49"/>
  </conditionalFormatting>
  <conditionalFormatting sqref="D32">
    <cfRule type="duplicateValues" dxfId="86" priority="48"/>
  </conditionalFormatting>
  <conditionalFormatting sqref="D82">
    <cfRule type="duplicateValues" dxfId="85" priority="47"/>
  </conditionalFormatting>
  <conditionalFormatting sqref="D99">
    <cfRule type="duplicateValues" dxfId="84" priority="44"/>
  </conditionalFormatting>
  <conditionalFormatting sqref="D39">
    <cfRule type="duplicateValues" dxfId="83" priority="43"/>
  </conditionalFormatting>
  <conditionalFormatting sqref="D20">
    <cfRule type="duplicateValues" dxfId="82" priority="39"/>
  </conditionalFormatting>
  <conditionalFormatting sqref="D45">
    <cfRule type="duplicateValues" dxfId="81" priority="38"/>
  </conditionalFormatting>
  <conditionalFormatting sqref="D100">
    <cfRule type="duplicateValues" dxfId="80" priority="37"/>
  </conditionalFormatting>
  <conditionalFormatting sqref="D49">
    <cfRule type="duplicateValues" dxfId="79" priority="36"/>
  </conditionalFormatting>
  <conditionalFormatting sqref="D54">
    <cfRule type="duplicateValues" dxfId="78" priority="35"/>
  </conditionalFormatting>
  <conditionalFormatting sqref="D36">
    <cfRule type="duplicateValues" dxfId="77" priority="34"/>
  </conditionalFormatting>
  <conditionalFormatting sqref="D35">
    <cfRule type="duplicateValues" dxfId="76" priority="33"/>
  </conditionalFormatting>
  <conditionalFormatting sqref="D119:D120">
    <cfRule type="duplicateValues" dxfId="75" priority="32"/>
  </conditionalFormatting>
  <conditionalFormatting sqref="D121">
    <cfRule type="duplicateValues" dxfId="74" priority="31"/>
  </conditionalFormatting>
  <conditionalFormatting sqref="D126">
    <cfRule type="duplicateValues" dxfId="73" priority="29"/>
  </conditionalFormatting>
  <conditionalFormatting sqref="D127:D143">
    <cfRule type="duplicateValues" dxfId="72" priority="28"/>
  </conditionalFormatting>
  <conditionalFormatting sqref="D144:D145">
    <cfRule type="duplicateValues" dxfId="71" priority="27"/>
  </conditionalFormatting>
  <conditionalFormatting sqref="D146">
    <cfRule type="duplicateValues" dxfId="70" priority="26"/>
  </conditionalFormatting>
  <conditionalFormatting sqref="D147">
    <cfRule type="duplicateValues" dxfId="69" priority="25"/>
  </conditionalFormatting>
  <conditionalFormatting sqref="D148">
    <cfRule type="duplicateValues" dxfId="68" priority="24"/>
  </conditionalFormatting>
  <conditionalFormatting sqref="D151">
    <cfRule type="duplicateValues" dxfId="67" priority="23"/>
  </conditionalFormatting>
  <conditionalFormatting sqref="D152">
    <cfRule type="duplicateValues" dxfId="66" priority="22"/>
  </conditionalFormatting>
  <conditionalFormatting sqref="D149">
    <cfRule type="duplicateValues" dxfId="65" priority="21"/>
  </conditionalFormatting>
  <conditionalFormatting sqref="D150">
    <cfRule type="duplicateValues" dxfId="64" priority="20"/>
  </conditionalFormatting>
  <conditionalFormatting sqref="D125">
    <cfRule type="duplicateValues" dxfId="63" priority="19"/>
  </conditionalFormatting>
  <conditionalFormatting sqref="D153">
    <cfRule type="duplicateValues" dxfId="62" priority="18"/>
  </conditionalFormatting>
  <conditionalFormatting sqref="D154">
    <cfRule type="duplicateValues" dxfId="61" priority="17"/>
  </conditionalFormatting>
  <conditionalFormatting sqref="D155">
    <cfRule type="duplicateValues" dxfId="60" priority="16"/>
  </conditionalFormatting>
  <conditionalFormatting sqref="D156">
    <cfRule type="duplicateValues" dxfId="59" priority="15"/>
  </conditionalFormatting>
  <conditionalFormatting sqref="D157">
    <cfRule type="duplicateValues" dxfId="58" priority="14"/>
  </conditionalFormatting>
  <conditionalFormatting sqref="D158">
    <cfRule type="duplicateValues" dxfId="57" priority="13"/>
  </conditionalFormatting>
  <conditionalFormatting sqref="D159">
    <cfRule type="duplicateValues" dxfId="56" priority="12"/>
  </conditionalFormatting>
  <conditionalFormatting sqref="D160">
    <cfRule type="duplicateValues" dxfId="55" priority="11"/>
  </conditionalFormatting>
  <conditionalFormatting sqref="D161">
    <cfRule type="duplicateValues" dxfId="54" priority="10"/>
  </conditionalFormatting>
  <conditionalFormatting sqref="D162">
    <cfRule type="duplicateValues" dxfId="53" priority="9"/>
  </conditionalFormatting>
  <conditionalFormatting sqref="D163">
    <cfRule type="duplicateValues" dxfId="52" priority="8"/>
  </conditionalFormatting>
  <conditionalFormatting sqref="D164">
    <cfRule type="duplicateValues" dxfId="51" priority="7"/>
  </conditionalFormatting>
  <conditionalFormatting sqref="D60">
    <cfRule type="duplicateValues" dxfId="50" priority="6"/>
  </conditionalFormatting>
  <conditionalFormatting sqref="D122">
    <cfRule type="duplicateValues" dxfId="49" priority="5"/>
  </conditionalFormatting>
  <conditionalFormatting sqref="D123">
    <cfRule type="duplicateValues" dxfId="48" priority="4"/>
  </conditionalFormatting>
  <conditionalFormatting sqref="D34">
    <cfRule type="duplicateValues" dxfId="47" priority="3"/>
  </conditionalFormatting>
  <conditionalFormatting sqref="D101:D102">
    <cfRule type="duplicateValues" dxfId="46" priority="2"/>
  </conditionalFormatting>
  <conditionalFormatting sqref="D78">
    <cfRule type="duplicateValues" dxfId="45" priority="1"/>
  </conditionalFormatting>
  <pageMargins left="0.7" right="0.7" top="0.75" bottom="0.75" header="0.3" footer="0.3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537F-7C1A-48A6-B9A4-C94438046B96}">
  <dimension ref="C2:RP337"/>
  <sheetViews>
    <sheetView showGridLines="0" tabSelected="1" topLeftCell="A13" zoomScale="70" zoomScaleNormal="70" workbookViewId="0">
      <selection activeCell="GS58" sqref="GS58"/>
    </sheetView>
  </sheetViews>
  <sheetFormatPr defaultColWidth="0.81640625" defaultRowHeight="5.15" customHeight="1" x14ac:dyDescent="0.35"/>
  <cols>
    <col min="1" max="16384" width="0.81640625" style="147"/>
  </cols>
  <sheetData>
    <row r="2" spans="3:484" ht="5.15" customHeight="1" thickBot="1" x14ac:dyDescent="0.4"/>
    <row r="3" spans="3:484" s="151" customFormat="1" ht="5.15" customHeight="1" thickTop="1" x14ac:dyDescent="0.35">
      <c r="C3" s="148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49"/>
      <c r="AX3" s="149"/>
      <c r="AY3" s="149"/>
      <c r="AZ3" s="149"/>
      <c r="BA3" s="149"/>
      <c r="BB3" s="149"/>
      <c r="BC3" s="149"/>
      <c r="BD3" s="149"/>
      <c r="BE3" s="149"/>
      <c r="BF3" s="149"/>
      <c r="BG3" s="149"/>
      <c r="BH3" s="149"/>
      <c r="BI3" s="149"/>
      <c r="BJ3" s="149"/>
      <c r="BK3" s="149"/>
      <c r="BL3" s="149"/>
      <c r="BM3" s="149"/>
      <c r="BN3" s="149"/>
      <c r="BO3" s="149"/>
      <c r="BP3" s="149"/>
      <c r="BQ3" s="149"/>
      <c r="BR3" s="149"/>
      <c r="BS3" s="149"/>
      <c r="BT3" s="149"/>
      <c r="BU3" s="149"/>
      <c r="BV3" s="149"/>
      <c r="BW3" s="149"/>
      <c r="BX3" s="149"/>
      <c r="BY3" s="149"/>
      <c r="BZ3" s="149"/>
      <c r="CA3" s="149"/>
      <c r="CB3" s="149"/>
      <c r="CC3" s="149"/>
      <c r="CD3" s="149"/>
      <c r="CE3" s="149"/>
      <c r="CF3" s="149"/>
      <c r="CG3" s="149"/>
      <c r="CH3" s="149"/>
      <c r="CI3" s="149"/>
      <c r="CJ3" s="149"/>
      <c r="CK3" s="149"/>
      <c r="CL3" s="149"/>
      <c r="CM3" s="149"/>
      <c r="CN3" s="149"/>
      <c r="CO3" s="149"/>
      <c r="CP3" s="149"/>
      <c r="CQ3" s="149"/>
      <c r="CR3" s="149"/>
      <c r="CS3" s="149"/>
      <c r="CT3" s="149"/>
      <c r="CU3" s="149"/>
      <c r="CV3" s="149"/>
      <c r="CW3" s="149"/>
      <c r="CX3" s="149"/>
      <c r="CY3" s="149"/>
      <c r="CZ3" s="149"/>
      <c r="DA3" s="149"/>
      <c r="DB3" s="149"/>
      <c r="DC3" s="149"/>
      <c r="DD3" s="149"/>
      <c r="DE3" s="149"/>
      <c r="DF3" s="149"/>
      <c r="DG3" s="149"/>
      <c r="DH3" s="149"/>
      <c r="DI3" s="149"/>
      <c r="DJ3" s="149"/>
      <c r="DK3" s="149"/>
      <c r="DL3" s="149"/>
      <c r="DM3" s="149"/>
      <c r="DN3" s="149"/>
      <c r="DO3" s="149"/>
      <c r="DP3" s="149"/>
      <c r="DQ3" s="149"/>
      <c r="DR3" s="149"/>
      <c r="DS3" s="149"/>
      <c r="DT3" s="149"/>
      <c r="DU3" s="149"/>
      <c r="DV3" s="149"/>
      <c r="DW3" s="149"/>
      <c r="DX3" s="149"/>
      <c r="DY3" s="149"/>
      <c r="DZ3" s="149"/>
      <c r="EA3" s="149"/>
      <c r="EB3" s="149"/>
      <c r="EC3" s="149"/>
      <c r="ED3" s="149"/>
      <c r="EE3" s="149"/>
      <c r="EF3" s="149"/>
      <c r="EG3" s="149"/>
      <c r="EH3" s="149"/>
      <c r="EI3" s="149"/>
      <c r="EJ3" s="149"/>
      <c r="EK3" s="149"/>
      <c r="EL3" s="149"/>
      <c r="EM3" s="149"/>
      <c r="EN3" s="149"/>
      <c r="EO3" s="149"/>
      <c r="EP3" s="149"/>
      <c r="EQ3" s="149"/>
      <c r="ER3" s="149"/>
      <c r="ES3" s="149"/>
      <c r="ET3" s="149"/>
      <c r="EU3" s="149"/>
      <c r="EV3" s="149"/>
      <c r="EW3" s="149"/>
      <c r="EX3" s="149"/>
      <c r="EY3" s="149"/>
      <c r="EZ3" s="149"/>
      <c r="FA3" s="149"/>
      <c r="FB3" s="149"/>
      <c r="FC3" s="149"/>
      <c r="FD3" s="149"/>
      <c r="FE3" s="149"/>
      <c r="FF3" s="149"/>
      <c r="FG3" s="149"/>
      <c r="FH3" s="149"/>
      <c r="FI3" s="149"/>
      <c r="FJ3" s="149"/>
      <c r="FK3" s="149"/>
      <c r="FL3" s="149"/>
      <c r="FM3" s="149"/>
      <c r="FN3" s="149"/>
      <c r="FO3" s="149"/>
      <c r="FP3" s="149"/>
      <c r="FQ3" s="149"/>
      <c r="FR3" s="149"/>
      <c r="FS3" s="149"/>
      <c r="FT3" s="149"/>
      <c r="FU3" s="149"/>
      <c r="FV3" s="149"/>
      <c r="FW3" s="149"/>
      <c r="FX3" s="149"/>
      <c r="FY3" s="149"/>
      <c r="FZ3" s="149"/>
      <c r="GA3" s="149"/>
      <c r="GB3" s="149"/>
      <c r="GC3" s="149"/>
      <c r="GD3" s="149"/>
      <c r="GE3" s="149"/>
      <c r="GF3" s="149"/>
      <c r="GG3" s="149"/>
      <c r="GH3" s="149"/>
      <c r="GI3" s="149"/>
      <c r="GJ3" s="149"/>
      <c r="GK3" s="149"/>
      <c r="GL3" s="149"/>
      <c r="GM3" s="149"/>
      <c r="GN3" s="149"/>
      <c r="GO3" s="149"/>
      <c r="GP3" s="149"/>
      <c r="GQ3" s="149"/>
      <c r="GR3" s="149"/>
      <c r="GS3" s="149"/>
      <c r="GT3" s="149"/>
      <c r="GU3" s="149"/>
      <c r="GV3" s="149"/>
      <c r="GW3" s="149"/>
      <c r="GX3" s="149"/>
      <c r="GY3" s="149"/>
      <c r="GZ3" s="149"/>
      <c r="HA3" s="149"/>
      <c r="HB3" s="149"/>
      <c r="HC3" s="149"/>
      <c r="HD3" s="149"/>
      <c r="HE3" s="149"/>
      <c r="HF3" s="149"/>
      <c r="HG3" s="149"/>
      <c r="HH3" s="149"/>
      <c r="HI3" s="149"/>
      <c r="HJ3" s="149"/>
      <c r="HK3" s="149"/>
      <c r="HL3" s="149"/>
      <c r="HM3" s="149"/>
      <c r="HN3" s="149"/>
      <c r="HO3" s="149"/>
      <c r="HP3" s="149"/>
      <c r="HQ3" s="149"/>
      <c r="HR3" s="149"/>
      <c r="HS3" s="149"/>
      <c r="HT3" s="149"/>
      <c r="HU3" s="149"/>
      <c r="HV3" s="149"/>
      <c r="HW3" s="149"/>
      <c r="HX3" s="149"/>
      <c r="HY3" s="149"/>
      <c r="HZ3" s="149"/>
      <c r="IA3" s="149"/>
      <c r="IB3" s="149"/>
      <c r="IC3" s="149"/>
      <c r="ID3" s="149"/>
      <c r="IE3" s="149"/>
      <c r="IF3" s="149"/>
      <c r="IG3" s="149"/>
      <c r="IH3" s="149"/>
      <c r="II3" s="149"/>
      <c r="IJ3" s="149"/>
      <c r="IK3" s="149"/>
      <c r="IL3" s="149"/>
      <c r="IM3" s="149"/>
      <c r="IN3" s="149"/>
      <c r="IO3" s="149"/>
      <c r="IP3" s="149"/>
      <c r="IQ3" s="149"/>
      <c r="IR3" s="149"/>
      <c r="IS3" s="149"/>
      <c r="IT3" s="149"/>
      <c r="IU3" s="149"/>
      <c r="IV3" s="149"/>
      <c r="IW3" s="149"/>
      <c r="IX3" s="149"/>
      <c r="IY3" s="149"/>
      <c r="IZ3" s="149"/>
      <c r="JA3" s="149"/>
      <c r="JB3" s="149"/>
      <c r="JC3" s="149"/>
      <c r="JD3" s="149"/>
      <c r="JE3" s="149"/>
      <c r="JF3" s="149"/>
      <c r="JG3" s="149"/>
      <c r="JH3" s="149"/>
      <c r="JI3" s="149"/>
      <c r="JJ3" s="149"/>
      <c r="JK3" s="149"/>
      <c r="JL3" s="149"/>
      <c r="JM3" s="149"/>
      <c r="JN3" s="149"/>
      <c r="JO3" s="149"/>
      <c r="JP3" s="149"/>
      <c r="JQ3" s="149"/>
      <c r="JR3" s="149"/>
      <c r="JS3" s="149"/>
      <c r="JT3" s="149"/>
      <c r="JU3" s="149"/>
      <c r="JV3" s="149"/>
      <c r="JW3" s="149"/>
      <c r="JX3" s="149"/>
      <c r="JY3" s="149"/>
      <c r="JZ3" s="149"/>
      <c r="KA3" s="149"/>
      <c r="KB3" s="149"/>
      <c r="KC3" s="149"/>
      <c r="KD3" s="149"/>
      <c r="KE3" s="149"/>
      <c r="KF3" s="149"/>
      <c r="KG3" s="149"/>
      <c r="KH3" s="149"/>
      <c r="KI3" s="149"/>
      <c r="KJ3" s="149"/>
      <c r="KK3" s="149"/>
      <c r="KL3" s="149"/>
      <c r="KM3" s="149"/>
      <c r="KN3" s="149"/>
      <c r="KO3" s="149"/>
      <c r="KP3" s="149"/>
      <c r="KQ3" s="149"/>
      <c r="KR3" s="149"/>
      <c r="KS3" s="149"/>
      <c r="KT3" s="149"/>
      <c r="KU3" s="149"/>
      <c r="KV3" s="149"/>
      <c r="KW3" s="149"/>
      <c r="KX3" s="149"/>
      <c r="KY3" s="149"/>
      <c r="KZ3" s="149"/>
      <c r="LA3" s="149"/>
      <c r="LB3" s="149"/>
      <c r="LC3" s="149"/>
      <c r="LD3" s="149"/>
      <c r="LE3" s="149"/>
      <c r="LF3" s="149"/>
      <c r="LG3" s="149"/>
      <c r="LH3" s="149"/>
      <c r="LI3" s="149"/>
      <c r="LJ3" s="149"/>
      <c r="LK3" s="149"/>
      <c r="LL3" s="149"/>
      <c r="LM3" s="149"/>
      <c r="LN3" s="149"/>
      <c r="LO3" s="149"/>
      <c r="LP3" s="149"/>
      <c r="LQ3" s="149"/>
      <c r="LR3" s="149"/>
      <c r="LS3" s="149"/>
      <c r="LT3" s="149"/>
      <c r="LU3" s="149"/>
      <c r="LV3" s="149"/>
      <c r="LW3" s="149"/>
      <c r="LX3" s="149"/>
      <c r="LY3" s="149"/>
      <c r="LZ3" s="149"/>
      <c r="MA3" s="149"/>
      <c r="MB3" s="149"/>
      <c r="MC3" s="149"/>
      <c r="MD3" s="149"/>
      <c r="ME3" s="149"/>
      <c r="MF3" s="149"/>
      <c r="MG3" s="149"/>
      <c r="MH3" s="149"/>
      <c r="MI3" s="149"/>
      <c r="MJ3" s="149"/>
      <c r="MK3" s="149"/>
      <c r="ML3" s="149"/>
      <c r="MM3" s="149"/>
      <c r="MN3" s="149"/>
      <c r="MO3" s="149"/>
      <c r="MP3" s="149"/>
      <c r="MQ3" s="149"/>
      <c r="MR3" s="149"/>
      <c r="MS3" s="149"/>
      <c r="MT3" s="149"/>
      <c r="MU3" s="149"/>
      <c r="MV3" s="149"/>
      <c r="MW3" s="149"/>
      <c r="MX3" s="149"/>
      <c r="MY3" s="149"/>
      <c r="MZ3" s="149"/>
      <c r="NA3" s="149"/>
      <c r="NB3" s="149"/>
      <c r="NC3" s="149"/>
      <c r="ND3" s="149"/>
      <c r="NE3" s="149"/>
      <c r="NF3" s="149"/>
      <c r="NG3" s="149"/>
      <c r="NH3" s="149"/>
      <c r="NI3" s="149"/>
      <c r="NJ3" s="149"/>
      <c r="NK3" s="149"/>
      <c r="NL3" s="149"/>
      <c r="NM3" s="149"/>
      <c r="NN3" s="149"/>
      <c r="NO3" s="149"/>
      <c r="NP3" s="149"/>
      <c r="NQ3" s="149"/>
      <c r="NR3" s="149"/>
      <c r="NS3" s="149"/>
      <c r="NT3" s="149"/>
      <c r="NU3" s="149"/>
      <c r="NV3" s="149"/>
      <c r="NW3" s="149"/>
      <c r="NX3" s="149"/>
      <c r="NY3" s="149"/>
      <c r="NZ3" s="149"/>
      <c r="OA3" s="149"/>
      <c r="OB3" s="149"/>
      <c r="OC3" s="149"/>
      <c r="OD3" s="149"/>
      <c r="OE3" s="149"/>
      <c r="OF3" s="149"/>
      <c r="OG3" s="149"/>
      <c r="OH3" s="149"/>
      <c r="OI3" s="149"/>
      <c r="OJ3" s="149"/>
      <c r="OK3" s="149"/>
      <c r="OL3" s="149"/>
      <c r="OM3" s="149"/>
      <c r="ON3" s="149"/>
      <c r="OO3" s="149"/>
      <c r="OP3" s="149"/>
      <c r="OQ3" s="149"/>
      <c r="OR3" s="149"/>
      <c r="OS3" s="149"/>
      <c r="OT3" s="149"/>
      <c r="OU3" s="149"/>
      <c r="OV3" s="149"/>
      <c r="OW3" s="149"/>
      <c r="OX3" s="149"/>
      <c r="OY3" s="149"/>
      <c r="OZ3" s="149"/>
      <c r="PA3" s="149"/>
      <c r="PB3" s="149"/>
      <c r="PC3" s="149"/>
      <c r="PD3" s="149"/>
      <c r="PE3" s="149"/>
      <c r="PF3" s="149"/>
      <c r="PG3" s="149"/>
      <c r="PH3" s="149"/>
      <c r="PI3" s="149"/>
      <c r="PJ3" s="149"/>
      <c r="PK3" s="149"/>
      <c r="PL3" s="149"/>
      <c r="PM3" s="149"/>
      <c r="PN3" s="149"/>
      <c r="PO3" s="149"/>
      <c r="PP3" s="149"/>
      <c r="PQ3" s="149"/>
      <c r="PR3" s="149"/>
      <c r="PS3" s="149"/>
      <c r="PT3" s="149"/>
      <c r="PU3" s="149"/>
      <c r="PV3" s="149"/>
      <c r="PW3" s="149"/>
      <c r="PX3" s="149"/>
      <c r="PY3" s="149"/>
      <c r="PZ3" s="149"/>
      <c r="QA3" s="149"/>
      <c r="QB3" s="149"/>
      <c r="QC3" s="149"/>
      <c r="QD3" s="149"/>
      <c r="QE3" s="149"/>
      <c r="QF3" s="149"/>
      <c r="QG3" s="149"/>
      <c r="QH3" s="149"/>
      <c r="QI3" s="149"/>
      <c r="QJ3" s="149"/>
      <c r="QK3" s="149"/>
      <c r="QL3" s="149"/>
      <c r="QM3" s="149"/>
      <c r="QN3" s="149"/>
      <c r="QO3" s="149"/>
      <c r="QP3" s="149"/>
      <c r="QQ3" s="149"/>
      <c r="QR3" s="150"/>
    </row>
    <row r="4" spans="3:484" s="151" customFormat="1" ht="5.15" customHeight="1" thickBot="1" x14ac:dyDescent="0.4">
      <c r="C4" s="152"/>
      <c r="D4" s="153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54"/>
      <c r="BA4" s="154"/>
      <c r="BB4" s="154"/>
      <c r="BC4" s="154"/>
      <c r="BD4" s="154"/>
      <c r="BE4" s="154"/>
      <c r="BF4" s="154"/>
      <c r="BG4" s="154"/>
      <c r="BH4" s="154"/>
      <c r="BI4" s="154"/>
      <c r="BJ4" s="154"/>
      <c r="BK4" s="154"/>
      <c r="BL4" s="154"/>
      <c r="BM4" s="154"/>
      <c r="BN4" s="154"/>
      <c r="BO4" s="154"/>
      <c r="BP4" s="154"/>
      <c r="BQ4" s="154"/>
      <c r="BR4" s="154"/>
      <c r="BS4" s="154"/>
      <c r="BT4" s="154"/>
      <c r="BU4" s="154"/>
      <c r="BV4" s="154"/>
      <c r="BW4" s="154"/>
      <c r="BX4" s="154"/>
      <c r="BY4" s="154"/>
      <c r="BZ4" s="154"/>
      <c r="CA4" s="154"/>
      <c r="CB4" s="154"/>
      <c r="CC4" s="154"/>
      <c r="CD4" s="154"/>
      <c r="CE4" s="154"/>
      <c r="CF4" s="154"/>
      <c r="CG4" s="154"/>
      <c r="CH4" s="154"/>
      <c r="CI4" s="154"/>
      <c r="CJ4" s="154"/>
      <c r="CK4" s="154"/>
      <c r="CL4" s="154"/>
      <c r="CM4" s="154"/>
      <c r="CN4" s="154"/>
      <c r="CO4" s="154"/>
      <c r="CP4" s="154"/>
      <c r="CQ4" s="154"/>
      <c r="CR4" s="154"/>
      <c r="CS4" s="154"/>
      <c r="CT4" s="154"/>
      <c r="CU4" s="154"/>
      <c r="CV4" s="154"/>
      <c r="CW4" s="154"/>
      <c r="CX4" s="154"/>
      <c r="CY4" s="154"/>
      <c r="CZ4" s="154"/>
      <c r="DA4" s="154"/>
      <c r="DB4" s="154"/>
      <c r="DC4" s="154"/>
      <c r="DD4" s="154"/>
      <c r="DE4" s="154"/>
      <c r="DF4" s="154"/>
      <c r="DG4" s="154"/>
      <c r="DH4" s="154"/>
      <c r="DI4" s="154"/>
      <c r="DJ4" s="154"/>
      <c r="DK4" s="154"/>
      <c r="DL4" s="154"/>
      <c r="DM4" s="154"/>
      <c r="DN4" s="154"/>
      <c r="DO4" s="154"/>
      <c r="DP4" s="154"/>
      <c r="DQ4" s="154"/>
      <c r="DR4" s="154"/>
      <c r="DS4" s="154"/>
      <c r="DT4" s="154"/>
      <c r="DU4" s="154"/>
      <c r="DV4" s="154"/>
      <c r="DW4" s="154"/>
      <c r="DX4" s="154"/>
      <c r="DY4" s="154"/>
      <c r="DZ4" s="154"/>
      <c r="EA4" s="154"/>
      <c r="EB4" s="154"/>
      <c r="EC4" s="154"/>
      <c r="ED4" s="154"/>
      <c r="EE4" s="154"/>
      <c r="EF4" s="154"/>
      <c r="EG4" s="154"/>
      <c r="EH4" s="154"/>
      <c r="EI4" s="154"/>
      <c r="EJ4" s="154"/>
      <c r="EK4" s="154"/>
      <c r="EL4" s="154"/>
      <c r="EM4" s="154"/>
      <c r="EN4" s="154"/>
      <c r="EO4" s="154"/>
      <c r="EP4" s="154"/>
      <c r="EQ4" s="154"/>
      <c r="ER4" s="154"/>
      <c r="ES4" s="154"/>
      <c r="ET4" s="154"/>
      <c r="EU4" s="154"/>
      <c r="EV4" s="154"/>
      <c r="EW4" s="154"/>
      <c r="EX4" s="154"/>
      <c r="EY4" s="154"/>
      <c r="EZ4" s="154"/>
      <c r="FA4" s="154"/>
      <c r="FB4" s="154"/>
      <c r="FC4" s="154"/>
      <c r="FD4" s="154"/>
      <c r="FE4" s="154"/>
      <c r="FF4" s="154"/>
      <c r="FG4" s="154"/>
      <c r="FH4" s="154"/>
      <c r="FI4" s="154"/>
      <c r="FJ4" s="154"/>
      <c r="FK4" s="154"/>
      <c r="FL4" s="154"/>
      <c r="FM4" s="154"/>
      <c r="FN4" s="154"/>
      <c r="FO4" s="154"/>
      <c r="FP4" s="154"/>
      <c r="FQ4" s="154"/>
      <c r="FR4" s="154"/>
      <c r="FS4" s="154"/>
      <c r="FT4" s="154"/>
      <c r="FU4" s="154"/>
      <c r="FV4" s="154"/>
      <c r="FW4" s="154"/>
      <c r="FX4" s="154"/>
      <c r="FY4" s="154"/>
      <c r="FZ4" s="154"/>
      <c r="GA4" s="154"/>
      <c r="GB4" s="154"/>
      <c r="GC4" s="154"/>
      <c r="GD4" s="154"/>
      <c r="GE4" s="154"/>
      <c r="GF4" s="154"/>
      <c r="GG4" s="154"/>
      <c r="GH4" s="154"/>
      <c r="GI4" s="154"/>
      <c r="GJ4" s="154"/>
      <c r="GK4" s="154"/>
      <c r="GL4" s="154"/>
      <c r="GM4" s="154"/>
      <c r="GN4" s="154"/>
      <c r="GO4" s="154"/>
      <c r="GP4" s="154"/>
      <c r="GQ4" s="154"/>
      <c r="GR4" s="154"/>
      <c r="GS4" s="154"/>
      <c r="GT4" s="154"/>
      <c r="GU4" s="154"/>
      <c r="GV4" s="154"/>
      <c r="GW4" s="154"/>
      <c r="GX4" s="154"/>
      <c r="GY4" s="154"/>
      <c r="GZ4" s="154"/>
      <c r="HA4" s="154"/>
      <c r="HB4" s="154"/>
      <c r="HC4" s="154"/>
      <c r="HD4" s="154"/>
      <c r="HE4" s="154"/>
      <c r="HF4" s="154"/>
      <c r="HG4" s="154"/>
      <c r="HH4" s="154"/>
      <c r="HI4" s="154"/>
      <c r="HJ4" s="154"/>
      <c r="HK4" s="154"/>
      <c r="HL4" s="154"/>
      <c r="HM4" s="154"/>
      <c r="HN4" s="154"/>
      <c r="HO4" s="154"/>
      <c r="HP4" s="154"/>
      <c r="HQ4" s="154"/>
      <c r="HR4" s="154"/>
      <c r="HS4" s="154"/>
      <c r="HT4" s="154"/>
      <c r="HU4" s="154"/>
      <c r="HV4" s="154"/>
      <c r="HW4" s="154"/>
      <c r="HX4" s="154"/>
      <c r="HY4" s="154"/>
      <c r="HZ4" s="154"/>
      <c r="IA4" s="154"/>
      <c r="IB4" s="154"/>
      <c r="IC4" s="154"/>
      <c r="ID4" s="154"/>
      <c r="IE4" s="154"/>
      <c r="IF4" s="154"/>
      <c r="IG4" s="154"/>
      <c r="IH4" s="154"/>
      <c r="II4" s="154"/>
      <c r="IJ4" s="154"/>
      <c r="IK4" s="154"/>
      <c r="IL4" s="154"/>
      <c r="IM4" s="154"/>
      <c r="IN4" s="154"/>
      <c r="IO4" s="154"/>
      <c r="IP4" s="154"/>
      <c r="IQ4" s="154"/>
      <c r="IR4" s="154"/>
      <c r="IS4" s="154"/>
      <c r="IT4" s="154"/>
      <c r="IU4" s="154"/>
      <c r="IV4" s="154"/>
      <c r="IW4" s="154"/>
      <c r="IX4" s="154"/>
      <c r="IY4" s="154"/>
      <c r="IZ4" s="154"/>
      <c r="JA4" s="154"/>
      <c r="JB4" s="154"/>
      <c r="JC4" s="154"/>
      <c r="JD4" s="154"/>
      <c r="JE4" s="154"/>
      <c r="JF4" s="154"/>
      <c r="JG4" s="154"/>
      <c r="JH4" s="154"/>
      <c r="JI4" s="154"/>
      <c r="JJ4" s="154"/>
      <c r="JK4" s="154"/>
      <c r="JL4" s="154"/>
      <c r="JM4" s="154"/>
      <c r="JN4" s="154"/>
      <c r="JO4" s="154"/>
      <c r="JP4" s="154"/>
      <c r="JQ4" s="154"/>
      <c r="JR4" s="154"/>
      <c r="JS4" s="154"/>
      <c r="JT4" s="154"/>
      <c r="JU4" s="154"/>
      <c r="JV4" s="154"/>
      <c r="JW4" s="154"/>
      <c r="JX4" s="154"/>
      <c r="JY4" s="154"/>
      <c r="JZ4" s="154"/>
      <c r="KA4" s="154"/>
      <c r="KB4" s="154"/>
      <c r="KC4" s="154"/>
      <c r="KD4" s="154"/>
      <c r="KE4" s="154"/>
      <c r="KF4" s="154"/>
      <c r="KG4" s="154"/>
      <c r="KH4" s="154"/>
      <c r="KI4" s="154"/>
      <c r="KJ4" s="154"/>
      <c r="KK4" s="154"/>
      <c r="KL4" s="154"/>
      <c r="KM4" s="154"/>
      <c r="KN4" s="154"/>
      <c r="KO4" s="154"/>
      <c r="KP4" s="154"/>
      <c r="KQ4" s="154"/>
      <c r="KR4" s="154"/>
      <c r="KS4" s="154"/>
      <c r="KT4" s="154"/>
      <c r="KU4" s="154"/>
      <c r="KV4" s="154"/>
      <c r="KW4" s="154"/>
      <c r="KX4" s="154"/>
      <c r="KY4" s="154"/>
      <c r="KZ4" s="154"/>
      <c r="LA4" s="154"/>
      <c r="LB4" s="154"/>
      <c r="LC4" s="154"/>
      <c r="LD4" s="154"/>
      <c r="LE4" s="154"/>
      <c r="LF4" s="154"/>
      <c r="LG4" s="154"/>
      <c r="LH4" s="154"/>
      <c r="LI4" s="154"/>
      <c r="LJ4" s="154"/>
      <c r="LK4" s="154"/>
      <c r="LL4" s="154"/>
      <c r="LM4" s="154"/>
      <c r="LN4" s="154"/>
      <c r="LO4" s="154"/>
      <c r="LP4" s="154"/>
      <c r="LQ4" s="154"/>
      <c r="LR4" s="154"/>
      <c r="LS4" s="154"/>
      <c r="LT4" s="154"/>
      <c r="LU4" s="154"/>
      <c r="LV4" s="154"/>
      <c r="LW4" s="154"/>
      <c r="LX4" s="154"/>
      <c r="LY4" s="154"/>
      <c r="LZ4" s="154"/>
      <c r="MA4" s="154"/>
      <c r="MB4" s="154"/>
      <c r="MC4" s="154"/>
      <c r="MD4" s="154"/>
      <c r="ME4" s="154"/>
      <c r="MF4" s="154"/>
      <c r="MG4" s="154"/>
      <c r="MH4" s="154"/>
      <c r="MI4" s="154"/>
      <c r="MJ4" s="154"/>
      <c r="MK4" s="154"/>
      <c r="ML4" s="154"/>
      <c r="MM4" s="154"/>
      <c r="MN4" s="154"/>
      <c r="MO4" s="154"/>
      <c r="MP4" s="154"/>
      <c r="MQ4" s="154"/>
      <c r="MR4" s="154"/>
      <c r="MS4" s="154"/>
      <c r="MT4" s="154"/>
      <c r="MU4" s="154"/>
      <c r="MV4" s="154"/>
      <c r="MW4" s="154"/>
      <c r="MX4" s="154"/>
      <c r="MY4" s="154"/>
      <c r="MZ4" s="154"/>
      <c r="NA4" s="154"/>
      <c r="NB4" s="154"/>
      <c r="NC4" s="154"/>
      <c r="ND4" s="154"/>
      <c r="NE4" s="154"/>
      <c r="NF4" s="154"/>
      <c r="NG4" s="154"/>
      <c r="NH4" s="154"/>
      <c r="NI4" s="154"/>
      <c r="NJ4" s="154"/>
      <c r="NK4" s="154"/>
      <c r="NL4" s="154"/>
      <c r="NM4" s="154"/>
      <c r="NN4" s="154"/>
      <c r="NO4" s="154"/>
      <c r="NP4" s="154"/>
      <c r="NQ4" s="154"/>
      <c r="NR4" s="154"/>
      <c r="NS4" s="154"/>
      <c r="NT4" s="154"/>
      <c r="NU4" s="154"/>
      <c r="NV4" s="154"/>
      <c r="NW4" s="154"/>
      <c r="NX4" s="154"/>
      <c r="NY4" s="154"/>
      <c r="NZ4" s="154"/>
      <c r="OA4" s="154"/>
      <c r="OB4" s="154"/>
      <c r="OC4" s="154"/>
      <c r="OD4" s="154"/>
      <c r="OE4" s="154"/>
      <c r="OF4" s="154"/>
      <c r="OG4" s="154"/>
      <c r="OH4" s="154"/>
      <c r="OI4" s="154"/>
      <c r="OJ4" s="154"/>
      <c r="OK4" s="154"/>
      <c r="OL4" s="154"/>
      <c r="OM4" s="154"/>
      <c r="ON4" s="154"/>
      <c r="OO4" s="154"/>
      <c r="OP4" s="154"/>
      <c r="OQ4" s="154"/>
      <c r="OR4" s="154"/>
      <c r="OS4" s="154"/>
      <c r="OT4" s="154"/>
      <c r="OU4" s="154"/>
      <c r="OV4" s="154"/>
      <c r="OW4" s="154"/>
      <c r="OX4" s="154"/>
      <c r="OY4" s="154"/>
      <c r="OZ4" s="154"/>
      <c r="PA4" s="154"/>
      <c r="PB4" s="154"/>
      <c r="PC4" s="154"/>
      <c r="PD4" s="154"/>
      <c r="PE4" s="154"/>
      <c r="PF4" s="154"/>
      <c r="PG4" s="154"/>
      <c r="PH4" s="154"/>
      <c r="PI4" s="154"/>
      <c r="PJ4" s="154"/>
      <c r="PK4" s="154"/>
      <c r="PL4" s="154"/>
      <c r="PM4" s="154"/>
      <c r="PN4" s="154"/>
      <c r="PO4" s="154"/>
      <c r="PP4" s="154"/>
      <c r="PQ4" s="154"/>
      <c r="PR4" s="154"/>
      <c r="PS4" s="154"/>
      <c r="PT4" s="154"/>
      <c r="PU4" s="154"/>
      <c r="PV4" s="154"/>
      <c r="PW4" s="154"/>
      <c r="PX4" s="154"/>
      <c r="PY4" s="154"/>
      <c r="PZ4" s="154"/>
      <c r="QA4" s="154"/>
      <c r="QB4" s="154"/>
      <c r="QC4" s="154"/>
      <c r="QD4" s="154"/>
      <c r="QE4" s="154"/>
      <c r="QF4" s="154"/>
      <c r="QG4" s="154"/>
      <c r="QH4" s="154"/>
      <c r="QI4" s="154"/>
      <c r="QJ4" s="154"/>
      <c r="QK4" s="154"/>
      <c r="QL4" s="154"/>
      <c r="QM4" s="154"/>
      <c r="QN4" s="154"/>
      <c r="QO4" s="154"/>
      <c r="QP4" s="154"/>
      <c r="QQ4" s="155"/>
      <c r="QR4" s="156"/>
    </row>
    <row r="5" spans="3:484" s="151" customFormat="1" ht="9.65" customHeight="1" x14ac:dyDescent="0.35">
      <c r="C5" s="152"/>
      <c r="D5" s="157"/>
      <c r="E5" s="291" t="s">
        <v>262</v>
      </c>
      <c r="F5" s="292"/>
      <c r="G5" s="292"/>
      <c r="H5" s="292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2"/>
      <c r="Y5" s="292"/>
      <c r="Z5" s="292"/>
      <c r="AA5" s="292"/>
      <c r="AB5" s="292"/>
      <c r="AC5" s="292"/>
      <c r="AD5" s="292"/>
      <c r="AE5" s="292"/>
      <c r="AF5" s="292"/>
      <c r="AG5" s="292"/>
      <c r="AH5" s="292"/>
      <c r="AI5" s="292"/>
      <c r="AJ5" s="292"/>
      <c r="AK5" s="292"/>
      <c r="AL5" s="292"/>
      <c r="AM5" s="292"/>
      <c r="AN5" s="292"/>
      <c r="AO5" s="292"/>
      <c r="AP5" s="292"/>
      <c r="AQ5" s="292"/>
      <c r="AR5" s="292"/>
      <c r="AS5" s="292"/>
      <c r="AT5" s="292"/>
      <c r="AU5" s="292"/>
      <c r="AV5" s="292"/>
      <c r="AW5" s="292"/>
      <c r="AX5" s="292"/>
      <c r="AY5" s="292"/>
      <c r="AZ5" s="292"/>
      <c r="BA5" s="292"/>
      <c r="BB5" s="292"/>
      <c r="BC5" s="292"/>
      <c r="BD5" s="292"/>
      <c r="BE5" s="292"/>
      <c r="BF5" s="292"/>
      <c r="BG5" s="292"/>
      <c r="BH5" s="292"/>
      <c r="BI5" s="292"/>
      <c r="BJ5" s="292"/>
      <c r="BK5" s="292"/>
      <c r="BL5" s="292"/>
      <c r="BM5" s="292"/>
      <c r="BN5" s="292"/>
      <c r="BO5" s="292"/>
      <c r="BP5" s="292"/>
      <c r="BQ5" s="292"/>
      <c r="BR5" s="292"/>
      <c r="BS5" s="292"/>
      <c r="BT5" s="292"/>
      <c r="BU5" s="292"/>
      <c r="BV5" s="292"/>
      <c r="BW5" s="292"/>
      <c r="BX5" s="292"/>
      <c r="BY5" s="292"/>
      <c r="BZ5" s="292"/>
      <c r="CA5" s="292"/>
      <c r="CB5" s="292"/>
      <c r="CC5" s="292"/>
      <c r="CD5" s="292"/>
      <c r="CE5" s="292"/>
      <c r="CF5" s="292"/>
      <c r="CG5" s="292"/>
      <c r="CH5" s="292"/>
      <c r="CI5" s="292"/>
      <c r="CJ5" s="292"/>
      <c r="CK5" s="292"/>
      <c r="CL5" s="292"/>
      <c r="CM5" s="292"/>
      <c r="CN5" s="292"/>
      <c r="CO5" s="292"/>
      <c r="CP5" s="292"/>
      <c r="CQ5" s="292"/>
      <c r="CR5" s="292"/>
      <c r="CS5" s="292"/>
      <c r="CT5" s="292"/>
      <c r="CU5" s="292"/>
      <c r="CV5" s="292"/>
      <c r="CW5" s="292"/>
      <c r="CX5" s="292"/>
      <c r="CY5" s="292"/>
      <c r="CZ5" s="292"/>
      <c r="DA5" s="292"/>
      <c r="DB5" s="292"/>
      <c r="DC5" s="292"/>
      <c r="DD5" s="292"/>
      <c r="DE5" s="292"/>
      <c r="DF5" s="292"/>
      <c r="DG5" s="292"/>
      <c r="DH5" s="292"/>
      <c r="DI5" s="292"/>
      <c r="DJ5" s="292"/>
      <c r="DK5" s="292"/>
      <c r="DL5" s="292"/>
      <c r="DM5" s="292"/>
      <c r="DN5" s="292"/>
      <c r="DO5" s="292"/>
      <c r="DP5" s="292"/>
      <c r="DQ5" s="292"/>
      <c r="DR5" s="292"/>
      <c r="DS5" s="292"/>
      <c r="DT5" s="292"/>
      <c r="DU5" s="292"/>
      <c r="DV5" s="292"/>
      <c r="DW5" s="292"/>
      <c r="DX5" s="292"/>
      <c r="DY5" s="292"/>
      <c r="DZ5" s="292"/>
      <c r="EA5" s="292"/>
      <c r="EB5" s="292"/>
      <c r="EC5" s="292"/>
      <c r="ED5" s="292"/>
      <c r="EE5" s="292"/>
      <c r="EF5" s="292"/>
      <c r="EG5" s="292"/>
      <c r="EH5" s="292"/>
      <c r="EI5" s="292"/>
      <c r="EJ5" s="292"/>
      <c r="EK5" s="292"/>
      <c r="EL5" s="292"/>
      <c r="EM5" s="292"/>
      <c r="EN5" s="292"/>
      <c r="EO5" s="292"/>
      <c r="EP5" s="292"/>
      <c r="EQ5" s="292"/>
      <c r="ER5" s="292"/>
      <c r="ES5" s="292"/>
      <c r="ET5" s="292"/>
      <c r="EU5" s="292"/>
      <c r="EV5" s="292"/>
      <c r="EW5" s="292"/>
      <c r="EX5" s="292"/>
      <c r="EY5" s="292"/>
      <c r="EZ5" s="292"/>
      <c r="FA5" s="292"/>
      <c r="FB5" s="292"/>
      <c r="FC5" s="292"/>
      <c r="FD5" s="292"/>
      <c r="FE5" s="292"/>
      <c r="FF5" s="292"/>
      <c r="FG5" s="292"/>
      <c r="FH5" s="292"/>
      <c r="FI5" s="292"/>
      <c r="FJ5" s="292"/>
      <c r="FK5" s="292"/>
      <c r="FL5" s="292"/>
      <c r="FM5" s="292"/>
      <c r="FN5" s="292"/>
      <c r="FO5" s="292"/>
      <c r="FP5" s="292"/>
      <c r="FQ5" s="292"/>
      <c r="FR5" s="292"/>
      <c r="FS5" s="292"/>
      <c r="FT5" s="292"/>
      <c r="FU5" s="292"/>
      <c r="FV5" s="292"/>
      <c r="FW5" s="292"/>
      <c r="FX5" s="292"/>
      <c r="FY5" s="292"/>
      <c r="FZ5" s="292"/>
      <c r="GA5" s="292"/>
      <c r="GB5" s="292"/>
      <c r="GC5" s="292"/>
      <c r="GD5" s="292"/>
      <c r="GE5" s="292"/>
      <c r="GF5" s="292"/>
      <c r="GG5" s="292"/>
      <c r="GH5" s="292"/>
      <c r="GI5" s="292"/>
      <c r="GJ5" s="292"/>
      <c r="GK5" s="292"/>
      <c r="GL5" s="292"/>
      <c r="GM5" s="292"/>
      <c r="GN5" s="292"/>
      <c r="GO5" s="292"/>
      <c r="GP5" s="292"/>
      <c r="GQ5" s="292"/>
      <c r="GR5" s="292"/>
      <c r="GS5" s="292"/>
      <c r="GT5" s="292"/>
      <c r="GU5" s="292"/>
      <c r="GV5" s="292"/>
      <c r="GW5" s="292"/>
      <c r="GX5" s="292"/>
      <c r="GY5" s="292"/>
      <c r="GZ5" s="292"/>
      <c r="HA5" s="292"/>
      <c r="HB5" s="292"/>
      <c r="HC5" s="292"/>
      <c r="HD5" s="292"/>
      <c r="HE5" s="292"/>
      <c r="HF5" s="292"/>
      <c r="HG5" s="292"/>
      <c r="HH5" s="292"/>
      <c r="HI5" s="292"/>
      <c r="HJ5" s="292"/>
      <c r="HK5" s="292"/>
      <c r="HL5" s="292"/>
      <c r="HM5" s="292"/>
      <c r="HN5" s="292"/>
      <c r="HO5" s="292"/>
      <c r="HP5" s="292"/>
      <c r="HQ5" s="292"/>
      <c r="HR5" s="292"/>
      <c r="HS5" s="292"/>
      <c r="HT5" s="292"/>
      <c r="HU5" s="292"/>
      <c r="HV5" s="292"/>
      <c r="HW5" s="292"/>
      <c r="HX5" s="292"/>
      <c r="HY5" s="292"/>
      <c r="HZ5" s="292"/>
      <c r="IA5" s="292"/>
      <c r="IB5" s="292"/>
      <c r="IC5" s="292"/>
      <c r="ID5" s="292"/>
      <c r="IE5" s="292"/>
      <c r="IF5" s="292"/>
      <c r="IG5" s="292"/>
      <c r="IH5" s="292"/>
      <c r="II5" s="292"/>
      <c r="IJ5" s="292"/>
      <c r="IK5" s="292"/>
      <c r="IL5" s="292"/>
      <c r="IM5" s="292"/>
      <c r="IN5" s="292"/>
      <c r="IO5" s="292"/>
      <c r="IP5" s="292"/>
      <c r="IQ5" s="292"/>
      <c r="IR5" s="292"/>
      <c r="IS5" s="292"/>
      <c r="IT5" s="292"/>
      <c r="IU5" s="292"/>
      <c r="IV5" s="292"/>
      <c r="IW5" s="292"/>
      <c r="IX5" s="292"/>
      <c r="IY5" s="292"/>
      <c r="IZ5" s="292"/>
      <c r="JA5" s="292"/>
      <c r="JB5" s="292"/>
      <c r="JC5" s="292"/>
      <c r="JD5" s="292"/>
      <c r="JE5" s="292"/>
      <c r="JF5" s="292"/>
      <c r="JG5" s="292"/>
      <c r="JH5" s="292"/>
      <c r="JI5" s="292"/>
      <c r="JJ5" s="292"/>
      <c r="JK5" s="292"/>
      <c r="JL5" s="292"/>
      <c r="JM5" s="292"/>
      <c r="JN5" s="292"/>
      <c r="JO5" s="292"/>
      <c r="JP5" s="292"/>
      <c r="JQ5" s="292"/>
      <c r="JR5" s="292"/>
      <c r="JS5" s="292"/>
      <c r="JT5" s="292"/>
      <c r="JU5" s="292"/>
      <c r="JV5" s="292"/>
      <c r="JW5" s="292"/>
      <c r="JX5" s="292"/>
      <c r="JY5" s="292"/>
      <c r="JZ5" s="292"/>
      <c r="KA5" s="292"/>
      <c r="KB5" s="292"/>
      <c r="KC5" s="292"/>
      <c r="KD5" s="292"/>
      <c r="KE5" s="292"/>
      <c r="KF5" s="292"/>
      <c r="KG5" s="292"/>
      <c r="KH5" s="292"/>
      <c r="KI5" s="292"/>
      <c r="KJ5" s="292"/>
      <c r="KK5" s="292"/>
      <c r="KL5" s="292"/>
      <c r="KM5" s="292"/>
      <c r="KN5" s="292"/>
      <c r="KO5" s="292"/>
      <c r="KP5" s="292"/>
      <c r="KQ5" s="292"/>
      <c r="KR5" s="292"/>
      <c r="KS5" s="292"/>
      <c r="KT5" s="292"/>
      <c r="KU5" s="292"/>
      <c r="KV5" s="292"/>
      <c r="KW5" s="292"/>
      <c r="KX5" s="292"/>
      <c r="KY5" s="292"/>
      <c r="KZ5" s="292"/>
      <c r="LA5" s="292"/>
      <c r="LB5" s="292"/>
      <c r="LC5" s="292"/>
      <c r="LD5" s="292"/>
      <c r="LE5" s="292"/>
      <c r="LF5" s="292"/>
      <c r="LG5" s="292"/>
      <c r="LH5" s="292"/>
      <c r="LI5" s="292"/>
      <c r="LJ5" s="292"/>
      <c r="LK5" s="292"/>
      <c r="LL5" s="292"/>
      <c r="LM5" s="292"/>
      <c r="LN5" s="292"/>
      <c r="LO5" s="292"/>
      <c r="LP5" s="292"/>
      <c r="LQ5" s="292"/>
      <c r="LR5" s="292"/>
      <c r="LS5" s="292"/>
      <c r="LT5" s="292"/>
      <c r="LU5" s="292"/>
      <c r="LV5" s="292"/>
      <c r="LW5" s="292"/>
      <c r="LX5" s="292"/>
      <c r="LY5" s="292"/>
      <c r="LZ5" s="292"/>
      <c r="MA5" s="292"/>
      <c r="MB5" s="292"/>
      <c r="MC5" s="292"/>
      <c r="MD5" s="292"/>
      <c r="ME5" s="292"/>
      <c r="MF5" s="292"/>
      <c r="MG5" s="292"/>
      <c r="MH5" s="292"/>
      <c r="MI5" s="292"/>
      <c r="MJ5" s="292"/>
      <c r="MK5" s="292"/>
      <c r="ML5" s="292"/>
      <c r="MM5" s="292"/>
      <c r="MN5" s="292"/>
      <c r="MO5" s="292"/>
      <c r="MP5" s="292"/>
      <c r="MQ5" s="292"/>
      <c r="MR5" s="292"/>
      <c r="MS5" s="292"/>
      <c r="MT5" s="292"/>
      <c r="MU5" s="292"/>
      <c r="MV5" s="292"/>
      <c r="MW5" s="292"/>
      <c r="MX5" s="292"/>
      <c r="MY5" s="292"/>
      <c r="MZ5" s="292"/>
      <c r="NA5" s="292"/>
      <c r="NB5" s="292"/>
      <c r="NC5" s="292"/>
      <c r="ND5" s="292"/>
      <c r="NE5" s="292"/>
      <c r="NF5" s="292"/>
      <c r="NG5" s="292"/>
      <c r="NH5" s="292"/>
      <c r="NI5" s="292"/>
      <c r="NJ5" s="292"/>
      <c r="NK5" s="292"/>
      <c r="NL5" s="292"/>
      <c r="NM5" s="292"/>
      <c r="NN5" s="292"/>
      <c r="NO5" s="292"/>
      <c r="NP5" s="292"/>
      <c r="NQ5" s="292"/>
      <c r="NR5" s="292"/>
      <c r="NS5" s="292"/>
      <c r="NT5" s="292"/>
      <c r="NU5" s="292"/>
      <c r="NV5" s="292"/>
      <c r="NW5" s="292"/>
      <c r="NX5" s="292"/>
      <c r="NY5" s="292"/>
      <c r="NZ5" s="292"/>
      <c r="OA5" s="292"/>
      <c r="OB5" s="292"/>
      <c r="OC5" s="292"/>
      <c r="OD5" s="292"/>
      <c r="OE5" s="292"/>
      <c r="OF5" s="292"/>
      <c r="OG5" s="292"/>
      <c r="OH5" s="292"/>
      <c r="OI5" s="292"/>
      <c r="OJ5" s="292"/>
      <c r="OK5" s="292"/>
      <c r="OL5" s="292"/>
      <c r="OM5" s="292"/>
      <c r="ON5" s="292"/>
      <c r="OO5" s="292"/>
      <c r="OP5" s="292"/>
      <c r="OQ5" s="292"/>
      <c r="OR5" s="292"/>
      <c r="OS5" s="292"/>
      <c r="OT5" s="292"/>
      <c r="OU5" s="292"/>
      <c r="OV5" s="292"/>
      <c r="OW5" s="292"/>
      <c r="OX5" s="292"/>
      <c r="OY5" s="292"/>
      <c r="OZ5" s="292"/>
      <c r="PA5" s="292"/>
      <c r="PB5" s="292"/>
      <c r="PC5" s="292"/>
      <c r="PD5" s="292"/>
      <c r="PE5" s="292"/>
      <c r="PF5" s="292"/>
      <c r="PG5" s="292"/>
      <c r="PH5" s="292"/>
      <c r="PI5" s="292"/>
      <c r="PJ5" s="292"/>
      <c r="PK5" s="292"/>
      <c r="PL5" s="292"/>
      <c r="PM5" s="292"/>
      <c r="PN5" s="292"/>
      <c r="PO5" s="292"/>
      <c r="PP5" s="292"/>
      <c r="PQ5" s="292"/>
      <c r="PR5" s="292"/>
      <c r="PS5" s="292"/>
      <c r="PT5" s="292"/>
      <c r="PU5" s="292"/>
      <c r="PV5" s="292"/>
      <c r="PW5" s="292"/>
      <c r="PX5" s="292"/>
      <c r="PY5" s="292"/>
      <c r="PZ5" s="292"/>
      <c r="QA5" s="292"/>
      <c r="QB5" s="292"/>
      <c r="QC5" s="292"/>
      <c r="QD5" s="292"/>
      <c r="QE5" s="292"/>
      <c r="QF5" s="292"/>
      <c r="QG5" s="292"/>
      <c r="QH5" s="292"/>
      <c r="QI5" s="292"/>
      <c r="QJ5" s="292"/>
      <c r="QK5" s="292"/>
      <c r="QL5" s="292"/>
      <c r="QM5" s="292"/>
      <c r="QN5" s="292"/>
      <c r="QO5" s="292"/>
      <c r="QP5" s="293"/>
      <c r="QQ5" s="158"/>
      <c r="QR5" s="156"/>
    </row>
    <row r="6" spans="3:484" s="151" customFormat="1" ht="9.65" customHeight="1" x14ac:dyDescent="0.35">
      <c r="C6" s="152"/>
      <c r="D6" s="157"/>
      <c r="E6" s="294"/>
      <c r="F6" s="295"/>
      <c r="G6" s="295"/>
      <c r="H6" s="295"/>
      <c r="I6" s="295"/>
      <c r="J6" s="295"/>
      <c r="K6" s="295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295"/>
      <c r="AM6" s="295"/>
      <c r="AN6" s="295"/>
      <c r="AO6" s="295"/>
      <c r="AP6" s="295"/>
      <c r="AQ6" s="295"/>
      <c r="AR6" s="295"/>
      <c r="AS6" s="295"/>
      <c r="AT6" s="295"/>
      <c r="AU6" s="295"/>
      <c r="AV6" s="295"/>
      <c r="AW6" s="295"/>
      <c r="AX6" s="295"/>
      <c r="AY6" s="295"/>
      <c r="AZ6" s="295"/>
      <c r="BA6" s="295"/>
      <c r="BB6" s="295"/>
      <c r="BC6" s="295"/>
      <c r="BD6" s="295"/>
      <c r="BE6" s="295"/>
      <c r="BF6" s="295"/>
      <c r="BG6" s="295"/>
      <c r="BH6" s="295"/>
      <c r="BI6" s="295"/>
      <c r="BJ6" s="295"/>
      <c r="BK6" s="295"/>
      <c r="BL6" s="295"/>
      <c r="BM6" s="295"/>
      <c r="BN6" s="295"/>
      <c r="BO6" s="295"/>
      <c r="BP6" s="295"/>
      <c r="BQ6" s="295"/>
      <c r="BR6" s="295"/>
      <c r="BS6" s="295"/>
      <c r="BT6" s="295"/>
      <c r="BU6" s="295"/>
      <c r="BV6" s="295"/>
      <c r="BW6" s="295"/>
      <c r="BX6" s="295"/>
      <c r="BY6" s="295"/>
      <c r="BZ6" s="295"/>
      <c r="CA6" s="295"/>
      <c r="CB6" s="295"/>
      <c r="CC6" s="295"/>
      <c r="CD6" s="295"/>
      <c r="CE6" s="295"/>
      <c r="CF6" s="295"/>
      <c r="CG6" s="295"/>
      <c r="CH6" s="295"/>
      <c r="CI6" s="295"/>
      <c r="CJ6" s="295"/>
      <c r="CK6" s="295"/>
      <c r="CL6" s="295"/>
      <c r="CM6" s="295"/>
      <c r="CN6" s="295"/>
      <c r="CO6" s="295"/>
      <c r="CP6" s="295"/>
      <c r="CQ6" s="295"/>
      <c r="CR6" s="295"/>
      <c r="CS6" s="295"/>
      <c r="CT6" s="295"/>
      <c r="CU6" s="295"/>
      <c r="CV6" s="295"/>
      <c r="CW6" s="295"/>
      <c r="CX6" s="295"/>
      <c r="CY6" s="295"/>
      <c r="CZ6" s="295"/>
      <c r="DA6" s="295"/>
      <c r="DB6" s="295"/>
      <c r="DC6" s="295"/>
      <c r="DD6" s="295"/>
      <c r="DE6" s="295"/>
      <c r="DF6" s="295"/>
      <c r="DG6" s="295"/>
      <c r="DH6" s="295"/>
      <c r="DI6" s="295"/>
      <c r="DJ6" s="295"/>
      <c r="DK6" s="295"/>
      <c r="DL6" s="295"/>
      <c r="DM6" s="295"/>
      <c r="DN6" s="295"/>
      <c r="DO6" s="295"/>
      <c r="DP6" s="295"/>
      <c r="DQ6" s="295"/>
      <c r="DR6" s="295"/>
      <c r="DS6" s="295"/>
      <c r="DT6" s="295"/>
      <c r="DU6" s="295"/>
      <c r="DV6" s="295"/>
      <c r="DW6" s="295"/>
      <c r="DX6" s="295"/>
      <c r="DY6" s="295"/>
      <c r="DZ6" s="295"/>
      <c r="EA6" s="295"/>
      <c r="EB6" s="295"/>
      <c r="EC6" s="295"/>
      <c r="ED6" s="295"/>
      <c r="EE6" s="295"/>
      <c r="EF6" s="295"/>
      <c r="EG6" s="295"/>
      <c r="EH6" s="295"/>
      <c r="EI6" s="295"/>
      <c r="EJ6" s="295"/>
      <c r="EK6" s="295"/>
      <c r="EL6" s="295"/>
      <c r="EM6" s="295"/>
      <c r="EN6" s="295"/>
      <c r="EO6" s="295"/>
      <c r="EP6" s="295"/>
      <c r="EQ6" s="295"/>
      <c r="ER6" s="295"/>
      <c r="ES6" s="295"/>
      <c r="ET6" s="295"/>
      <c r="EU6" s="295"/>
      <c r="EV6" s="295"/>
      <c r="EW6" s="295"/>
      <c r="EX6" s="295"/>
      <c r="EY6" s="295"/>
      <c r="EZ6" s="295"/>
      <c r="FA6" s="295"/>
      <c r="FB6" s="295"/>
      <c r="FC6" s="295"/>
      <c r="FD6" s="295"/>
      <c r="FE6" s="295"/>
      <c r="FF6" s="295"/>
      <c r="FG6" s="295"/>
      <c r="FH6" s="295"/>
      <c r="FI6" s="295"/>
      <c r="FJ6" s="295"/>
      <c r="FK6" s="295"/>
      <c r="FL6" s="295"/>
      <c r="FM6" s="295"/>
      <c r="FN6" s="295"/>
      <c r="FO6" s="295"/>
      <c r="FP6" s="295"/>
      <c r="FQ6" s="295"/>
      <c r="FR6" s="295"/>
      <c r="FS6" s="295"/>
      <c r="FT6" s="295"/>
      <c r="FU6" s="295"/>
      <c r="FV6" s="295"/>
      <c r="FW6" s="295"/>
      <c r="FX6" s="295"/>
      <c r="FY6" s="295"/>
      <c r="FZ6" s="295"/>
      <c r="GA6" s="295"/>
      <c r="GB6" s="295"/>
      <c r="GC6" s="295"/>
      <c r="GD6" s="295"/>
      <c r="GE6" s="295"/>
      <c r="GF6" s="295"/>
      <c r="GG6" s="295"/>
      <c r="GH6" s="295"/>
      <c r="GI6" s="295"/>
      <c r="GJ6" s="295"/>
      <c r="GK6" s="295"/>
      <c r="GL6" s="295"/>
      <c r="GM6" s="295"/>
      <c r="GN6" s="295"/>
      <c r="GO6" s="295"/>
      <c r="GP6" s="295"/>
      <c r="GQ6" s="295"/>
      <c r="GR6" s="295"/>
      <c r="GS6" s="295"/>
      <c r="GT6" s="295"/>
      <c r="GU6" s="295"/>
      <c r="GV6" s="295"/>
      <c r="GW6" s="295"/>
      <c r="GX6" s="295"/>
      <c r="GY6" s="295"/>
      <c r="GZ6" s="295"/>
      <c r="HA6" s="295"/>
      <c r="HB6" s="295"/>
      <c r="HC6" s="295"/>
      <c r="HD6" s="295"/>
      <c r="HE6" s="295"/>
      <c r="HF6" s="295"/>
      <c r="HG6" s="295"/>
      <c r="HH6" s="295"/>
      <c r="HI6" s="295"/>
      <c r="HJ6" s="295"/>
      <c r="HK6" s="295"/>
      <c r="HL6" s="295"/>
      <c r="HM6" s="295"/>
      <c r="HN6" s="295"/>
      <c r="HO6" s="295"/>
      <c r="HP6" s="295"/>
      <c r="HQ6" s="295"/>
      <c r="HR6" s="295"/>
      <c r="HS6" s="295"/>
      <c r="HT6" s="295"/>
      <c r="HU6" s="295"/>
      <c r="HV6" s="295"/>
      <c r="HW6" s="295"/>
      <c r="HX6" s="295"/>
      <c r="HY6" s="295"/>
      <c r="HZ6" s="295"/>
      <c r="IA6" s="295"/>
      <c r="IB6" s="295"/>
      <c r="IC6" s="295"/>
      <c r="ID6" s="295"/>
      <c r="IE6" s="295"/>
      <c r="IF6" s="295"/>
      <c r="IG6" s="295"/>
      <c r="IH6" s="295"/>
      <c r="II6" s="295"/>
      <c r="IJ6" s="295"/>
      <c r="IK6" s="295"/>
      <c r="IL6" s="295"/>
      <c r="IM6" s="295"/>
      <c r="IN6" s="295"/>
      <c r="IO6" s="295"/>
      <c r="IP6" s="295"/>
      <c r="IQ6" s="295"/>
      <c r="IR6" s="295"/>
      <c r="IS6" s="295"/>
      <c r="IT6" s="295"/>
      <c r="IU6" s="295"/>
      <c r="IV6" s="295"/>
      <c r="IW6" s="295"/>
      <c r="IX6" s="295"/>
      <c r="IY6" s="295"/>
      <c r="IZ6" s="295"/>
      <c r="JA6" s="295"/>
      <c r="JB6" s="295"/>
      <c r="JC6" s="295"/>
      <c r="JD6" s="295"/>
      <c r="JE6" s="295"/>
      <c r="JF6" s="295"/>
      <c r="JG6" s="295"/>
      <c r="JH6" s="295"/>
      <c r="JI6" s="295"/>
      <c r="JJ6" s="295"/>
      <c r="JK6" s="295"/>
      <c r="JL6" s="295"/>
      <c r="JM6" s="295"/>
      <c r="JN6" s="295"/>
      <c r="JO6" s="295"/>
      <c r="JP6" s="295"/>
      <c r="JQ6" s="295"/>
      <c r="JR6" s="295"/>
      <c r="JS6" s="295"/>
      <c r="JT6" s="295"/>
      <c r="JU6" s="295"/>
      <c r="JV6" s="295"/>
      <c r="JW6" s="295"/>
      <c r="JX6" s="295"/>
      <c r="JY6" s="295"/>
      <c r="JZ6" s="295"/>
      <c r="KA6" s="295"/>
      <c r="KB6" s="295"/>
      <c r="KC6" s="295"/>
      <c r="KD6" s="295"/>
      <c r="KE6" s="295"/>
      <c r="KF6" s="295"/>
      <c r="KG6" s="295"/>
      <c r="KH6" s="295"/>
      <c r="KI6" s="295"/>
      <c r="KJ6" s="295"/>
      <c r="KK6" s="295"/>
      <c r="KL6" s="295"/>
      <c r="KM6" s="295"/>
      <c r="KN6" s="295"/>
      <c r="KO6" s="295"/>
      <c r="KP6" s="295"/>
      <c r="KQ6" s="295"/>
      <c r="KR6" s="295"/>
      <c r="KS6" s="295"/>
      <c r="KT6" s="295"/>
      <c r="KU6" s="295"/>
      <c r="KV6" s="295"/>
      <c r="KW6" s="295"/>
      <c r="KX6" s="295"/>
      <c r="KY6" s="295"/>
      <c r="KZ6" s="295"/>
      <c r="LA6" s="295"/>
      <c r="LB6" s="295"/>
      <c r="LC6" s="295"/>
      <c r="LD6" s="295"/>
      <c r="LE6" s="295"/>
      <c r="LF6" s="295"/>
      <c r="LG6" s="295"/>
      <c r="LH6" s="295"/>
      <c r="LI6" s="295"/>
      <c r="LJ6" s="295"/>
      <c r="LK6" s="295"/>
      <c r="LL6" s="295"/>
      <c r="LM6" s="295"/>
      <c r="LN6" s="295"/>
      <c r="LO6" s="295"/>
      <c r="LP6" s="295"/>
      <c r="LQ6" s="295"/>
      <c r="LR6" s="295"/>
      <c r="LS6" s="295"/>
      <c r="LT6" s="295"/>
      <c r="LU6" s="295"/>
      <c r="LV6" s="295"/>
      <c r="LW6" s="295"/>
      <c r="LX6" s="295"/>
      <c r="LY6" s="295"/>
      <c r="LZ6" s="295"/>
      <c r="MA6" s="295"/>
      <c r="MB6" s="295"/>
      <c r="MC6" s="295"/>
      <c r="MD6" s="295"/>
      <c r="ME6" s="295"/>
      <c r="MF6" s="295"/>
      <c r="MG6" s="295"/>
      <c r="MH6" s="295"/>
      <c r="MI6" s="295"/>
      <c r="MJ6" s="295"/>
      <c r="MK6" s="295"/>
      <c r="ML6" s="295"/>
      <c r="MM6" s="295"/>
      <c r="MN6" s="295"/>
      <c r="MO6" s="295"/>
      <c r="MP6" s="295"/>
      <c r="MQ6" s="295"/>
      <c r="MR6" s="295"/>
      <c r="MS6" s="295"/>
      <c r="MT6" s="295"/>
      <c r="MU6" s="295"/>
      <c r="MV6" s="295"/>
      <c r="MW6" s="295"/>
      <c r="MX6" s="295"/>
      <c r="MY6" s="295"/>
      <c r="MZ6" s="295"/>
      <c r="NA6" s="295"/>
      <c r="NB6" s="295"/>
      <c r="NC6" s="295"/>
      <c r="ND6" s="295"/>
      <c r="NE6" s="295"/>
      <c r="NF6" s="295"/>
      <c r="NG6" s="295"/>
      <c r="NH6" s="295"/>
      <c r="NI6" s="295"/>
      <c r="NJ6" s="295"/>
      <c r="NK6" s="295"/>
      <c r="NL6" s="295"/>
      <c r="NM6" s="295"/>
      <c r="NN6" s="295"/>
      <c r="NO6" s="295"/>
      <c r="NP6" s="295"/>
      <c r="NQ6" s="295"/>
      <c r="NR6" s="295"/>
      <c r="NS6" s="295"/>
      <c r="NT6" s="295"/>
      <c r="NU6" s="295"/>
      <c r="NV6" s="295"/>
      <c r="NW6" s="295"/>
      <c r="NX6" s="295"/>
      <c r="NY6" s="295"/>
      <c r="NZ6" s="295"/>
      <c r="OA6" s="295"/>
      <c r="OB6" s="295"/>
      <c r="OC6" s="295"/>
      <c r="OD6" s="295"/>
      <c r="OE6" s="295"/>
      <c r="OF6" s="295"/>
      <c r="OG6" s="295"/>
      <c r="OH6" s="295"/>
      <c r="OI6" s="295"/>
      <c r="OJ6" s="295"/>
      <c r="OK6" s="295"/>
      <c r="OL6" s="295"/>
      <c r="OM6" s="295"/>
      <c r="ON6" s="295"/>
      <c r="OO6" s="295"/>
      <c r="OP6" s="295"/>
      <c r="OQ6" s="295"/>
      <c r="OR6" s="295"/>
      <c r="OS6" s="295"/>
      <c r="OT6" s="295"/>
      <c r="OU6" s="295"/>
      <c r="OV6" s="295"/>
      <c r="OW6" s="295"/>
      <c r="OX6" s="295"/>
      <c r="OY6" s="295"/>
      <c r="OZ6" s="295"/>
      <c r="PA6" s="295"/>
      <c r="PB6" s="295"/>
      <c r="PC6" s="295"/>
      <c r="PD6" s="295"/>
      <c r="PE6" s="295"/>
      <c r="PF6" s="295"/>
      <c r="PG6" s="295"/>
      <c r="PH6" s="295"/>
      <c r="PI6" s="295"/>
      <c r="PJ6" s="295"/>
      <c r="PK6" s="295"/>
      <c r="PL6" s="295"/>
      <c r="PM6" s="295"/>
      <c r="PN6" s="295"/>
      <c r="PO6" s="295"/>
      <c r="PP6" s="295"/>
      <c r="PQ6" s="295"/>
      <c r="PR6" s="295"/>
      <c r="PS6" s="295"/>
      <c r="PT6" s="295"/>
      <c r="PU6" s="295"/>
      <c r="PV6" s="295"/>
      <c r="PW6" s="295"/>
      <c r="PX6" s="295"/>
      <c r="PY6" s="295"/>
      <c r="PZ6" s="295"/>
      <c r="QA6" s="295"/>
      <c r="QB6" s="295"/>
      <c r="QC6" s="295"/>
      <c r="QD6" s="295"/>
      <c r="QE6" s="295"/>
      <c r="QF6" s="295"/>
      <c r="QG6" s="295"/>
      <c r="QH6" s="295"/>
      <c r="QI6" s="295"/>
      <c r="QJ6" s="295"/>
      <c r="QK6" s="295"/>
      <c r="QL6" s="295"/>
      <c r="QM6" s="295"/>
      <c r="QN6" s="295"/>
      <c r="QO6" s="295"/>
      <c r="QP6" s="296"/>
      <c r="QQ6" s="158"/>
      <c r="QR6" s="156"/>
    </row>
    <row r="7" spans="3:484" s="151" customFormat="1" ht="9.65" customHeight="1" x14ac:dyDescent="0.35">
      <c r="C7" s="152"/>
      <c r="D7" s="157"/>
      <c r="E7" s="294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5"/>
      <c r="AJ7" s="295"/>
      <c r="AK7" s="295"/>
      <c r="AL7" s="295"/>
      <c r="AM7" s="295"/>
      <c r="AN7" s="295"/>
      <c r="AO7" s="295"/>
      <c r="AP7" s="295"/>
      <c r="AQ7" s="295"/>
      <c r="AR7" s="295"/>
      <c r="AS7" s="295"/>
      <c r="AT7" s="295"/>
      <c r="AU7" s="295"/>
      <c r="AV7" s="295"/>
      <c r="AW7" s="295"/>
      <c r="AX7" s="295"/>
      <c r="AY7" s="295"/>
      <c r="AZ7" s="295"/>
      <c r="BA7" s="295"/>
      <c r="BB7" s="295"/>
      <c r="BC7" s="295"/>
      <c r="BD7" s="295"/>
      <c r="BE7" s="295"/>
      <c r="BF7" s="295"/>
      <c r="BG7" s="295"/>
      <c r="BH7" s="295"/>
      <c r="BI7" s="295"/>
      <c r="BJ7" s="295"/>
      <c r="BK7" s="295"/>
      <c r="BL7" s="295"/>
      <c r="BM7" s="295"/>
      <c r="BN7" s="295"/>
      <c r="BO7" s="295"/>
      <c r="BP7" s="295"/>
      <c r="BQ7" s="295"/>
      <c r="BR7" s="295"/>
      <c r="BS7" s="295"/>
      <c r="BT7" s="295"/>
      <c r="BU7" s="295"/>
      <c r="BV7" s="295"/>
      <c r="BW7" s="295"/>
      <c r="BX7" s="295"/>
      <c r="BY7" s="295"/>
      <c r="BZ7" s="295"/>
      <c r="CA7" s="295"/>
      <c r="CB7" s="295"/>
      <c r="CC7" s="295"/>
      <c r="CD7" s="295"/>
      <c r="CE7" s="295"/>
      <c r="CF7" s="295"/>
      <c r="CG7" s="295"/>
      <c r="CH7" s="295"/>
      <c r="CI7" s="295"/>
      <c r="CJ7" s="295"/>
      <c r="CK7" s="295"/>
      <c r="CL7" s="295"/>
      <c r="CM7" s="295"/>
      <c r="CN7" s="295"/>
      <c r="CO7" s="295"/>
      <c r="CP7" s="295"/>
      <c r="CQ7" s="295"/>
      <c r="CR7" s="295"/>
      <c r="CS7" s="295"/>
      <c r="CT7" s="295"/>
      <c r="CU7" s="295"/>
      <c r="CV7" s="295"/>
      <c r="CW7" s="295"/>
      <c r="CX7" s="295"/>
      <c r="CY7" s="295"/>
      <c r="CZ7" s="295"/>
      <c r="DA7" s="295"/>
      <c r="DB7" s="295"/>
      <c r="DC7" s="295"/>
      <c r="DD7" s="295"/>
      <c r="DE7" s="295"/>
      <c r="DF7" s="295"/>
      <c r="DG7" s="295"/>
      <c r="DH7" s="295"/>
      <c r="DI7" s="295"/>
      <c r="DJ7" s="295"/>
      <c r="DK7" s="295"/>
      <c r="DL7" s="295"/>
      <c r="DM7" s="295"/>
      <c r="DN7" s="295"/>
      <c r="DO7" s="295"/>
      <c r="DP7" s="295"/>
      <c r="DQ7" s="295"/>
      <c r="DR7" s="295"/>
      <c r="DS7" s="295"/>
      <c r="DT7" s="295"/>
      <c r="DU7" s="295"/>
      <c r="DV7" s="295"/>
      <c r="DW7" s="295"/>
      <c r="DX7" s="295"/>
      <c r="DY7" s="295"/>
      <c r="DZ7" s="295"/>
      <c r="EA7" s="295"/>
      <c r="EB7" s="295"/>
      <c r="EC7" s="295"/>
      <c r="ED7" s="295"/>
      <c r="EE7" s="295"/>
      <c r="EF7" s="295"/>
      <c r="EG7" s="295"/>
      <c r="EH7" s="295"/>
      <c r="EI7" s="295"/>
      <c r="EJ7" s="295"/>
      <c r="EK7" s="295"/>
      <c r="EL7" s="295"/>
      <c r="EM7" s="295"/>
      <c r="EN7" s="295"/>
      <c r="EO7" s="295"/>
      <c r="EP7" s="295"/>
      <c r="EQ7" s="295"/>
      <c r="ER7" s="295"/>
      <c r="ES7" s="295"/>
      <c r="ET7" s="295"/>
      <c r="EU7" s="295"/>
      <c r="EV7" s="295"/>
      <c r="EW7" s="295"/>
      <c r="EX7" s="295"/>
      <c r="EY7" s="295"/>
      <c r="EZ7" s="295"/>
      <c r="FA7" s="295"/>
      <c r="FB7" s="295"/>
      <c r="FC7" s="295"/>
      <c r="FD7" s="295"/>
      <c r="FE7" s="295"/>
      <c r="FF7" s="295"/>
      <c r="FG7" s="295"/>
      <c r="FH7" s="295"/>
      <c r="FI7" s="295"/>
      <c r="FJ7" s="295"/>
      <c r="FK7" s="295"/>
      <c r="FL7" s="295"/>
      <c r="FM7" s="295"/>
      <c r="FN7" s="295"/>
      <c r="FO7" s="295"/>
      <c r="FP7" s="295"/>
      <c r="FQ7" s="295"/>
      <c r="FR7" s="295"/>
      <c r="FS7" s="295"/>
      <c r="FT7" s="295"/>
      <c r="FU7" s="295"/>
      <c r="FV7" s="295"/>
      <c r="FW7" s="295"/>
      <c r="FX7" s="295"/>
      <c r="FY7" s="295"/>
      <c r="FZ7" s="295"/>
      <c r="GA7" s="295"/>
      <c r="GB7" s="295"/>
      <c r="GC7" s="295"/>
      <c r="GD7" s="295"/>
      <c r="GE7" s="295"/>
      <c r="GF7" s="295"/>
      <c r="GG7" s="295"/>
      <c r="GH7" s="295"/>
      <c r="GI7" s="295"/>
      <c r="GJ7" s="295"/>
      <c r="GK7" s="295"/>
      <c r="GL7" s="295"/>
      <c r="GM7" s="295"/>
      <c r="GN7" s="295"/>
      <c r="GO7" s="295"/>
      <c r="GP7" s="295"/>
      <c r="GQ7" s="295"/>
      <c r="GR7" s="295"/>
      <c r="GS7" s="295"/>
      <c r="GT7" s="295"/>
      <c r="GU7" s="295"/>
      <c r="GV7" s="295"/>
      <c r="GW7" s="295"/>
      <c r="GX7" s="295"/>
      <c r="GY7" s="295"/>
      <c r="GZ7" s="295"/>
      <c r="HA7" s="295"/>
      <c r="HB7" s="295"/>
      <c r="HC7" s="295"/>
      <c r="HD7" s="295"/>
      <c r="HE7" s="295"/>
      <c r="HF7" s="295"/>
      <c r="HG7" s="295"/>
      <c r="HH7" s="295"/>
      <c r="HI7" s="295"/>
      <c r="HJ7" s="295"/>
      <c r="HK7" s="295"/>
      <c r="HL7" s="295"/>
      <c r="HM7" s="295"/>
      <c r="HN7" s="295"/>
      <c r="HO7" s="295"/>
      <c r="HP7" s="295"/>
      <c r="HQ7" s="295"/>
      <c r="HR7" s="295"/>
      <c r="HS7" s="295"/>
      <c r="HT7" s="295"/>
      <c r="HU7" s="295"/>
      <c r="HV7" s="295"/>
      <c r="HW7" s="295"/>
      <c r="HX7" s="295"/>
      <c r="HY7" s="295"/>
      <c r="HZ7" s="295"/>
      <c r="IA7" s="295"/>
      <c r="IB7" s="295"/>
      <c r="IC7" s="295"/>
      <c r="ID7" s="295"/>
      <c r="IE7" s="295"/>
      <c r="IF7" s="295"/>
      <c r="IG7" s="295"/>
      <c r="IH7" s="295"/>
      <c r="II7" s="295"/>
      <c r="IJ7" s="295"/>
      <c r="IK7" s="295"/>
      <c r="IL7" s="295"/>
      <c r="IM7" s="295"/>
      <c r="IN7" s="295"/>
      <c r="IO7" s="295"/>
      <c r="IP7" s="295"/>
      <c r="IQ7" s="295"/>
      <c r="IR7" s="295"/>
      <c r="IS7" s="295"/>
      <c r="IT7" s="295"/>
      <c r="IU7" s="295"/>
      <c r="IV7" s="295"/>
      <c r="IW7" s="295"/>
      <c r="IX7" s="295"/>
      <c r="IY7" s="295"/>
      <c r="IZ7" s="295"/>
      <c r="JA7" s="295"/>
      <c r="JB7" s="295"/>
      <c r="JC7" s="295"/>
      <c r="JD7" s="295"/>
      <c r="JE7" s="295"/>
      <c r="JF7" s="295"/>
      <c r="JG7" s="295"/>
      <c r="JH7" s="295"/>
      <c r="JI7" s="295"/>
      <c r="JJ7" s="295"/>
      <c r="JK7" s="295"/>
      <c r="JL7" s="295"/>
      <c r="JM7" s="295"/>
      <c r="JN7" s="295"/>
      <c r="JO7" s="295"/>
      <c r="JP7" s="295"/>
      <c r="JQ7" s="295"/>
      <c r="JR7" s="295"/>
      <c r="JS7" s="295"/>
      <c r="JT7" s="295"/>
      <c r="JU7" s="295"/>
      <c r="JV7" s="295"/>
      <c r="JW7" s="295"/>
      <c r="JX7" s="295"/>
      <c r="JY7" s="295"/>
      <c r="JZ7" s="295"/>
      <c r="KA7" s="295"/>
      <c r="KB7" s="295"/>
      <c r="KC7" s="295"/>
      <c r="KD7" s="295"/>
      <c r="KE7" s="295"/>
      <c r="KF7" s="295"/>
      <c r="KG7" s="295"/>
      <c r="KH7" s="295"/>
      <c r="KI7" s="295"/>
      <c r="KJ7" s="295"/>
      <c r="KK7" s="295"/>
      <c r="KL7" s="295"/>
      <c r="KM7" s="295"/>
      <c r="KN7" s="295"/>
      <c r="KO7" s="295"/>
      <c r="KP7" s="295"/>
      <c r="KQ7" s="295"/>
      <c r="KR7" s="295"/>
      <c r="KS7" s="295"/>
      <c r="KT7" s="295"/>
      <c r="KU7" s="295"/>
      <c r="KV7" s="295"/>
      <c r="KW7" s="295"/>
      <c r="KX7" s="295"/>
      <c r="KY7" s="295"/>
      <c r="KZ7" s="295"/>
      <c r="LA7" s="295"/>
      <c r="LB7" s="295"/>
      <c r="LC7" s="295"/>
      <c r="LD7" s="295"/>
      <c r="LE7" s="295"/>
      <c r="LF7" s="295"/>
      <c r="LG7" s="295"/>
      <c r="LH7" s="295"/>
      <c r="LI7" s="295"/>
      <c r="LJ7" s="295"/>
      <c r="LK7" s="295"/>
      <c r="LL7" s="295"/>
      <c r="LM7" s="295"/>
      <c r="LN7" s="295"/>
      <c r="LO7" s="295"/>
      <c r="LP7" s="295"/>
      <c r="LQ7" s="295"/>
      <c r="LR7" s="295"/>
      <c r="LS7" s="295"/>
      <c r="LT7" s="295"/>
      <c r="LU7" s="295"/>
      <c r="LV7" s="295"/>
      <c r="LW7" s="295"/>
      <c r="LX7" s="295"/>
      <c r="LY7" s="295"/>
      <c r="LZ7" s="295"/>
      <c r="MA7" s="295"/>
      <c r="MB7" s="295"/>
      <c r="MC7" s="295"/>
      <c r="MD7" s="295"/>
      <c r="ME7" s="295"/>
      <c r="MF7" s="295"/>
      <c r="MG7" s="295"/>
      <c r="MH7" s="295"/>
      <c r="MI7" s="295"/>
      <c r="MJ7" s="295"/>
      <c r="MK7" s="295"/>
      <c r="ML7" s="295"/>
      <c r="MM7" s="295"/>
      <c r="MN7" s="295"/>
      <c r="MO7" s="295"/>
      <c r="MP7" s="295"/>
      <c r="MQ7" s="295"/>
      <c r="MR7" s="295"/>
      <c r="MS7" s="295"/>
      <c r="MT7" s="295"/>
      <c r="MU7" s="295"/>
      <c r="MV7" s="295"/>
      <c r="MW7" s="295"/>
      <c r="MX7" s="295"/>
      <c r="MY7" s="295"/>
      <c r="MZ7" s="295"/>
      <c r="NA7" s="295"/>
      <c r="NB7" s="295"/>
      <c r="NC7" s="295"/>
      <c r="ND7" s="295"/>
      <c r="NE7" s="295"/>
      <c r="NF7" s="295"/>
      <c r="NG7" s="295"/>
      <c r="NH7" s="295"/>
      <c r="NI7" s="295"/>
      <c r="NJ7" s="295"/>
      <c r="NK7" s="295"/>
      <c r="NL7" s="295"/>
      <c r="NM7" s="295"/>
      <c r="NN7" s="295"/>
      <c r="NO7" s="295"/>
      <c r="NP7" s="295"/>
      <c r="NQ7" s="295"/>
      <c r="NR7" s="295"/>
      <c r="NS7" s="295"/>
      <c r="NT7" s="295"/>
      <c r="NU7" s="295"/>
      <c r="NV7" s="295"/>
      <c r="NW7" s="295"/>
      <c r="NX7" s="295"/>
      <c r="NY7" s="295"/>
      <c r="NZ7" s="295"/>
      <c r="OA7" s="295"/>
      <c r="OB7" s="295"/>
      <c r="OC7" s="295"/>
      <c r="OD7" s="295"/>
      <c r="OE7" s="295"/>
      <c r="OF7" s="295"/>
      <c r="OG7" s="295"/>
      <c r="OH7" s="295"/>
      <c r="OI7" s="295"/>
      <c r="OJ7" s="295"/>
      <c r="OK7" s="295"/>
      <c r="OL7" s="295"/>
      <c r="OM7" s="295"/>
      <c r="ON7" s="295"/>
      <c r="OO7" s="295"/>
      <c r="OP7" s="295"/>
      <c r="OQ7" s="295"/>
      <c r="OR7" s="295"/>
      <c r="OS7" s="295"/>
      <c r="OT7" s="295"/>
      <c r="OU7" s="295"/>
      <c r="OV7" s="295"/>
      <c r="OW7" s="295"/>
      <c r="OX7" s="295"/>
      <c r="OY7" s="295"/>
      <c r="OZ7" s="295"/>
      <c r="PA7" s="295"/>
      <c r="PB7" s="295"/>
      <c r="PC7" s="295"/>
      <c r="PD7" s="295"/>
      <c r="PE7" s="295"/>
      <c r="PF7" s="295"/>
      <c r="PG7" s="295"/>
      <c r="PH7" s="295"/>
      <c r="PI7" s="295"/>
      <c r="PJ7" s="295"/>
      <c r="PK7" s="295"/>
      <c r="PL7" s="295"/>
      <c r="PM7" s="295"/>
      <c r="PN7" s="295"/>
      <c r="PO7" s="295"/>
      <c r="PP7" s="295"/>
      <c r="PQ7" s="295"/>
      <c r="PR7" s="295"/>
      <c r="PS7" s="295"/>
      <c r="PT7" s="295"/>
      <c r="PU7" s="295"/>
      <c r="PV7" s="295"/>
      <c r="PW7" s="295"/>
      <c r="PX7" s="295"/>
      <c r="PY7" s="295"/>
      <c r="PZ7" s="295"/>
      <c r="QA7" s="295"/>
      <c r="QB7" s="295"/>
      <c r="QC7" s="295"/>
      <c r="QD7" s="295"/>
      <c r="QE7" s="295"/>
      <c r="QF7" s="295"/>
      <c r="QG7" s="295"/>
      <c r="QH7" s="295"/>
      <c r="QI7" s="295"/>
      <c r="QJ7" s="295"/>
      <c r="QK7" s="295"/>
      <c r="QL7" s="295"/>
      <c r="QM7" s="295"/>
      <c r="QN7" s="295"/>
      <c r="QO7" s="295"/>
      <c r="QP7" s="296"/>
      <c r="QQ7" s="158"/>
      <c r="QR7" s="156"/>
    </row>
    <row r="8" spans="3:484" s="151" customFormat="1" ht="9.65" customHeight="1" x14ac:dyDescent="0.35">
      <c r="C8" s="152"/>
      <c r="D8" s="157"/>
      <c r="E8" s="294"/>
      <c r="F8" s="295"/>
      <c r="G8" s="295"/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5"/>
      <c r="AS8" s="295"/>
      <c r="AT8" s="295"/>
      <c r="AU8" s="295"/>
      <c r="AV8" s="295"/>
      <c r="AW8" s="295"/>
      <c r="AX8" s="295"/>
      <c r="AY8" s="295"/>
      <c r="AZ8" s="295"/>
      <c r="BA8" s="295"/>
      <c r="BB8" s="295"/>
      <c r="BC8" s="295"/>
      <c r="BD8" s="295"/>
      <c r="BE8" s="295"/>
      <c r="BF8" s="295"/>
      <c r="BG8" s="295"/>
      <c r="BH8" s="295"/>
      <c r="BI8" s="295"/>
      <c r="BJ8" s="295"/>
      <c r="BK8" s="295"/>
      <c r="BL8" s="295"/>
      <c r="BM8" s="295"/>
      <c r="BN8" s="295"/>
      <c r="BO8" s="295"/>
      <c r="BP8" s="295"/>
      <c r="BQ8" s="295"/>
      <c r="BR8" s="295"/>
      <c r="BS8" s="295"/>
      <c r="BT8" s="295"/>
      <c r="BU8" s="295"/>
      <c r="BV8" s="295"/>
      <c r="BW8" s="295"/>
      <c r="BX8" s="295"/>
      <c r="BY8" s="295"/>
      <c r="BZ8" s="295"/>
      <c r="CA8" s="295"/>
      <c r="CB8" s="295"/>
      <c r="CC8" s="295"/>
      <c r="CD8" s="295"/>
      <c r="CE8" s="295"/>
      <c r="CF8" s="295"/>
      <c r="CG8" s="295"/>
      <c r="CH8" s="295"/>
      <c r="CI8" s="295"/>
      <c r="CJ8" s="295"/>
      <c r="CK8" s="295"/>
      <c r="CL8" s="295"/>
      <c r="CM8" s="295"/>
      <c r="CN8" s="295"/>
      <c r="CO8" s="295"/>
      <c r="CP8" s="295"/>
      <c r="CQ8" s="295"/>
      <c r="CR8" s="295"/>
      <c r="CS8" s="295"/>
      <c r="CT8" s="295"/>
      <c r="CU8" s="295"/>
      <c r="CV8" s="295"/>
      <c r="CW8" s="295"/>
      <c r="CX8" s="295"/>
      <c r="CY8" s="295"/>
      <c r="CZ8" s="295"/>
      <c r="DA8" s="295"/>
      <c r="DB8" s="295"/>
      <c r="DC8" s="295"/>
      <c r="DD8" s="295"/>
      <c r="DE8" s="295"/>
      <c r="DF8" s="295"/>
      <c r="DG8" s="295"/>
      <c r="DH8" s="295"/>
      <c r="DI8" s="295"/>
      <c r="DJ8" s="295"/>
      <c r="DK8" s="295"/>
      <c r="DL8" s="295"/>
      <c r="DM8" s="295"/>
      <c r="DN8" s="295"/>
      <c r="DO8" s="295"/>
      <c r="DP8" s="295"/>
      <c r="DQ8" s="295"/>
      <c r="DR8" s="295"/>
      <c r="DS8" s="295"/>
      <c r="DT8" s="295"/>
      <c r="DU8" s="295"/>
      <c r="DV8" s="295"/>
      <c r="DW8" s="295"/>
      <c r="DX8" s="295"/>
      <c r="DY8" s="295"/>
      <c r="DZ8" s="295"/>
      <c r="EA8" s="295"/>
      <c r="EB8" s="295"/>
      <c r="EC8" s="295"/>
      <c r="ED8" s="295"/>
      <c r="EE8" s="295"/>
      <c r="EF8" s="295"/>
      <c r="EG8" s="295"/>
      <c r="EH8" s="295"/>
      <c r="EI8" s="295"/>
      <c r="EJ8" s="295"/>
      <c r="EK8" s="295"/>
      <c r="EL8" s="295"/>
      <c r="EM8" s="295"/>
      <c r="EN8" s="295"/>
      <c r="EO8" s="295"/>
      <c r="EP8" s="295"/>
      <c r="EQ8" s="295"/>
      <c r="ER8" s="295"/>
      <c r="ES8" s="295"/>
      <c r="ET8" s="295"/>
      <c r="EU8" s="295"/>
      <c r="EV8" s="295"/>
      <c r="EW8" s="295"/>
      <c r="EX8" s="295"/>
      <c r="EY8" s="295"/>
      <c r="EZ8" s="295"/>
      <c r="FA8" s="295"/>
      <c r="FB8" s="295"/>
      <c r="FC8" s="295"/>
      <c r="FD8" s="295"/>
      <c r="FE8" s="295"/>
      <c r="FF8" s="295"/>
      <c r="FG8" s="295"/>
      <c r="FH8" s="295"/>
      <c r="FI8" s="295"/>
      <c r="FJ8" s="295"/>
      <c r="FK8" s="295"/>
      <c r="FL8" s="295"/>
      <c r="FM8" s="295"/>
      <c r="FN8" s="295"/>
      <c r="FO8" s="295"/>
      <c r="FP8" s="295"/>
      <c r="FQ8" s="295"/>
      <c r="FR8" s="295"/>
      <c r="FS8" s="295"/>
      <c r="FT8" s="295"/>
      <c r="FU8" s="295"/>
      <c r="FV8" s="295"/>
      <c r="FW8" s="295"/>
      <c r="FX8" s="295"/>
      <c r="FY8" s="295"/>
      <c r="FZ8" s="295"/>
      <c r="GA8" s="295"/>
      <c r="GB8" s="295"/>
      <c r="GC8" s="295"/>
      <c r="GD8" s="295"/>
      <c r="GE8" s="295"/>
      <c r="GF8" s="295"/>
      <c r="GG8" s="295"/>
      <c r="GH8" s="295"/>
      <c r="GI8" s="295"/>
      <c r="GJ8" s="295"/>
      <c r="GK8" s="295"/>
      <c r="GL8" s="295"/>
      <c r="GM8" s="295"/>
      <c r="GN8" s="295"/>
      <c r="GO8" s="295"/>
      <c r="GP8" s="295"/>
      <c r="GQ8" s="295"/>
      <c r="GR8" s="295"/>
      <c r="GS8" s="295"/>
      <c r="GT8" s="295"/>
      <c r="GU8" s="295"/>
      <c r="GV8" s="295"/>
      <c r="GW8" s="295"/>
      <c r="GX8" s="295"/>
      <c r="GY8" s="295"/>
      <c r="GZ8" s="295"/>
      <c r="HA8" s="295"/>
      <c r="HB8" s="295"/>
      <c r="HC8" s="295"/>
      <c r="HD8" s="295"/>
      <c r="HE8" s="295"/>
      <c r="HF8" s="295"/>
      <c r="HG8" s="295"/>
      <c r="HH8" s="295"/>
      <c r="HI8" s="295"/>
      <c r="HJ8" s="295"/>
      <c r="HK8" s="295"/>
      <c r="HL8" s="295"/>
      <c r="HM8" s="295"/>
      <c r="HN8" s="295"/>
      <c r="HO8" s="295"/>
      <c r="HP8" s="295"/>
      <c r="HQ8" s="295"/>
      <c r="HR8" s="295"/>
      <c r="HS8" s="295"/>
      <c r="HT8" s="295"/>
      <c r="HU8" s="295"/>
      <c r="HV8" s="295"/>
      <c r="HW8" s="295"/>
      <c r="HX8" s="295"/>
      <c r="HY8" s="295"/>
      <c r="HZ8" s="295"/>
      <c r="IA8" s="295"/>
      <c r="IB8" s="295"/>
      <c r="IC8" s="295"/>
      <c r="ID8" s="295"/>
      <c r="IE8" s="295"/>
      <c r="IF8" s="295"/>
      <c r="IG8" s="295"/>
      <c r="IH8" s="295"/>
      <c r="II8" s="295"/>
      <c r="IJ8" s="295"/>
      <c r="IK8" s="295"/>
      <c r="IL8" s="295"/>
      <c r="IM8" s="295"/>
      <c r="IN8" s="295"/>
      <c r="IO8" s="295"/>
      <c r="IP8" s="295"/>
      <c r="IQ8" s="295"/>
      <c r="IR8" s="295"/>
      <c r="IS8" s="295"/>
      <c r="IT8" s="295"/>
      <c r="IU8" s="295"/>
      <c r="IV8" s="295"/>
      <c r="IW8" s="295"/>
      <c r="IX8" s="295"/>
      <c r="IY8" s="295"/>
      <c r="IZ8" s="295"/>
      <c r="JA8" s="295"/>
      <c r="JB8" s="295"/>
      <c r="JC8" s="295"/>
      <c r="JD8" s="295"/>
      <c r="JE8" s="295"/>
      <c r="JF8" s="295"/>
      <c r="JG8" s="295"/>
      <c r="JH8" s="295"/>
      <c r="JI8" s="295"/>
      <c r="JJ8" s="295"/>
      <c r="JK8" s="295"/>
      <c r="JL8" s="295"/>
      <c r="JM8" s="295"/>
      <c r="JN8" s="295"/>
      <c r="JO8" s="295"/>
      <c r="JP8" s="295"/>
      <c r="JQ8" s="295"/>
      <c r="JR8" s="295"/>
      <c r="JS8" s="295"/>
      <c r="JT8" s="295"/>
      <c r="JU8" s="295"/>
      <c r="JV8" s="295"/>
      <c r="JW8" s="295"/>
      <c r="JX8" s="295"/>
      <c r="JY8" s="295"/>
      <c r="JZ8" s="295"/>
      <c r="KA8" s="295"/>
      <c r="KB8" s="295"/>
      <c r="KC8" s="295"/>
      <c r="KD8" s="295"/>
      <c r="KE8" s="295"/>
      <c r="KF8" s="295"/>
      <c r="KG8" s="295"/>
      <c r="KH8" s="295"/>
      <c r="KI8" s="295"/>
      <c r="KJ8" s="295"/>
      <c r="KK8" s="295"/>
      <c r="KL8" s="295"/>
      <c r="KM8" s="295"/>
      <c r="KN8" s="295"/>
      <c r="KO8" s="295"/>
      <c r="KP8" s="295"/>
      <c r="KQ8" s="295"/>
      <c r="KR8" s="295"/>
      <c r="KS8" s="295"/>
      <c r="KT8" s="295"/>
      <c r="KU8" s="295"/>
      <c r="KV8" s="295"/>
      <c r="KW8" s="295"/>
      <c r="KX8" s="295"/>
      <c r="KY8" s="295"/>
      <c r="KZ8" s="295"/>
      <c r="LA8" s="295"/>
      <c r="LB8" s="295"/>
      <c r="LC8" s="295"/>
      <c r="LD8" s="295"/>
      <c r="LE8" s="295"/>
      <c r="LF8" s="295"/>
      <c r="LG8" s="295"/>
      <c r="LH8" s="295"/>
      <c r="LI8" s="295"/>
      <c r="LJ8" s="295"/>
      <c r="LK8" s="295"/>
      <c r="LL8" s="295"/>
      <c r="LM8" s="295"/>
      <c r="LN8" s="295"/>
      <c r="LO8" s="295"/>
      <c r="LP8" s="295"/>
      <c r="LQ8" s="295"/>
      <c r="LR8" s="295"/>
      <c r="LS8" s="295"/>
      <c r="LT8" s="295"/>
      <c r="LU8" s="295"/>
      <c r="LV8" s="295"/>
      <c r="LW8" s="295"/>
      <c r="LX8" s="295"/>
      <c r="LY8" s="295"/>
      <c r="LZ8" s="295"/>
      <c r="MA8" s="295"/>
      <c r="MB8" s="295"/>
      <c r="MC8" s="295"/>
      <c r="MD8" s="295"/>
      <c r="ME8" s="295"/>
      <c r="MF8" s="295"/>
      <c r="MG8" s="295"/>
      <c r="MH8" s="295"/>
      <c r="MI8" s="295"/>
      <c r="MJ8" s="295"/>
      <c r="MK8" s="295"/>
      <c r="ML8" s="295"/>
      <c r="MM8" s="295"/>
      <c r="MN8" s="295"/>
      <c r="MO8" s="295"/>
      <c r="MP8" s="295"/>
      <c r="MQ8" s="295"/>
      <c r="MR8" s="295"/>
      <c r="MS8" s="295"/>
      <c r="MT8" s="295"/>
      <c r="MU8" s="295"/>
      <c r="MV8" s="295"/>
      <c r="MW8" s="295"/>
      <c r="MX8" s="295"/>
      <c r="MY8" s="295"/>
      <c r="MZ8" s="295"/>
      <c r="NA8" s="295"/>
      <c r="NB8" s="295"/>
      <c r="NC8" s="295"/>
      <c r="ND8" s="295"/>
      <c r="NE8" s="295"/>
      <c r="NF8" s="295"/>
      <c r="NG8" s="295"/>
      <c r="NH8" s="295"/>
      <c r="NI8" s="295"/>
      <c r="NJ8" s="295"/>
      <c r="NK8" s="295"/>
      <c r="NL8" s="295"/>
      <c r="NM8" s="295"/>
      <c r="NN8" s="295"/>
      <c r="NO8" s="295"/>
      <c r="NP8" s="295"/>
      <c r="NQ8" s="295"/>
      <c r="NR8" s="295"/>
      <c r="NS8" s="295"/>
      <c r="NT8" s="295"/>
      <c r="NU8" s="295"/>
      <c r="NV8" s="295"/>
      <c r="NW8" s="295"/>
      <c r="NX8" s="295"/>
      <c r="NY8" s="295"/>
      <c r="NZ8" s="295"/>
      <c r="OA8" s="295"/>
      <c r="OB8" s="295"/>
      <c r="OC8" s="295"/>
      <c r="OD8" s="295"/>
      <c r="OE8" s="295"/>
      <c r="OF8" s="295"/>
      <c r="OG8" s="295"/>
      <c r="OH8" s="295"/>
      <c r="OI8" s="295"/>
      <c r="OJ8" s="295"/>
      <c r="OK8" s="295"/>
      <c r="OL8" s="295"/>
      <c r="OM8" s="295"/>
      <c r="ON8" s="295"/>
      <c r="OO8" s="295"/>
      <c r="OP8" s="295"/>
      <c r="OQ8" s="295"/>
      <c r="OR8" s="295"/>
      <c r="OS8" s="295"/>
      <c r="OT8" s="295"/>
      <c r="OU8" s="295"/>
      <c r="OV8" s="295"/>
      <c r="OW8" s="295"/>
      <c r="OX8" s="295"/>
      <c r="OY8" s="295"/>
      <c r="OZ8" s="295"/>
      <c r="PA8" s="295"/>
      <c r="PB8" s="295"/>
      <c r="PC8" s="295"/>
      <c r="PD8" s="295"/>
      <c r="PE8" s="295"/>
      <c r="PF8" s="295"/>
      <c r="PG8" s="295"/>
      <c r="PH8" s="295"/>
      <c r="PI8" s="295"/>
      <c r="PJ8" s="295"/>
      <c r="PK8" s="295"/>
      <c r="PL8" s="295"/>
      <c r="PM8" s="295"/>
      <c r="PN8" s="295"/>
      <c r="PO8" s="295"/>
      <c r="PP8" s="295"/>
      <c r="PQ8" s="295"/>
      <c r="PR8" s="295"/>
      <c r="PS8" s="295"/>
      <c r="PT8" s="295"/>
      <c r="PU8" s="295"/>
      <c r="PV8" s="295"/>
      <c r="PW8" s="295"/>
      <c r="PX8" s="295"/>
      <c r="PY8" s="295"/>
      <c r="PZ8" s="295"/>
      <c r="QA8" s="295"/>
      <c r="QB8" s="295"/>
      <c r="QC8" s="295"/>
      <c r="QD8" s="295"/>
      <c r="QE8" s="295"/>
      <c r="QF8" s="295"/>
      <c r="QG8" s="295"/>
      <c r="QH8" s="295"/>
      <c r="QI8" s="295"/>
      <c r="QJ8" s="295"/>
      <c r="QK8" s="295"/>
      <c r="QL8" s="295"/>
      <c r="QM8" s="295"/>
      <c r="QN8" s="295"/>
      <c r="QO8" s="295"/>
      <c r="QP8" s="296"/>
      <c r="QQ8" s="158"/>
      <c r="QR8" s="156"/>
      <c r="QS8" s="159"/>
      <c r="QT8" s="159"/>
      <c r="QU8" s="159"/>
      <c r="QV8" s="159"/>
      <c r="RK8" s="159"/>
      <c r="RL8" s="159"/>
      <c r="RM8" s="159"/>
      <c r="RN8" s="159"/>
      <c r="RO8" s="159"/>
    </row>
    <row r="9" spans="3:484" s="151" customFormat="1" ht="9.65" customHeight="1" x14ac:dyDescent="0.35">
      <c r="C9" s="152"/>
      <c r="D9" s="157"/>
      <c r="E9" s="294" t="s">
        <v>263</v>
      </c>
      <c r="F9" s="295"/>
      <c r="G9" s="295"/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  <c r="AD9" s="295"/>
      <c r="AE9" s="295"/>
      <c r="AF9" s="295"/>
      <c r="AG9" s="295"/>
      <c r="AH9" s="295"/>
      <c r="AI9" s="295"/>
      <c r="AJ9" s="295"/>
      <c r="AK9" s="295"/>
      <c r="AL9" s="295"/>
      <c r="AM9" s="295"/>
      <c r="AN9" s="295"/>
      <c r="AO9" s="295"/>
      <c r="AP9" s="295"/>
      <c r="AQ9" s="295"/>
      <c r="AR9" s="295"/>
      <c r="AS9" s="295"/>
      <c r="AT9" s="295"/>
      <c r="AU9" s="295"/>
      <c r="AV9" s="295"/>
      <c r="AW9" s="295"/>
      <c r="AX9" s="295"/>
      <c r="AY9" s="295"/>
      <c r="AZ9" s="295"/>
      <c r="BA9" s="295"/>
      <c r="BB9" s="295"/>
      <c r="BC9" s="295"/>
      <c r="BD9" s="295"/>
      <c r="BE9" s="295"/>
      <c r="BF9" s="295"/>
      <c r="BG9" s="295"/>
      <c r="BH9" s="295"/>
      <c r="BI9" s="295"/>
      <c r="BJ9" s="295"/>
      <c r="BK9" s="295"/>
      <c r="BL9" s="295"/>
      <c r="BM9" s="295"/>
      <c r="BN9" s="295"/>
      <c r="BO9" s="295"/>
      <c r="BP9" s="295"/>
      <c r="BQ9" s="295"/>
      <c r="BR9" s="295"/>
      <c r="BS9" s="295"/>
      <c r="BT9" s="295"/>
      <c r="BU9" s="295"/>
      <c r="BV9" s="295"/>
      <c r="BW9" s="295"/>
      <c r="BX9" s="295"/>
      <c r="BY9" s="295"/>
      <c r="BZ9" s="295"/>
      <c r="CA9" s="295"/>
      <c r="CB9" s="295"/>
      <c r="CC9" s="295"/>
      <c r="CD9" s="295"/>
      <c r="CE9" s="295"/>
      <c r="CF9" s="295"/>
      <c r="CG9" s="295"/>
      <c r="CH9" s="295"/>
      <c r="CI9" s="295"/>
      <c r="CJ9" s="295"/>
      <c r="CK9" s="295"/>
      <c r="CL9" s="295"/>
      <c r="CM9" s="295"/>
      <c r="CN9" s="295"/>
      <c r="CO9" s="295"/>
      <c r="CP9" s="295"/>
      <c r="CQ9" s="295"/>
      <c r="CR9" s="295"/>
      <c r="CS9" s="295"/>
      <c r="CT9" s="295"/>
      <c r="CU9" s="295"/>
      <c r="CV9" s="295"/>
      <c r="CW9" s="295"/>
      <c r="CX9" s="295"/>
      <c r="CY9" s="295"/>
      <c r="CZ9" s="295"/>
      <c r="DA9" s="295"/>
      <c r="DB9" s="295"/>
      <c r="DC9" s="295"/>
      <c r="DD9" s="295"/>
      <c r="DE9" s="295"/>
      <c r="DF9" s="295"/>
      <c r="DG9" s="295"/>
      <c r="DH9" s="295"/>
      <c r="DI9" s="295"/>
      <c r="DJ9" s="295"/>
      <c r="DK9" s="295"/>
      <c r="DL9" s="295"/>
      <c r="DM9" s="295"/>
      <c r="DN9" s="295"/>
      <c r="DO9" s="295"/>
      <c r="DP9" s="295"/>
      <c r="DQ9" s="295"/>
      <c r="DR9" s="295"/>
      <c r="DS9" s="295"/>
      <c r="DT9" s="295"/>
      <c r="DU9" s="295"/>
      <c r="DV9" s="295"/>
      <c r="DW9" s="295"/>
      <c r="DX9" s="295"/>
      <c r="DY9" s="295"/>
      <c r="DZ9" s="295"/>
      <c r="EA9" s="295"/>
      <c r="EB9" s="295"/>
      <c r="EC9" s="295"/>
      <c r="ED9" s="295"/>
      <c r="EE9" s="295"/>
      <c r="EF9" s="295"/>
      <c r="EG9" s="295"/>
      <c r="EH9" s="295"/>
      <c r="EI9" s="295"/>
      <c r="EJ9" s="295"/>
      <c r="EK9" s="295"/>
      <c r="EL9" s="295"/>
      <c r="EM9" s="295"/>
      <c r="EN9" s="295"/>
      <c r="EO9" s="295"/>
      <c r="EP9" s="295"/>
      <c r="EQ9" s="295"/>
      <c r="ER9" s="295"/>
      <c r="ES9" s="295"/>
      <c r="ET9" s="295"/>
      <c r="EU9" s="295"/>
      <c r="EV9" s="295"/>
      <c r="EW9" s="295"/>
      <c r="EX9" s="295"/>
      <c r="EY9" s="295"/>
      <c r="EZ9" s="295"/>
      <c r="FA9" s="295"/>
      <c r="FB9" s="295"/>
      <c r="FC9" s="295"/>
      <c r="FD9" s="295"/>
      <c r="FE9" s="295"/>
      <c r="FF9" s="295"/>
      <c r="FG9" s="295"/>
      <c r="FH9" s="295"/>
      <c r="FI9" s="295"/>
      <c r="FJ9" s="295"/>
      <c r="FK9" s="295"/>
      <c r="FL9" s="295"/>
      <c r="FM9" s="295"/>
      <c r="FN9" s="295"/>
      <c r="FO9" s="295"/>
      <c r="FP9" s="295"/>
      <c r="FQ9" s="295"/>
      <c r="FR9" s="295"/>
      <c r="FS9" s="295"/>
      <c r="FT9" s="295"/>
      <c r="FU9" s="295"/>
      <c r="FV9" s="295"/>
      <c r="FW9" s="295"/>
      <c r="FX9" s="295"/>
      <c r="FY9" s="295"/>
      <c r="FZ9" s="295"/>
      <c r="GA9" s="295"/>
      <c r="GB9" s="295"/>
      <c r="GC9" s="295"/>
      <c r="GD9" s="295"/>
      <c r="GE9" s="295"/>
      <c r="GF9" s="295"/>
      <c r="GG9" s="295"/>
      <c r="GH9" s="295"/>
      <c r="GI9" s="295"/>
      <c r="GJ9" s="295"/>
      <c r="GK9" s="295"/>
      <c r="GL9" s="295"/>
      <c r="GM9" s="295"/>
      <c r="GN9" s="295"/>
      <c r="GO9" s="295"/>
      <c r="GP9" s="295"/>
      <c r="GQ9" s="295"/>
      <c r="GR9" s="295"/>
      <c r="GS9" s="295"/>
      <c r="GT9" s="295"/>
      <c r="GU9" s="295"/>
      <c r="GV9" s="295"/>
      <c r="GW9" s="295"/>
      <c r="GX9" s="295"/>
      <c r="GY9" s="295"/>
      <c r="GZ9" s="295"/>
      <c r="HA9" s="295"/>
      <c r="HB9" s="295"/>
      <c r="HC9" s="295"/>
      <c r="HD9" s="295"/>
      <c r="HE9" s="295"/>
      <c r="HF9" s="295"/>
      <c r="HG9" s="295"/>
      <c r="HH9" s="295"/>
      <c r="HI9" s="295"/>
      <c r="HJ9" s="295"/>
      <c r="HK9" s="295"/>
      <c r="HL9" s="295"/>
      <c r="HM9" s="295"/>
      <c r="HN9" s="295"/>
      <c r="HO9" s="295"/>
      <c r="HP9" s="295"/>
      <c r="HQ9" s="295"/>
      <c r="HR9" s="295"/>
      <c r="HS9" s="295"/>
      <c r="HT9" s="295"/>
      <c r="HU9" s="295"/>
      <c r="HV9" s="295"/>
      <c r="HW9" s="295"/>
      <c r="HX9" s="295"/>
      <c r="HY9" s="295"/>
      <c r="HZ9" s="295"/>
      <c r="IA9" s="295"/>
      <c r="IB9" s="295"/>
      <c r="IC9" s="295"/>
      <c r="ID9" s="295"/>
      <c r="IE9" s="295"/>
      <c r="IF9" s="295"/>
      <c r="IG9" s="295"/>
      <c r="IH9" s="295"/>
      <c r="II9" s="295"/>
      <c r="IJ9" s="295"/>
      <c r="IK9" s="295"/>
      <c r="IL9" s="295"/>
      <c r="IM9" s="295"/>
      <c r="IN9" s="295"/>
      <c r="IO9" s="295"/>
      <c r="IP9" s="295"/>
      <c r="IQ9" s="295"/>
      <c r="IR9" s="295"/>
      <c r="IS9" s="295"/>
      <c r="IT9" s="295"/>
      <c r="IU9" s="295"/>
      <c r="IV9" s="295"/>
      <c r="IW9" s="295"/>
      <c r="IX9" s="295"/>
      <c r="IY9" s="295"/>
      <c r="IZ9" s="295"/>
      <c r="JA9" s="295"/>
      <c r="JB9" s="295"/>
      <c r="JC9" s="295"/>
      <c r="JD9" s="295"/>
      <c r="JE9" s="295"/>
      <c r="JF9" s="295"/>
      <c r="JG9" s="295"/>
      <c r="JH9" s="295"/>
      <c r="JI9" s="295"/>
      <c r="JJ9" s="295"/>
      <c r="JK9" s="295"/>
      <c r="JL9" s="295"/>
      <c r="JM9" s="295"/>
      <c r="JN9" s="295"/>
      <c r="JO9" s="295"/>
      <c r="JP9" s="295"/>
      <c r="JQ9" s="295"/>
      <c r="JR9" s="295"/>
      <c r="JS9" s="295"/>
      <c r="JT9" s="295"/>
      <c r="JU9" s="295"/>
      <c r="JV9" s="295"/>
      <c r="JW9" s="295"/>
      <c r="JX9" s="295"/>
      <c r="JY9" s="295"/>
      <c r="JZ9" s="295"/>
      <c r="KA9" s="295"/>
      <c r="KB9" s="295"/>
      <c r="KC9" s="295"/>
      <c r="KD9" s="295"/>
      <c r="KE9" s="295"/>
      <c r="KF9" s="295"/>
      <c r="KG9" s="295"/>
      <c r="KH9" s="295"/>
      <c r="KI9" s="295"/>
      <c r="KJ9" s="295"/>
      <c r="KK9" s="295"/>
      <c r="KL9" s="295"/>
      <c r="KM9" s="295"/>
      <c r="KN9" s="295"/>
      <c r="KO9" s="295"/>
      <c r="KP9" s="295"/>
      <c r="KQ9" s="295"/>
      <c r="KR9" s="295"/>
      <c r="KS9" s="295"/>
      <c r="KT9" s="295"/>
      <c r="KU9" s="295"/>
      <c r="KV9" s="295"/>
      <c r="KW9" s="295"/>
      <c r="KX9" s="295"/>
      <c r="KY9" s="295"/>
      <c r="KZ9" s="295"/>
      <c r="LA9" s="295"/>
      <c r="LB9" s="295"/>
      <c r="LC9" s="295"/>
      <c r="LD9" s="295"/>
      <c r="LE9" s="295"/>
      <c r="LF9" s="295"/>
      <c r="LG9" s="295"/>
      <c r="LH9" s="295"/>
      <c r="LI9" s="295"/>
      <c r="LJ9" s="295"/>
      <c r="LK9" s="295"/>
      <c r="LL9" s="295"/>
      <c r="LM9" s="295"/>
      <c r="LN9" s="295"/>
      <c r="LO9" s="295"/>
      <c r="LP9" s="295"/>
      <c r="LQ9" s="295"/>
      <c r="LR9" s="295"/>
      <c r="LS9" s="295"/>
      <c r="LT9" s="295"/>
      <c r="LU9" s="295"/>
      <c r="LV9" s="295"/>
      <c r="LW9" s="295"/>
      <c r="LX9" s="295"/>
      <c r="LY9" s="295"/>
      <c r="LZ9" s="295"/>
      <c r="MA9" s="295"/>
      <c r="MB9" s="295"/>
      <c r="MC9" s="295"/>
      <c r="MD9" s="295"/>
      <c r="ME9" s="295"/>
      <c r="MF9" s="295"/>
      <c r="MG9" s="295"/>
      <c r="MH9" s="295"/>
      <c r="MI9" s="295"/>
      <c r="MJ9" s="295"/>
      <c r="MK9" s="295"/>
      <c r="ML9" s="295"/>
      <c r="MM9" s="295"/>
      <c r="MN9" s="295"/>
      <c r="MO9" s="295"/>
      <c r="MP9" s="295"/>
      <c r="MQ9" s="295"/>
      <c r="MR9" s="295"/>
      <c r="MS9" s="295"/>
      <c r="MT9" s="295"/>
      <c r="MU9" s="295"/>
      <c r="MV9" s="295"/>
      <c r="MW9" s="295"/>
      <c r="MX9" s="295"/>
      <c r="MY9" s="295"/>
      <c r="MZ9" s="295"/>
      <c r="NA9" s="295"/>
      <c r="NB9" s="295"/>
      <c r="NC9" s="295"/>
      <c r="ND9" s="295"/>
      <c r="NE9" s="295"/>
      <c r="NF9" s="295"/>
      <c r="NG9" s="295"/>
      <c r="NH9" s="295"/>
      <c r="NI9" s="295"/>
      <c r="NJ9" s="295"/>
      <c r="NK9" s="295"/>
      <c r="NL9" s="295"/>
      <c r="NM9" s="295"/>
      <c r="NN9" s="295"/>
      <c r="NO9" s="295"/>
      <c r="NP9" s="295"/>
      <c r="NQ9" s="295"/>
      <c r="NR9" s="295"/>
      <c r="NS9" s="295"/>
      <c r="NT9" s="295"/>
      <c r="NU9" s="295"/>
      <c r="NV9" s="295"/>
      <c r="NW9" s="295"/>
      <c r="NX9" s="295"/>
      <c r="NY9" s="295"/>
      <c r="NZ9" s="295"/>
      <c r="OA9" s="295"/>
      <c r="OB9" s="295"/>
      <c r="OC9" s="295"/>
      <c r="OD9" s="295"/>
      <c r="OE9" s="295"/>
      <c r="OF9" s="295"/>
      <c r="OG9" s="295"/>
      <c r="OH9" s="295"/>
      <c r="OI9" s="295"/>
      <c r="OJ9" s="295"/>
      <c r="OK9" s="295"/>
      <c r="OL9" s="295"/>
      <c r="OM9" s="295"/>
      <c r="ON9" s="295"/>
      <c r="OO9" s="295"/>
      <c r="OP9" s="295"/>
      <c r="OQ9" s="295"/>
      <c r="OR9" s="295"/>
      <c r="OS9" s="295"/>
      <c r="OT9" s="295"/>
      <c r="OU9" s="295"/>
      <c r="OV9" s="295"/>
      <c r="OW9" s="295"/>
      <c r="OX9" s="295"/>
      <c r="OY9" s="295"/>
      <c r="OZ9" s="295"/>
      <c r="PA9" s="295"/>
      <c r="PB9" s="295"/>
      <c r="PC9" s="295"/>
      <c r="PD9" s="295"/>
      <c r="PE9" s="295"/>
      <c r="PF9" s="295"/>
      <c r="PG9" s="295"/>
      <c r="PH9" s="295"/>
      <c r="PI9" s="295"/>
      <c r="PJ9" s="295"/>
      <c r="PK9" s="295"/>
      <c r="PL9" s="295"/>
      <c r="PM9" s="295"/>
      <c r="PN9" s="295"/>
      <c r="PO9" s="295"/>
      <c r="PP9" s="295"/>
      <c r="PQ9" s="295"/>
      <c r="PR9" s="295"/>
      <c r="PS9" s="295"/>
      <c r="PT9" s="295"/>
      <c r="PU9" s="295"/>
      <c r="PV9" s="295"/>
      <c r="PW9" s="295"/>
      <c r="PX9" s="295"/>
      <c r="PY9" s="295"/>
      <c r="PZ9" s="295"/>
      <c r="QA9" s="295"/>
      <c r="QB9" s="295"/>
      <c r="QC9" s="295"/>
      <c r="QD9" s="295"/>
      <c r="QE9" s="295"/>
      <c r="QF9" s="295"/>
      <c r="QG9" s="295"/>
      <c r="QH9" s="295"/>
      <c r="QI9" s="295"/>
      <c r="QJ9" s="295"/>
      <c r="QK9" s="295"/>
      <c r="QL9" s="295"/>
      <c r="QM9" s="295"/>
      <c r="QN9" s="295"/>
      <c r="QO9" s="295"/>
      <c r="QP9" s="296"/>
      <c r="QQ9" s="158"/>
      <c r="QR9" s="156"/>
      <c r="QS9" s="159"/>
      <c r="QT9" s="159"/>
      <c r="QU9" s="159"/>
      <c r="QV9" s="159"/>
      <c r="QW9" s="160"/>
      <c r="RK9" s="159"/>
      <c r="RL9" s="159"/>
      <c r="RM9" s="159"/>
      <c r="RN9" s="159"/>
      <c r="RO9" s="159"/>
      <c r="RP9" s="160"/>
    </row>
    <row r="10" spans="3:484" s="151" customFormat="1" ht="9.65" customHeight="1" x14ac:dyDescent="0.35">
      <c r="C10" s="152"/>
      <c r="D10" s="157"/>
      <c r="E10" s="294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5"/>
      <c r="BV10" s="295"/>
      <c r="BW10" s="295"/>
      <c r="BX10" s="295"/>
      <c r="BY10" s="295"/>
      <c r="BZ10" s="295"/>
      <c r="CA10" s="295"/>
      <c r="CB10" s="295"/>
      <c r="CC10" s="295"/>
      <c r="CD10" s="295"/>
      <c r="CE10" s="295"/>
      <c r="CF10" s="295"/>
      <c r="CG10" s="295"/>
      <c r="CH10" s="295"/>
      <c r="CI10" s="295"/>
      <c r="CJ10" s="295"/>
      <c r="CK10" s="295"/>
      <c r="CL10" s="295"/>
      <c r="CM10" s="295"/>
      <c r="CN10" s="295"/>
      <c r="CO10" s="295"/>
      <c r="CP10" s="295"/>
      <c r="CQ10" s="295"/>
      <c r="CR10" s="295"/>
      <c r="CS10" s="295"/>
      <c r="CT10" s="295"/>
      <c r="CU10" s="295"/>
      <c r="CV10" s="295"/>
      <c r="CW10" s="295"/>
      <c r="CX10" s="295"/>
      <c r="CY10" s="295"/>
      <c r="CZ10" s="295"/>
      <c r="DA10" s="295"/>
      <c r="DB10" s="295"/>
      <c r="DC10" s="295"/>
      <c r="DD10" s="295"/>
      <c r="DE10" s="295"/>
      <c r="DF10" s="295"/>
      <c r="DG10" s="295"/>
      <c r="DH10" s="295"/>
      <c r="DI10" s="295"/>
      <c r="DJ10" s="295"/>
      <c r="DK10" s="295"/>
      <c r="DL10" s="295"/>
      <c r="DM10" s="295"/>
      <c r="DN10" s="295"/>
      <c r="DO10" s="295"/>
      <c r="DP10" s="295"/>
      <c r="DQ10" s="295"/>
      <c r="DR10" s="295"/>
      <c r="DS10" s="295"/>
      <c r="DT10" s="295"/>
      <c r="DU10" s="295"/>
      <c r="DV10" s="295"/>
      <c r="DW10" s="295"/>
      <c r="DX10" s="295"/>
      <c r="DY10" s="295"/>
      <c r="DZ10" s="295"/>
      <c r="EA10" s="295"/>
      <c r="EB10" s="295"/>
      <c r="EC10" s="295"/>
      <c r="ED10" s="295"/>
      <c r="EE10" s="295"/>
      <c r="EF10" s="295"/>
      <c r="EG10" s="295"/>
      <c r="EH10" s="295"/>
      <c r="EI10" s="295"/>
      <c r="EJ10" s="295"/>
      <c r="EK10" s="295"/>
      <c r="EL10" s="295"/>
      <c r="EM10" s="295"/>
      <c r="EN10" s="295"/>
      <c r="EO10" s="295"/>
      <c r="EP10" s="295"/>
      <c r="EQ10" s="295"/>
      <c r="ER10" s="295"/>
      <c r="ES10" s="295"/>
      <c r="ET10" s="295"/>
      <c r="EU10" s="295"/>
      <c r="EV10" s="295"/>
      <c r="EW10" s="295"/>
      <c r="EX10" s="295"/>
      <c r="EY10" s="295"/>
      <c r="EZ10" s="295"/>
      <c r="FA10" s="295"/>
      <c r="FB10" s="295"/>
      <c r="FC10" s="295"/>
      <c r="FD10" s="295"/>
      <c r="FE10" s="295"/>
      <c r="FF10" s="295"/>
      <c r="FG10" s="295"/>
      <c r="FH10" s="295"/>
      <c r="FI10" s="295"/>
      <c r="FJ10" s="295"/>
      <c r="FK10" s="295"/>
      <c r="FL10" s="295"/>
      <c r="FM10" s="295"/>
      <c r="FN10" s="295"/>
      <c r="FO10" s="295"/>
      <c r="FP10" s="295"/>
      <c r="FQ10" s="295"/>
      <c r="FR10" s="295"/>
      <c r="FS10" s="295"/>
      <c r="FT10" s="295"/>
      <c r="FU10" s="295"/>
      <c r="FV10" s="295"/>
      <c r="FW10" s="295"/>
      <c r="FX10" s="295"/>
      <c r="FY10" s="295"/>
      <c r="FZ10" s="295"/>
      <c r="GA10" s="295"/>
      <c r="GB10" s="295"/>
      <c r="GC10" s="295"/>
      <c r="GD10" s="295"/>
      <c r="GE10" s="295"/>
      <c r="GF10" s="295"/>
      <c r="GG10" s="295"/>
      <c r="GH10" s="295"/>
      <c r="GI10" s="295"/>
      <c r="GJ10" s="295"/>
      <c r="GK10" s="295"/>
      <c r="GL10" s="295"/>
      <c r="GM10" s="295"/>
      <c r="GN10" s="295"/>
      <c r="GO10" s="295"/>
      <c r="GP10" s="295"/>
      <c r="GQ10" s="295"/>
      <c r="GR10" s="295"/>
      <c r="GS10" s="295"/>
      <c r="GT10" s="295"/>
      <c r="GU10" s="295"/>
      <c r="GV10" s="295"/>
      <c r="GW10" s="295"/>
      <c r="GX10" s="295"/>
      <c r="GY10" s="295"/>
      <c r="GZ10" s="295"/>
      <c r="HA10" s="295"/>
      <c r="HB10" s="295"/>
      <c r="HC10" s="295"/>
      <c r="HD10" s="295"/>
      <c r="HE10" s="295"/>
      <c r="HF10" s="295"/>
      <c r="HG10" s="295"/>
      <c r="HH10" s="295"/>
      <c r="HI10" s="295"/>
      <c r="HJ10" s="295"/>
      <c r="HK10" s="295"/>
      <c r="HL10" s="295"/>
      <c r="HM10" s="295"/>
      <c r="HN10" s="295"/>
      <c r="HO10" s="295"/>
      <c r="HP10" s="295"/>
      <c r="HQ10" s="295"/>
      <c r="HR10" s="295"/>
      <c r="HS10" s="295"/>
      <c r="HT10" s="295"/>
      <c r="HU10" s="295"/>
      <c r="HV10" s="295"/>
      <c r="HW10" s="295"/>
      <c r="HX10" s="295"/>
      <c r="HY10" s="295"/>
      <c r="HZ10" s="295"/>
      <c r="IA10" s="295"/>
      <c r="IB10" s="295"/>
      <c r="IC10" s="295"/>
      <c r="ID10" s="295"/>
      <c r="IE10" s="295"/>
      <c r="IF10" s="295"/>
      <c r="IG10" s="295"/>
      <c r="IH10" s="295"/>
      <c r="II10" s="295"/>
      <c r="IJ10" s="295"/>
      <c r="IK10" s="295"/>
      <c r="IL10" s="295"/>
      <c r="IM10" s="295"/>
      <c r="IN10" s="295"/>
      <c r="IO10" s="295"/>
      <c r="IP10" s="295"/>
      <c r="IQ10" s="295"/>
      <c r="IR10" s="295"/>
      <c r="IS10" s="295"/>
      <c r="IT10" s="295"/>
      <c r="IU10" s="295"/>
      <c r="IV10" s="295"/>
      <c r="IW10" s="295"/>
      <c r="IX10" s="295"/>
      <c r="IY10" s="295"/>
      <c r="IZ10" s="295"/>
      <c r="JA10" s="295"/>
      <c r="JB10" s="295"/>
      <c r="JC10" s="295"/>
      <c r="JD10" s="295"/>
      <c r="JE10" s="295"/>
      <c r="JF10" s="295"/>
      <c r="JG10" s="295"/>
      <c r="JH10" s="295"/>
      <c r="JI10" s="295"/>
      <c r="JJ10" s="295"/>
      <c r="JK10" s="295"/>
      <c r="JL10" s="295"/>
      <c r="JM10" s="295"/>
      <c r="JN10" s="295"/>
      <c r="JO10" s="295"/>
      <c r="JP10" s="295"/>
      <c r="JQ10" s="295"/>
      <c r="JR10" s="295"/>
      <c r="JS10" s="295"/>
      <c r="JT10" s="295"/>
      <c r="JU10" s="295"/>
      <c r="JV10" s="295"/>
      <c r="JW10" s="295"/>
      <c r="JX10" s="295"/>
      <c r="JY10" s="295"/>
      <c r="JZ10" s="295"/>
      <c r="KA10" s="295"/>
      <c r="KB10" s="295"/>
      <c r="KC10" s="295"/>
      <c r="KD10" s="295"/>
      <c r="KE10" s="295"/>
      <c r="KF10" s="295"/>
      <c r="KG10" s="295"/>
      <c r="KH10" s="295"/>
      <c r="KI10" s="295"/>
      <c r="KJ10" s="295"/>
      <c r="KK10" s="295"/>
      <c r="KL10" s="295"/>
      <c r="KM10" s="295"/>
      <c r="KN10" s="295"/>
      <c r="KO10" s="295"/>
      <c r="KP10" s="295"/>
      <c r="KQ10" s="295"/>
      <c r="KR10" s="295"/>
      <c r="KS10" s="295"/>
      <c r="KT10" s="295"/>
      <c r="KU10" s="295"/>
      <c r="KV10" s="295"/>
      <c r="KW10" s="295"/>
      <c r="KX10" s="295"/>
      <c r="KY10" s="295"/>
      <c r="KZ10" s="295"/>
      <c r="LA10" s="295"/>
      <c r="LB10" s="295"/>
      <c r="LC10" s="295"/>
      <c r="LD10" s="295"/>
      <c r="LE10" s="295"/>
      <c r="LF10" s="295"/>
      <c r="LG10" s="295"/>
      <c r="LH10" s="295"/>
      <c r="LI10" s="295"/>
      <c r="LJ10" s="295"/>
      <c r="LK10" s="295"/>
      <c r="LL10" s="295"/>
      <c r="LM10" s="295"/>
      <c r="LN10" s="295"/>
      <c r="LO10" s="295"/>
      <c r="LP10" s="295"/>
      <c r="LQ10" s="295"/>
      <c r="LR10" s="295"/>
      <c r="LS10" s="295"/>
      <c r="LT10" s="295"/>
      <c r="LU10" s="295"/>
      <c r="LV10" s="295"/>
      <c r="LW10" s="295"/>
      <c r="LX10" s="295"/>
      <c r="LY10" s="295"/>
      <c r="LZ10" s="295"/>
      <c r="MA10" s="295"/>
      <c r="MB10" s="295"/>
      <c r="MC10" s="295"/>
      <c r="MD10" s="295"/>
      <c r="ME10" s="295"/>
      <c r="MF10" s="295"/>
      <c r="MG10" s="295"/>
      <c r="MH10" s="295"/>
      <c r="MI10" s="295"/>
      <c r="MJ10" s="295"/>
      <c r="MK10" s="295"/>
      <c r="ML10" s="295"/>
      <c r="MM10" s="295"/>
      <c r="MN10" s="295"/>
      <c r="MO10" s="295"/>
      <c r="MP10" s="295"/>
      <c r="MQ10" s="295"/>
      <c r="MR10" s="295"/>
      <c r="MS10" s="295"/>
      <c r="MT10" s="295"/>
      <c r="MU10" s="295"/>
      <c r="MV10" s="295"/>
      <c r="MW10" s="295"/>
      <c r="MX10" s="295"/>
      <c r="MY10" s="295"/>
      <c r="MZ10" s="295"/>
      <c r="NA10" s="295"/>
      <c r="NB10" s="295"/>
      <c r="NC10" s="295"/>
      <c r="ND10" s="295"/>
      <c r="NE10" s="295"/>
      <c r="NF10" s="295"/>
      <c r="NG10" s="295"/>
      <c r="NH10" s="295"/>
      <c r="NI10" s="295"/>
      <c r="NJ10" s="295"/>
      <c r="NK10" s="295"/>
      <c r="NL10" s="295"/>
      <c r="NM10" s="295"/>
      <c r="NN10" s="295"/>
      <c r="NO10" s="295"/>
      <c r="NP10" s="295"/>
      <c r="NQ10" s="295"/>
      <c r="NR10" s="295"/>
      <c r="NS10" s="295"/>
      <c r="NT10" s="295"/>
      <c r="NU10" s="295"/>
      <c r="NV10" s="295"/>
      <c r="NW10" s="295"/>
      <c r="NX10" s="295"/>
      <c r="NY10" s="295"/>
      <c r="NZ10" s="295"/>
      <c r="OA10" s="295"/>
      <c r="OB10" s="295"/>
      <c r="OC10" s="295"/>
      <c r="OD10" s="295"/>
      <c r="OE10" s="295"/>
      <c r="OF10" s="295"/>
      <c r="OG10" s="295"/>
      <c r="OH10" s="295"/>
      <c r="OI10" s="295"/>
      <c r="OJ10" s="295"/>
      <c r="OK10" s="295"/>
      <c r="OL10" s="295"/>
      <c r="OM10" s="295"/>
      <c r="ON10" s="295"/>
      <c r="OO10" s="295"/>
      <c r="OP10" s="295"/>
      <c r="OQ10" s="295"/>
      <c r="OR10" s="295"/>
      <c r="OS10" s="295"/>
      <c r="OT10" s="295"/>
      <c r="OU10" s="295"/>
      <c r="OV10" s="295"/>
      <c r="OW10" s="295"/>
      <c r="OX10" s="295"/>
      <c r="OY10" s="295"/>
      <c r="OZ10" s="295"/>
      <c r="PA10" s="295"/>
      <c r="PB10" s="295"/>
      <c r="PC10" s="295"/>
      <c r="PD10" s="295"/>
      <c r="PE10" s="295"/>
      <c r="PF10" s="295"/>
      <c r="PG10" s="295"/>
      <c r="PH10" s="295"/>
      <c r="PI10" s="295"/>
      <c r="PJ10" s="295"/>
      <c r="PK10" s="295"/>
      <c r="PL10" s="295"/>
      <c r="PM10" s="295"/>
      <c r="PN10" s="295"/>
      <c r="PO10" s="295"/>
      <c r="PP10" s="295"/>
      <c r="PQ10" s="295"/>
      <c r="PR10" s="295"/>
      <c r="PS10" s="295"/>
      <c r="PT10" s="295"/>
      <c r="PU10" s="295"/>
      <c r="PV10" s="295"/>
      <c r="PW10" s="295"/>
      <c r="PX10" s="295"/>
      <c r="PY10" s="295"/>
      <c r="PZ10" s="295"/>
      <c r="QA10" s="295"/>
      <c r="QB10" s="295"/>
      <c r="QC10" s="295"/>
      <c r="QD10" s="295"/>
      <c r="QE10" s="295"/>
      <c r="QF10" s="295"/>
      <c r="QG10" s="295"/>
      <c r="QH10" s="295"/>
      <c r="QI10" s="295"/>
      <c r="QJ10" s="295"/>
      <c r="QK10" s="295"/>
      <c r="QL10" s="295"/>
      <c r="QM10" s="295"/>
      <c r="QN10" s="295"/>
      <c r="QO10" s="295"/>
      <c r="QP10" s="296"/>
      <c r="QQ10" s="158"/>
      <c r="QR10" s="156"/>
      <c r="QS10" s="159"/>
      <c r="QT10" s="159"/>
      <c r="QU10" s="159"/>
      <c r="QV10" s="159"/>
      <c r="QW10" s="160"/>
      <c r="RK10" s="159"/>
      <c r="RL10" s="159"/>
      <c r="RM10" s="159"/>
      <c r="RN10" s="159"/>
      <c r="RO10" s="159"/>
      <c r="RP10" s="160"/>
    </row>
    <row r="11" spans="3:484" s="151" customFormat="1" ht="9.65" customHeight="1" x14ac:dyDescent="0.35">
      <c r="C11" s="152"/>
      <c r="D11" s="157"/>
      <c r="E11" s="294"/>
      <c r="F11" s="295"/>
      <c r="G11" s="295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5"/>
      <c r="BK11" s="295"/>
      <c r="BL11" s="295"/>
      <c r="BM11" s="295"/>
      <c r="BN11" s="295"/>
      <c r="BO11" s="295"/>
      <c r="BP11" s="295"/>
      <c r="BQ11" s="295"/>
      <c r="BR11" s="295"/>
      <c r="BS11" s="295"/>
      <c r="BT11" s="295"/>
      <c r="BU11" s="295"/>
      <c r="BV11" s="295"/>
      <c r="BW11" s="295"/>
      <c r="BX11" s="295"/>
      <c r="BY11" s="295"/>
      <c r="BZ11" s="295"/>
      <c r="CA11" s="295"/>
      <c r="CB11" s="295"/>
      <c r="CC11" s="295"/>
      <c r="CD11" s="295"/>
      <c r="CE11" s="295"/>
      <c r="CF11" s="295"/>
      <c r="CG11" s="295"/>
      <c r="CH11" s="295"/>
      <c r="CI11" s="295"/>
      <c r="CJ11" s="295"/>
      <c r="CK11" s="295"/>
      <c r="CL11" s="295"/>
      <c r="CM11" s="295"/>
      <c r="CN11" s="295"/>
      <c r="CO11" s="295"/>
      <c r="CP11" s="295"/>
      <c r="CQ11" s="295"/>
      <c r="CR11" s="295"/>
      <c r="CS11" s="295"/>
      <c r="CT11" s="295"/>
      <c r="CU11" s="295"/>
      <c r="CV11" s="295"/>
      <c r="CW11" s="295"/>
      <c r="CX11" s="295"/>
      <c r="CY11" s="295"/>
      <c r="CZ11" s="295"/>
      <c r="DA11" s="295"/>
      <c r="DB11" s="295"/>
      <c r="DC11" s="295"/>
      <c r="DD11" s="295"/>
      <c r="DE11" s="295"/>
      <c r="DF11" s="295"/>
      <c r="DG11" s="295"/>
      <c r="DH11" s="295"/>
      <c r="DI11" s="295"/>
      <c r="DJ11" s="295"/>
      <c r="DK11" s="295"/>
      <c r="DL11" s="295"/>
      <c r="DM11" s="295"/>
      <c r="DN11" s="295"/>
      <c r="DO11" s="295"/>
      <c r="DP11" s="295"/>
      <c r="DQ11" s="295"/>
      <c r="DR11" s="295"/>
      <c r="DS11" s="295"/>
      <c r="DT11" s="295"/>
      <c r="DU11" s="295"/>
      <c r="DV11" s="295"/>
      <c r="DW11" s="295"/>
      <c r="DX11" s="295"/>
      <c r="DY11" s="295"/>
      <c r="DZ11" s="295"/>
      <c r="EA11" s="295"/>
      <c r="EB11" s="295"/>
      <c r="EC11" s="295"/>
      <c r="ED11" s="295"/>
      <c r="EE11" s="295"/>
      <c r="EF11" s="295"/>
      <c r="EG11" s="295"/>
      <c r="EH11" s="295"/>
      <c r="EI11" s="295"/>
      <c r="EJ11" s="295"/>
      <c r="EK11" s="295"/>
      <c r="EL11" s="295"/>
      <c r="EM11" s="295"/>
      <c r="EN11" s="295"/>
      <c r="EO11" s="295"/>
      <c r="EP11" s="295"/>
      <c r="EQ11" s="295"/>
      <c r="ER11" s="295"/>
      <c r="ES11" s="295"/>
      <c r="ET11" s="295"/>
      <c r="EU11" s="295"/>
      <c r="EV11" s="295"/>
      <c r="EW11" s="295"/>
      <c r="EX11" s="295"/>
      <c r="EY11" s="295"/>
      <c r="EZ11" s="295"/>
      <c r="FA11" s="295"/>
      <c r="FB11" s="295"/>
      <c r="FC11" s="295"/>
      <c r="FD11" s="295"/>
      <c r="FE11" s="295"/>
      <c r="FF11" s="295"/>
      <c r="FG11" s="295"/>
      <c r="FH11" s="295"/>
      <c r="FI11" s="295"/>
      <c r="FJ11" s="295"/>
      <c r="FK11" s="295"/>
      <c r="FL11" s="295"/>
      <c r="FM11" s="295"/>
      <c r="FN11" s="295"/>
      <c r="FO11" s="295"/>
      <c r="FP11" s="295"/>
      <c r="FQ11" s="295"/>
      <c r="FR11" s="295"/>
      <c r="FS11" s="295"/>
      <c r="FT11" s="295"/>
      <c r="FU11" s="295"/>
      <c r="FV11" s="295"/>
      <c r="FW11" s="295"/>
      <c r="FX11" s="295"/>
      <c r="FY11" s="295"/>
      <c r="FZ11" s="295"/>
      <c r="GA11" s="295"/>
      <c r="GB11" s="295"/>
      <c r="GC11" s="295"/>
      <c r="GD11" s="295"/>
      <c r="GE11" s="295"/>
      <c r="GF11" s="295"/>
      <c r="GG11" s="295"/>
      <c r="GH11" s="295"/>
      <c r="GI11" s="295"/>
      <c r="GJ11" s="295"/>
      <c r="GK11" s="295"/>
      <c r="GL11" s="295"/>
      <c r="GM11" s="295"/>
      <c r="GN11" s="295"/>
      <c r="GO11" s="295"/>
      <c r="GP11" s="295"/>
      <c r="GQ11" s="295"/>
      <c r="GR11" s="295"/>
      <c r="GS11" s="295"/>
      <c r="GT11" s="295"/>
      <c r="GU11" s="295"/>
      <c r="GV11" s="295"/>
      <c r="GW11" s="295"/>
      <c r="GX11" s="295"/>
      <c r="GY11" s="295"/>
      <c r="GZ11" s="295"/>
      <c r="HA11" s="295"/>
      <c r="HB11" s="295"/>
      <c r="HC11" s="295"/>
      <c r="HD11" s="295"/>
      <c r="HE11" s="295"/>
      <c r="HF11" s="295"/>
      <c r="HG11" s="295"/>
      <c r="HH11" s="295"/>
      <c r="HI11" s="295"/>
      <c r="HJ11" s="295"/>
      <c r="HK11" s="295"/>
      <c r="HL11" s="295"/>
      <c r="HM11" s="295"/>
      <c r="HN11" s="295"/>
      <c r="HO11" s="295"/>
      <c r="HP11" s="295"/>
      <c r="HQ11" s="295"/>
      <c r="HR11" s="295"/>
      <c r="HS11" s="295"/>
      <c r="HT11" s="295"/>
      <c r="HU11" s="295"/>
      <c r="HV11" s="295"/>
      <c r="HW11" s="295"/>
      <c r="HX11" s="295"/>
      <c r="HY11" s="295"/>
      <c r="HZ11" s="295"/>
      <c r="IA11" s="295"/>
      <c r="IB11" s="295"/>
      <c r="IC11" s="295"/>
      <c r="ID11" s="295"/>
      <c r="IE11" s="295"/>
      <c r="IF11" s="295"/>
      <c r="IG11" s="295"/>
      <c r="IH11" s="295"/>
      <c r="II11" s="295"/>
      <c r="IJ11" s="295"/>
      <c r="IK11" s="295"/>
      <c r="IL11" s="295"/>
      <c r="IM11" s="295"/>
      <c r="IN11" s="295"/>
      <c r="IO11" s="295"/>
      <c r="IP11" s="295"/>
      <c r="IQ11" s="295"/>
      <c r="IR11" s="295"/>
      <c r="IS11" s="295"/>
      <c r="IT11" s="295"/>
      <c r="IU11" s="295"/>
      <c r="IV11" s="295"/>
      <c r="IW11" s="295"/>
      <c r="IX11" s="295"/>
      <c r="IY11" s="295"/>
      <c r="IZ11" s="295"/>
      <c r="JA11" s="295"/>
      <c r="JB11" s="295"/>
      <c r="JC11" s="295"/>
      <c r="JD11" s="295"/>
      <c r="JE11" s="295"/>
      <c r="JF11" s="295"/>
      <c r="JG11" s="295"/>
      <c r="JH11" s="295"/>
      <c r="JI11" s="295"/>
      <c r="JJ11" s="295"/>
      <c r="JK11" s="295"/>
      <c r="JL11" s="295"/>
      <c r="JM11" s="295"/>
      <c r="JN11" s="295"/>
      <c r="JO11" s="295"/>
      <c r="JP11" s="295"/>
      <c r="JQ11" s="295"/>
      <c r="JR11" s="295"/>
      <c r="JS11" s="295"/>
      <c r="JT11" s="295"/>
      <c r="JU11" s="295"/>
      <c r="JV11" s="295"/>
      <c r="JW11" s="295"/>
      <c r="JX11" s="295"/>
      <c r="JY11" s="295"/>
      <c r="JZ11" s="295"/>
      <c r="KA11" s="295"/>
      <c r="KB11" s="295"/>
      <c r="KC11" s="295"/>
      <c r="KD11" s="295"/>
      <c r="KE11" s="295"/>
      <c r="KF11" s="295"/>
      <c r="KG11" s="295"/>
      <c r="KH11" s="295"/>
      <c r="KI11" s="295"/>
      <c r="KJ11" s="295"/>
      <c r="KK11" s="295"/>
      <c r="KL11" s="295"/>
      <c r="KM11" s="295"/>
      <c r="KN11" s="295"/>
      <c r="KO11" s="295"/>
      <c r="KP11" s="295"/>
      <c r="KQ11" s="295"/>
      <c r="KR11" s="295"/>
      <c r="KS11" s="295"/>
      <c r="KT11" s="295"/>
      <c r="KU11" s="295"/>
      <c r="KV11" s="295"/>
      <c r="KW11" s="295"/>
      <c r="KX11" s="295"/>
      <c r="KY11" s="295"/>
      <c r="KZ11" s="295"/>
      <c r="LA11" s="295"/>
      <c r="LB11" s="295"/>
      <c r="LC11" s="295"/>
      <c r="LD11" s="295"/>
      <c r="LE11" s="295"/>
      <c r="LF11" s="295"/>
      <c r="LG11" s="295"/>
      <c r="LH11" s="295"/>
      <c r="LI11" s="295"/>
      <c r="LJ11" s="295"/>
      <c r="LK11" s="295"/>
      <c r="LL11" s="295"/>
      <c r="LM11" s="295"/>
      <c r="LN11" s="295"/>
      <c r="LO11" s="295"/>
      <c r="LP11" s="295"/>
      <c r="LQ11" s="295"/>
      <c r="LR11" s="295"/>
      <c r="LS11" s="295"/>
      <c r="LT11" s="295"/>
      <c r="LU11" s="295"/>
      <c r="LV11" s="295"/>
      <c r="LW11" s="295"/>
      <c r="LX11" s="295"/>
      <c r="LY11" s="295"/>
      <c r="LZ11" s="295"/>
      <c r="MA11" s="295"/>
      <c r="MB11" s="295"/>
      <c r="MC11" s="295"/>
      <c r="MD11" s="295"/>
      <c r="ME11" s="295"/>
      <c r="MF11" s="295"/>
      <c r="MG11" s="295"/>
      <c r="MH11" s="295"/>
      <c r="MI11" s="295"/>
      <c r="MJ11" s="295"/>
      <c r="MK11" s="295"/>
      <c r="ML11" s="295"/>
      <c r="MM11" s="295"/>
      <c r="MN11" s="295"/>
      <c r="MO11" s="295"/>
      <c r="MP11" s="295"/>
      <c r="MQ11" s="295"/>
      <c r="MR11" s="295"/>
      <c r="MS11" s="295"/>
      <c r="MT11" s="295"/>
      <c r="MU11" s="295"/>
      <c r="MV11" s="295"/>
      <c r="MW11" s="295"/>
      <c r="MX11" s="295"/>
      <c r="MY11" s="295"/>
      <c r="MZ11" s="295"/>
      <c r="NA11" s="295"/>
      <c r="NB11" s="295"/>
      <c r="NC11" s="295"/>
      <c r="ND11" s="295"/>
      <c r="NE11" s="295"/>
      <c r="NF11" s="295"/>
      <c r="NG11" s="295"/>
      <c r="NH11" s="295"/>
      <c r="NI11" s="295"/>
      <c r="NJ11" s="295"/>
      <c r="NK11" s="295"/>
      <c r="NL11" s="295"/>
      <c r="NM11" s="295"/>
      <c r="NN11" s="295"/>
      <c r="NO11" s="295"/>
      <c r="NP11" s="295"/>
      <c r="NQ11" s="295"/>
      <c r="NR11" s="295"/>
      <c r="NS11" s="295"/>
      <c r="NT11" s="295"/>
      <c r="NU11" s="295"/>
      <c r="NV11" s="295"/>
      <c r="NW11" s="295"/>
      <c r="NX11" s="295"/>
      <c r="NY11" s="295"/>
      <c r="NZ11" s="295"/>
      <c r="OA11" s="295"/>
      <c r="OB11" s="295"/>
      <c r="OC11" s="295"/>
      <c r="OD11" s="295"/>
      <c r="OE11" s="295"/>
      <c r="OF11" s="295"/>
      <c r="OG11" s="295"/>
      <c r="OH11" s="295"/>
      <c r="OI11" s="295"/>
      <c r="OJ11" s="295"/>
      <c r="OK11" s="295"/>
      <c r="OL11" s="295"/>
      <c r="OM11" s="295"/>
      <c r="ON11" s="295"/>
      <c r="OO11" s="295"/>
      <c r="OP11" s="295"/>
      <c r="OQ11" s="295"/>
      <c r="OR11" s="295"/>
      <c r="OS11" s="295"/>
      <c r="OT11" s="295"/>
      <c r="OU11" s="295"/>
      <c r="OV11" s="295"/>
      <c r="OW11" s="295"/>
      <c r="OX11" s="295"/>
      <c r="OY11" s="295"/>
      <c r="OZ11" s="295"/>
      <c r="PA11" s="295"/>
      <c r="PB11" s="295"/>
      <c r="PC11" s="295"/>
      <c r="PD11" s="295"/>
      <c r="PE11" s="295"/>
      <c r="PF11" s="295"/>
      <c r="PG11" s="295"/>
      <c r="PH11" s="295"/>
      <c r="PI11" s="295"/>
      <c r="PJ11" s="295"/>
      <c r="PK11" s="295"/>
      <c r="PL11" s="295"/>
      <c r="PM11" s="295"/>
      <c r="PN11" s="295"/>
      <c r="PO11" s="295"/>
      <c r="PP11" s="295"/>
      <c r="PQ11" s="295"/>
      <c r="PR11" s="295"/>
      <c r="PS11" s="295"/>
      <c r="PT11" s="295"/>
      <c r="PU11" s="295"/>
      <c r="PV11" s="295"/>
      <c r="PW11" s="295"/>
      <c r="PX11" s="295"/>
      <c r="PY11" s="295"/>
      <c r="PZ11" s="295"/>
      <c r="QA11" s="295"/>
      <c r="QB11" s="295"/>
      <c r="QC11" s="295"/>
      <c r="QD11" s="295"/>
      <c r="QE11" s="295"/>
      <c r="QF11" s="295"/>
      <c r="QG11" s="295"/>
      <c r="QH11" s="295"/>
      <c r="QI11" s="295"/>
      <c r="QJ11" s="295"/>
      <c r="QK11" s="295"/>
      <c r="QL11" s="295"/>
      <c r="QM11" s="295"/>
      <c r="QN11" s="295"/>
      <c r="QO11" s="295"/>
      <c r="QP11" s="296"/>
      <c r="QQ11" s="158"/>
      <c r="QR11" s="156"/>
    </row>
    <row r="12" spans="3:484" s="151" customFormat="1" ht="9.65" customHeight="1" x14ac:dyDescent="0.35">
      <c r="C12" s="152"/>
      <c r="D12" s="157"/>
      <c r="E12" s="294" t="s">
        <v>264</v>
      </c>
      <c r="F12" s="295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  <c r="AD12" s="295"/>
      <c r="AE12" s="295"/>
      <c r="AF12" s="295"/>
      <c r="AG12" s="295"/>
      <c r="AH12" s="295"/>
      <c r="AI12" s="295"/>
      <c r="AJ12" s="295"/>
      <c r="AK12" s="295"/>
      <c r="AL12" s="295"/>
      <c r="AM12" s="295"/>
      <c r="AN12" s="295"/>
      <c r="AO12" s="295"/>
      <c r="AP12" s="295"/>
      <c r="AQ12" s="295"/>
      <c r="AR12" s="295"/>
      <c r="AS12" s="295"/>
      <c r="AT12" s="295"/>
      <c r="AU12" s="295"/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5"/>
      <c r="BG12" s="295"/>
      <c r="BH12" s="295"/>
      <c r="BI12" s="295"/>
      <c r="BJ12" s="295"/>
      <c r="BK12" s="295"/>
      <c r="BL12" s="295"/>
      <c r="BM12" s="295"/>
      <c r="BN12" s="295"/>
      <c r="BO12" s="295"/>
      <c r="BP12" s="295"/>
      <c r="BQ12" s="295"/>
      <c r="BR12" s="295"/>
      <c r="BS12" s="295"/>
      <c r="BT12" s="295"/>
      <c r="BU12" s="295"/>
      <c r="BV12" s="295"/>
      <c r="BW12" s="295"/>
      <c r="BX12" s="295"/>
      <c r="BY12" s="295"/>
      <c r="BZ12" s="295"/>
      <c r="CA12" s="295"/>
      <c r="CB12" s="295"/>
      <c r="CC12" s="295"/>
      <c r="CD12" s="295"/>
      <c r="CE12" s="295"/>
      <c r="CF12" s="295"/>
      <c r="CG12" s="295"/>
      <c r="CH12" s="295"/>
      <c r="CI12" s="295"/>
      <c r="CJ12" s="295"/>
      <c r="CK12" s="295"/>
      <c r="CL12" s="295"/>
      <c r="CM12" s="295"/>
      <c r="CN12" s="295"/>
      <c r="CO12" s="295"/>
      <c r="CP12" s="295"/>
      <c r="CQ12" s="295"/>
      <c r="CR12" s="295"/>
      <c r="CS12" s="295"/>
      <c r="CT12" s="295"/>
      <c r="CU12" s="295"/>
      <c r="CV12" s="295"/>
      <c r="CW12" s="295"/>
      <c r="CX12" s="295"/>
      <c r="CY12" s="295"/>
      <c r="CZ12" s="295"/>
      <c r="DA12" s="295"/>
      <c r="DB12" s="295"/>
      <c r="DC12" s="295"/>
      <c r="DD12" s="295"/>
      <c r="DE12" s="295"/>
      <c r="DF12" s="295"/>
      <c r="DG12" s="295"/>
      <c r="DH12" s="295"/>
      <c r="DI12" s="295"/>
      <c r="DJ12" s="295"/>
      <c r="DK12" s="295"/>
      <c r="DL12" s="295"/>
      <c r="DM12" s="295"/>
      <c r="DN12" s="295"/>
      <c r="DO12" s="295"/>
      <c r="DP12" s="295"/>
      <c r="DQ12" s="295"/>
      <c r="DR12" s="295"/>
      <c r="DS12" s="295"/>
      <c r="DT12" s="295"/>
      <c r="DU12" s="295"/>
      <c r="DV12" s="295"/>
      <c r="DW12" s="295"/>
      <c r="DX12" s="295"/>
      <c r="DY12" s="295"/>
      <c r="DZ12" s="295"/>
      <c r="EA12" s="295"/>
      <c r="EB12" s="295"/>
      <c r="EC12" s="295"/>
      <c r="ED12" s="295"/>
      <c r="EE12" s="295"/>
      <c r="EF12" s="295"/>
      <c r="EG12" s="295"/>
      <c r="EH12" s="295"/>
      <c r="EI12" s="295"/>
      <c r="EJ12" s="295"/>
      <c r="EK12" s="295"/>
      <c r="EL12" s="295"/>
      <c r="EM12" s="295"/>
      <c r="EN12" s="295"/>
      <c r="EO12" s="295"/>
      <c r="EP12" s="295"/>
      <c r="EQ12" s="295"/>
      <c r="ER12" s="295"/>
      <c r="ES12" s="295"/>
      <c r="ET12" s="295"/>
      <c r="EU12" s="295"/>
      <c r="EV12" s="295"/>
      <c r="EW12" s="295"/>
      <c r="EX12" s="295"/>
      <c r="EY12" s="295"/>
      <c r="EZ12" s="295"/>
      <c r="FA12" s="295"/>
      <c r="FB12" s="295"/>
      <c r="FC12" s="295"/>
      <c r="FD12" s="295"/>
      <c r="FE12" s="295"/>
      <c r="FF12" s="295"/>
      <c r="FG12" s="295"/>
      <c r="FH12" s="295"/>
      <c r="FI12" s="295"/>
      <c r="FJ12" s="295"/>
      <c r="FK12" s="295"/>
      <c r="FL12" s="295"/>
      <c r="FM12" s="295"/>
      <c r="FN12" s="295"/>
      <c r="FO12" s="295"/>
      <c r="FP12" s="295"/>
      <c r="FQ12" s="295"/>
      <c r="FR12" s="295"/>
      <c r="FS12" s="295"/>
      <c r="FT12" s="295"/>
      <c r="FU12" s="295"/>
      <c r="FV12" s="295"/>
      <c r="FW12" s="295"/>
      <c r="FX12" s="295"/>
      <c r="FY12" s="295"/>
      <c r="FZ12" s="295"/>
      <c r="GA12" s="295"/>
      <c r="GB12" s="295"/>
      <c r="GC12" s="295"/>
      <c r="GD12" s="295"/>
      <c r="GE12" s="295"/>
      <c r="GF12" s="295"/>
      <c r="GG12" s="295"/>
      <c r="GH12" s="295"/>
      <c r="GI12" s="295"/>
      <c r="GJ12" s="295"/>
      <c r="GK12" s="295"/>
      <c r="GL12" s="295"/>
      <c r="GM12" s="295"/>
      <c r="GN12" s="295"/>
      <c r="GO12" s="295"/>
      <c r="GP12" s="295"/>
      <c r="GQ12" s="295"/>
      <c r="GR12" s="295"/>
      <c r="GS12" s="295"/>
      <c r="GT12" s="295"/>
      <c r="GU12" s="295"/>
      <c r="GV12" s="295"/>
      <c r="GW12" s="295"/>
      <c r="GX12" s="295"/>
      <c r="GY12" s="295"/>
      <c r="GZ12" s="295"/>
      <c r="HA12" s="295"/>
      <c r="HB12" s="295"/>
      <c r="HC12" s="295"/>
      <c r="HD12" s="295"/>
      <c r="HE12" s="295"/>
      <c r="HF12" s="295"/>
      <c r="HG12" s="295"/>
      <c r="HH12" s="295"/>
      <c r="HI12" s="295"/>
      <c r="HJ12" s="295"/>
      <c r="HK12" s="295"/>
      <c r="HL12" s="295"/>
      <c r="HM12" s="295"/>
      <c r="HN12" s="295"/>
      <c r="HO12" s="295"/>
      <c r="HP12" s="295"/>
      <c r="HQ12" s="295"/>
      <c r="HR12" s="295"/>
      <c r="HS12" s="295"/>
      <c r="HT12" s="295"/>
      <c r="HU12" s="295"/>
      <c r="HV12" s="295"/>
      <c r="HW12" s="295"/>
      <c r="HX12" s="295"/>
      <c r="HY12" s="295"/>
      <c r="HZ12" s="295"/>
      <c r="IA12" s="295"/>
      <c r="IB12" s="295"/>
      <c r="IC12" s="295"/>
      <c r="ID12" s="295"/>
      <c r="IE12" s="295"/>
      <c r="IF12" s="295"/>
      <c r="IG12" s="295"/>
      <c r="IH12" s="295"/>
      <c r="II12" s="295"/>
      <c r="IJ12" s="295"/>
      <c r="IK12" s="295"/>
      <c r="IL12" s="295"/>
      <c r="IM12" s="295"/>
      <c r="IN12" s="295"/>
      <c r="IO12" s="295"/>
      <c r="IP12" s="295"/>
      <c r="IQ12" s="295"/>
      <c r="IR12" s="295"/>
      <c r="IS12" s="295"/>
      <c r="IT12" s="295"/>
      <c r="IU12" s="295"/>
      <c r="IV12" s="295"/>
      <c r="IW12" s="295"/>
      <c r="IX12" s="295"/>
      <c r="IY12" s="295"/>
      <c r="IZ12" s="295"/>
      <c r="JA12" s="295"/>
      <c r="JB12" s="295"/>
      <c r="JC12" s="295"/>
      <c r="JD12" s="295"/>
      <c r="JE12" s="295"/>
      <c r="JF12" s="295"/>
      <c r="JG12" s="295"/>
      <c r="JH12" s="295"/>
      <c r="JI12" s="295"/>
      <c r="JJ12" s="295"/>
      <c r="JK12" s="295"/>
      <c r="JL12" s="295"/>
      <c r="JM12" s="295"/>
      <c r="JN12" s="295"/>
      <c r="JO12" s="295"/>
      <c r="JP12" s="295"/>
      <c r="JQ12" s="295"/>
      <c r="JR12" s="295"/>
      <c r="JS12" s="295"/>
      <c r="JT12" s="295"/>
      <c r="JU12" s="295"/>
      <c r="JV12" s="295"/>
      <c r="JW12" s="295"/>
      <c r="JX12" s="295"/>
      <c r="JY12" s="295"/>
      <c r="JZ12" s="295"/>
      <c r="KA12" s="295"/>
      <c r="KB12" s="295"/>
      <c r="KC12" s="295"/>
      <c r="KD12" s="295"/>
      <c r="KE12" s="295"/>
      <c r="KF12" s="295"/>
      <c r="KG12" s="295"/>
      <c r="KH12" s="295"/>
      <c r="KI12" s="295"/>
      <c r="KJ12" s="295"/>
      <c r="KK12" s="295"/>
      <c r="KL12" s="295"/>
      <c r="KM12" s="295"/>
      <c r="KN12" s="295"/>
      <c r="KO12" s="295"/>
      <c r="KP12" s="295"/>
      <c r="KQ12" s="295"/>
      <c r="KR12" s="295"/>
      <c r="KS12" s="295"/>
      <c r="KT12" s="295"/>
      <c r="KU12" s="295"/>
      <c r="KV12" s="295"/>
      <c r="KW12" s="295"/>
      <c r="KX12" s="295"/>
      <c r="KY12" s="295"/>
      <c r="KZ12" s="295"/>
      <c r="LA12" s="295"/>
      <c r="LB12" s="295"/>
      <c r="LC12" s="295"/>
      <c r="LD12" s="295"/>
      <c r="LE12" s="295"/>
      <c r="LF12" s="295"/>
      <c r="LG12" s="295"/>
      <c r="LH12" s="295"/>
      <c r="LI12" s="295"/>
      <c r="LJ12" s="295"/>
      <c r="LK12" s="295"/>
      <c r="LL12" s="295"/>
      <c r="LM12" s="295"/>
      <c r="LN12" s="295"/>
      <c r="LO12" s="295"/>
      <c r="LP12" s="295"/>
      <c r="LQ12" s="295"/>
      <c r="LR12" s="295"/>
      <c r="LS12" s="295"/>
      <c r="LT12" s="295"/>
      <c r="LU12" s="295"/>
      <c r="LV12" s="295"/>
      <c r="LW12" s="295"/>
      <c r="LX12" s="295"/>
      <c r="LY12" s="295"/>
      <c r="LZ12" s="295"/>
      <c r="MA12" s="295"/>
      <c r="MB12" s="295"/>
      <c r="MC12" s="295"/>
      <c r="MD12" s="295"/>
      <c r="ME12" s="295"/>
      <c r="MF12" s="295"/>
      <c r="MG12" s="295"/>
      <c r="MH12" s="295"/>
      <c r="MI12" s="295"/>
      <c r="MJ12" s="295"/>
      <c r="MK12" s="295"/>
      <c r="ML12" s="295"/>
      <c r="MM12" s="295"/>
      <c r="MN12" s="295"/>
      <c r="MO12" s="295"/>
      <c r="MP12" s="295"/>
      <c r="MQ12" s="295"/>
      <c r="MR12" s="295"/>
      <c r="MS12" s="295"/>
      <c r="MT12" s="295"/>
      <c r="MU12" s="295"/>
      <c r="MV12" s="295"/>
      <c r="MW12" s="295"/>
      <c r="MX12" s="295"/>
      <c r="MY12" s="295"/>
      <c r="MZ12" s="295"/>
      <c r="NA12" s="295"/>
      <c r="NB12" s="295"/>
      <c r="NC12" s="295"/>
      <c r="ND12" s="295"/>
      <c r="NE12" s="295"/>
      <c r="NF12" s="295"/>
      <c r="NG12" s="295"/>
      <c r="NH12" s="295"/>
      <c r="NI12" s="295"/>
      <c r="NJ12" s="295"/>
      <c r="NK12" s="295"/>
      <c r="NL12" s="295"/>
      <c r="NM12" s="295"/>
      <c r="NN12" s="295"/>
      <c r="NO12" s="295"/>
      <c r="NP12" s="295"/>
      <c r="NQ12" s="295"/>
      <c r="NR12" s="295"/>
      <c r="NS12" s="295"/>
      <c r="NT12" s="295"/>
      <c r="NU12" s="295"/>
      <c r="NV12" s="295"/>
      <c r="NW12" s="295"/>
      <c r="NX12" s="295"/>
      <c r="NY12" s="295"/>
      <c r="NZ12" s="295"/>
      <c r="OA12" s="295"/>
      <c r="OB12" s="295"/>
      <c r="OC12" s="295"/>
      <c r="OD12" s="295"/>
      <c r="OE12" s="295"/>
      <c r="OF12" s="295"/>
      <c r="OG12" s="295"/>
      <c r="OH12" s="295"/>
      <c r="OI12" s="295"/>
      <c r="OJ12" s="295"/>
      <c r="OK12" s="295"/>
      <c r="OL12" s="295"/>
      <c r="OM12" s="295"/>
      <c r="ON12" s="295"/>
      <c r="OO12" s="295"/>
      <c r="OP12" s="295"/>
      <c r="OQ12" s="295"/>
      <c r="OR12" s="295"/>
      <c r="OS12" s="295"/>
      <c r="OT12" s="295"/>
      <c r="OU12" s="295"/>
      <c r="OV12" s="295"/>
      <c r="OW12" s="295"/>
      <c r="OX12" s="295"/>
      <c r="OY12" s="295"/>
      <c r="OZ12" s="295"/>
      <c r="PA12" s="295"/>
      <c r="PB12" s="295"/>
      <c r="PC12" s="295"/>
      <c r="PD12" s="295"/>
      <c r="PE12" s="295"/>
      <c r="PF12" s="295"/>
      <c r="PG12" s="295"/>
      <c r="PH12" s="295"/>
      <c r="PI12" s="295"/>
      <c r="PJ12" s="295"/>
      <c r="PK12" s="295"/>
      <c r="PL12" s="295"/>
      <c r="PM12" s="295"/>
      <c r="PN12" s="295"/>
      <c r="PO12" s="295"/>
      <c r="PP12" s="295"/>
      <c r="PQ12" s="295"/>
      <c r="PR12" s="295"/>
      <c r="PS12" s="295"/>
      <c r="PT12" s="295"/>
      <c r="PU12" s="295"/>
      <c r="PV12" s="295"/>
      <c r="PW12" s="295"/>
      <c r="PX12" s="295"/>
      <c r="PY12" s="295"/>
      <c r="PZ12" s="295"/>
      <c r="QA12" s="295"/>
      <c r="QB12" s="295"/>
      <c r="QC12" s="295"/>
      <c r="QD12" s="295"/>
      <c r="QE12" s="295"/>
      <c r="QF12" s="295"/>
      <c r="QG12" s="295"/>
      <c r="QH12" s="295"/>
      <c r="QI12" s="295"/>
      <c r="QJ12" s="295"/>
      <c r="QK12" s="295"/>
      <c r="QL12" s="295"/>
      <c r="QM12" s="295"/>
      <c r="QN12" s="295"/>
      <c r="QO12" s="295"/>
      <c r="QP12" s="296"/>
      <c r="QQ12" s="158"/>
      <c r="QR12" s="156"/>
    </row>
    <row r="13" spans="3:484" s="151" customFormat="1" ht="9.65" customHeight="1" x14ac:dyDescent="0.35">
      <c r="C13" s="152"/>
      <c r="D13" s="157"/>
      <c r="E13" s="294"/>
      <c r="F13" s="295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  <c r="AD13" s="295"/>
      <c r="AE13" s="295"/>
      <c r="AF13" s="295"/>
      <c r="AG13" s="295"/>
      <c r="AH13" s="295"/>
      <c r="AI13" s="295"/>
      <c r="AJ13" s="295"/>
      <c r="AK13" s="295"/>
      <c r="AL13" s="295"/>
      <c r="AM13" s="295"/>
      <c r="AN13" s="295"/>
      <c r="AO13" s="295"/>
      <c r="AP13" s="295"/>
      <c r="AQ13" s="295"/>
      <c r="AR13" s="295"/>
      <c r="AS13" s="295"/>
      <c r="AT13" s="295"/>
      <c r="AU13" s="295"/>
      <c r="AV13" s="295"/>
      <c r="AW13" s="295"/>
      <c r="AX13" s="295"/>
      <c r="AY13" s="295"/>
      <c r="AZ13" s="295"/>
      <c r="BA13" s="295"/>
      <c r="BB13" s="295"/>
      <c r="BC13" s="295"/>
      <c r="BD13" s="295"/>
      <c r="BE13" s="295"/>
      <c r="BF13" s="295"/>
      <c r="BG13" s="295"/>
      <c r="BH13" s="295"/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5"/>
      <c r="BT13" s="295"/>
      <c r="BU13" s="295"/>
      <c r="BV13" s="295"/>
      <c r="BW13" s="295"/>
      <c r="BX13" s="295"/>
      <c r="BY13" s="295"/>
      <c r="BZ13" s="295"/>
      <c r="CA13" s="295"/>
      <c r="CB13" s="295"/>
      <c r="CC13" s="295"/>
      <c r="CD13" s="295"/>
      <c r="CE13" s="295"/>
      <c r="CF13" s="295"/>
      <c r="CG13" s="295"/>
      <c r="CH13" s="295"/>
      <c r="CI13" s="295"/>
      <c r="CJ13" s="295"/>
      <c r="CK13" s="295"/>
      <c r="CL13" s="295"/>
      <c r="CM13" s="295"/>
      <c r="CN13" s="295"/>
      <c r="CO13" s="295"/>
      <c r="CP13" s="295"/>
      <c r="CQ13" s="295"/>
      <c r="CR13" s="295"/>
      <c r="CS13" s="295"/>
      <c r="CT13" s="295"/>
      <c r="CU13" s="295"/>
      <c r="CV13" s="295"/>
      <c r="CW13" s="295"/>
      <c r="CX13" s="295"/>
      <c r="CY13" s="295"/>
      <c r="CZ13" s="295"/>
      <c r="DA13" s="295"/>
      <c r="DB13" s="295"/>
      <c r="DC13" s="295"/>
      <c r="DD13" s="295"/>
      <c r="DE13" s="295"/>
      <c r="DF13" s="295"/>
      <c r="DG13" s="295"/>
      <c r="DH13" s="295"/>
      <c r="DI13" s="295"/>
      <c r="DJ13" s="295"/>
      <c r="DK13" s="295"/>
      <c r="DL13" s="295"/>
      <c r="DM13" s="295"/>
      <c r="DN13" s="295"/>
      <c r="DO13" s="295"/>
      <c r="DP13" s="295"/>
      <c r="DQ13" s="295"/>
      <c r="DR13" s="295"/>
      <c r="DS13" s="295"/>
      <c r="DT13" s="295"/>
      <c r="DU13" s="295"/>
      <c r="DV13" s="295"/>
      <c r="DW13" s="295"/>
      <c r="DX13" s="295"/>
      <c r="DY13" s="295"/>
      <c r="DZ13" s="295"/>
      <c r="EA13" s="295"/>
      <c r="EB13" s="295"/>
      <c r="EC13" s="295"/>
      <c r="ED13" s="295"/>
      <c r="EE13" s="295"/>
      <c r="EF13" s="295"/>
      <c r="EG13" s="295"/>
      <c r="EH13" s="295"/>
      <c r="EI13" s="295"/>
      <c r="EJ13" s="295"/>
      <c r="EK13" s="295"/>
      <c r="EL13" s="295"/>
      <c r="EM13" s="295"/>
      <c r="EN13" s="295"/>
      <c r="EO13" s="295"/>
      <c r="EP13" s="295"/>
      <c r="EQ13" s="295"/>
      <c r="ER13" s="295"/>
      <c r="ES13" s="295"/>
      <c r="ET13" s="295"/>
      <c r="EU13" s="295"/>
      <c r="EV13" s="295"/>
      <c r="EW13" s="295"/>
      <c r="EX13" s="295"/>
      <c r="EY13" s="295"/>
      <c r="EZ13" s="295"/>
      <c r="FA13" s="295"/>
      <c r="FB13" s="295"/>
      <c r="FC13" s="295"/>
      <c r="FD13" s="295"/>
      <c r="FE13" s="295"/>
      <c r="FF13" s="295"/>
      <c r="FG13" s="295"/>
      <c r="FH13" s="295"/>
      <c r="FI13" s="295"/>
      <c r="FJ13" s="295"/>
      <c r="FK13" s="295"/>
      <c r="FL13" s="295"/>
      <c r="FM13" s="295"/>
      <c r="FN13" s="295"/>
      <c r="FO13" s="295"/>
      <c r="FP13" s="295"/>
      <c r="FQ13" s="295"/>
      <c r="FR13" s="295"/>
      <c r="FS13" s="295"/>
      <c r="FT13" s="295"/>
      <c r="FU13" s="295"/>
      <c r="FV13" s="295"/>
      <c r="FW13" s="295"/>
      <c r="FX13" s="295"/>
      <c r="FY13" s="295"/>
      <c r="FZ13" s="295"/>
      <c r="GA13" s="295"/>
      <c r="GB13" s="295"/>
      <c r="GC13" s="295"/>
      <c r="GD13" s="295"/>
      <c r="GE13" s="295"/>
      <c r="GF13" s="295"/>
      <c r="GG13" s="295"/>
      <c r="GH13" s="295"/>
      <c r="GI13" s="295"/>
      <c r="GJ13" s="295"/>
      <c r="GK13" s="295"/>
      <c r="GL13" s="295"/>
      <c r="GM13" s="295"/>
      <c r="GN13" s="295"/>
      <c r="GO13" s="295"/>
      <c r="GP13" s="295"/>
      <c r="GQ13" s="295"/>
      <c r="GR13" s="295"/>
      <c r="GS13" s="295"/>
      <c r="GT13" s="295"/>
      <c r="GU13" s="295"/>
      <c r="GV13" s="295"/>
      <c r="GW13" s="295"/>
      <c r="GX13" s="295"/>
      <c r="GY13" s="295"/>
      <c r="GZ13" s="295"/>
      <c r="HA13" s="295"/>
      <c r="HB13" s="295"/>
      <c r="HC13" s="295"/>
      <c r="HD13" s="295"/>
      <c r="HE13" s="295"/>
      <c r="HF13" s="295"/>
      <c r="HG13" s="295"/>
      <c r="HH13" s="295"/>
      <c r="HI13" s="295"/>
      <c r="HJ13" s="295"/>
      <c r="HK13" s="295"/>
      <c r="HL13" s="295"/>
      <c r="HM13" s="295"/>
      <c r="HN13" s="295"/>
      <c r="HO13" s="295"/>
      <c r="HP13" s="295"/>
      <c r="HQ13" s="295"/>
      <c r="HR13" s="295"/>
      <c r="HS13" s="295"/>
      <c r="HT13" s="295"/>
      <c r="HU13" s="295"/>
      <c r="HV13" s="295"/>
      <c r="HW13" s="295"/>
      <c r="HX13" s="295"/>
      <c r="HY13" s="295"/>
      <c r="HZ13" s="295"/>
      <c r="IA13" s="295"/>
      <c r="IB13" s="295"/>
      <c r="IC13" s="295"/>
      <c r="ID13" s="295"/>
      <c r="IE13" s="295"/>
      <c r="IF13" s="295"/>
      <c r="IG13" s="295"/>
      <c r="IH13" s="295"/>
      <c r="II13" s="295"/>
      <c r="IJ13" s="295"/>
      <c r="IK13" s="295"/>
      <c r="IL13" s="295"/>
      <c r="IM13" s="295"/>
      <c r="IN13" s="295"/>
      <c r="IO13" s="295"/>
      <c r="IP13" s="295"/>
      <c r="IQ13" s="295"/>
      <c r="IR13" s="295"/>
      <c r="IS13" s="295"/>
      <c r="IT13" s="295"/>
      <c r="IU13" s="295"/>
      <c r="IV13" s="295"/>
      <c r="IW13" s="295"/>
      <c r="IX13" s="295"/>
      <c r="IY13" s="295"/>
      <c r="IZ13" s="295"/>
      <c r="JA13" s="295"/>
      <c r="JB13" s="295"/>
      <c r="JC13" s="295"/>
      <c r="JD13" s="295"/>
      <c r="JE13" s="295"/>
      <c r="JF13" s="295"/>
      <c r="JG13" s="295"/>
      <c r="JH13" s="295"/>
      <c r="JI13" s="295"/>
      <c r="JJ13" s="295"/>
      <c r="JK13" s="295"/>
      <c r="JL13" s="295"/>
      <c r="JM13" s="295"/>
      <c r="JN13" s="295"/>
      <c r="JO13" s="295"/>
      <c r="JP13" s="295"/>
      <c r="JQ13" s="295"/>
      <c r="JR13" s="295"/>
      <c r="JS13" s="295"/>
      <c r="JT13" s="295"/>
      <c r="JU13" s="295"/>
      <c r="JV13" s="295"/>
      <c r="JW13" s="295"/>
      <c r="JX13" s="295"/>
      <c r="JY13" s="295"/>
      <c r="JZ13" s="295"/>
      <c r="KA13" s="295"/>
      <c r="KB13" s="295"/>
      <c r="KC13" s="295"/>
      <c r="KD13" s="295"/>
      <c r="KE13" s="295"/>
      <c r="KF13" s="295"/>
      <c r="KG13" s="295"/>
      <c r="KH13" s="295"/>
      <c r="KI13" s="295"/>
      <c r="KJ13" s="295"/>
      <c r="KK13" s="295"/>
      <c r="KL13" s="295"/>
      <c r="KM13" s="295"/>
      <c r="KN13" s="295"/>
      <c r="KO13" s="295"/>
      <c r="KP13" s="295"/>
      <c r="KQ13" s="295"/>
      <c r="KR13" s="295"/>
      <c r="KS13" s="295"/>
      <c r="KT13" s="295"/>
      <c r="KU13" s="295"/>
      <c r="KV13" s="295"/>
      <c r="KW13" s="295"/>
      <c r="KX13" s="295"/>
      <c r="KY13" s="295"/>
      <c r="KZ13" s="295"/>
      <c r="LA13" s="295"/>
      <c r="LB13" s="295"/>
      <c r="LC13" s="295"/>
      <c r="LD13" s="295"/>
      <c r="LE13" s="295"/>
      <c r="LF13" s="295"/>
      <c r="LG13" s="295"/>
      <c r="LH13" s="295"/>
      <c r="LI13" s="295"/>
      <c r="LJ13" s="295"/>
      <c r="LK13" s="295"/>
      <c r="LL13" s="295"/>
      <c r="LM13" s="295"/>
      <c r="LN13" s="295"/>
      <c r="LO13" s="295"/>
      <c r="LP13" s="295"/>
      <c r="LQ13" s="295"/>
      <c r="LR13" s="295"/>
      <c r="LS13" s="295"/>
      <c r="LT13" s="295"/>
      <c r="LU13" s="295"/>
      <c r="LV13" s="295"/>
      <c r="LW13" s="295"/>
      <c r="LX13" s="295"/>
      <c r="LY13" s="295"/>
      <c r="LZ13" s="295"/>
      <c r="MA13" s="295"/>
      <c r="MB13" s="295"/>
      <c r="MC13" s="295"/>
      <c r="MD13" s="295"/>
      <c r="ME13" s="295"/>
      <c r="MF13" s="295"/>
      <c r="MG13" s="295"/>
      <c r="MH13" s="295"/>
      <c r="MI13" s="295"/>
      <c r="MJ13" s="295"/>
      <c r="MK13" s="295"/>
      <c r="ML13" s="295"/>
      <c r="MM13" s="295"/>
      <c r="MN13" s="295"/>
      <c r="MO13" s="295"/>
      <c r="MP13" s="295"/>
      <c r="MQ13" s="295"/>
      <c r="MR13" s="295"/>
      <c r="MS13" s="295"/>
      <c r="MT13" s="295"/>
      <c r="MU13" s="295"/>
      <c r="MV13" s="295"/>
      <c r="MW13" s="295"/>
      <c r="MX13" s="295"/>
      <c r="MY13" s="295"/>
      <c r="MZ13" s="295"/>
      <c r="NA13" s="295"/>
      <c r="NB13" s="295"/>
      <c r="NC13" s="295"/>
      <c r="ND13" s="295"/>
      <c r="NE13" s="295"/>
      <c r="NF13" s="295"/>
      <c r="NG13" s="295"/>
      <c r="NH13" s="295"/>
      <c r="NI13" s="295"/>
      <c r="NJ13" s="295"/>
      <c r="NK13" s="295"/>
      <c r="NL13" s="295"/>
      <c r="NM13" s="295"/>
      <c r="NN13" s="295"/>
      <c r="NO13" s="295"/>
      <c r="NP13" s="295"/>
      <c r="NQ13" s="295"/>
      <c r="NR13" s="295"/>
      <c r="NS13" s="295"/>
      <c r="NT13" s="295"/>
      <c r="NU13" s="295"/>
      <c r="NV13" s="295"/>
      <c r="NW13" s="295"/>
      <c r="NX13" s="295"/>
      <c r="NY13" s="295"/>
      <c r="NZ13" s="295"/>
      <c r="OA13" s="295"/>
      <c r="OB13" s="295"/>
      <c r="OC13" s="295"/>
      <c r="OD13" s="295"/>
      <c r="OE13" s="295"/>
      <c r="OF13" s="295"/>
      <c r="OG13" s="295"/>
      <c r="OH13" s="295"/>
      <c r="OI13" s="295"/>
      <c r="OJ13" s="295"/>
      <c r="OK13" s="295"/>
      <c r="OL13" s="295"/>
      <c r="OM13" s="295"/>
      <c r="ON13" s="295"/>
      <c r="OO13" s="295"/>
      <c r="OP13" s="295"/>
      <c r="OQ13" s="295"/>
      <c r="OR13" s="295"/>
      <c r="OS13" s="295"/>
      <c r="OT13" s="295"/>
      <c r="OU13" s="295"/>
      <c r="OV13" s="295"/>
      <c r="OW13" s="295"/>
      <c r="OX13" s="295"/>
      <c r="OY13" s="295"/>
      <c r="OZ13" s="295"/>
      <c r="PA13" s="295"/>
      <c r="PB13" s="295"/>
      <c r="PC13" s="295"/>
      <c r="PD13" s="295"/>
      <c r="PE13" s="295"/>
      <c r="PF13" s="295"/>
      <c r="PG13" s="295"/>
      <c r="PH13" s="295"/>
      <c r="PI13" s="295"/>
      <c r="PJ13" s="295"/>
      <c r="PK13" s="295"/>
      <c r="PL13" s="295"/>
      <c r="PM13" s="295"/>
      <c r="PN13" s="295"/>
      <c r="PO13" s="295"/>
      <c r="PP13" s="295"/>
      <c r="PQ13" s="295"/>
      <c r="PR13" s="295"/>
      <c r="PS13" s="295"/>
      <c r="PT13" s="295"/>
      <c r="PU13" s="295"/>
      <c r="PV13" s="295"/>
      <c r="PW13" s="295"/>
      <c r="PX13" s="295"/>
      <c r="PY13" s="295"/>
      <c r="PZ13" s="295"/>
      <c r="QA13" s="295"/>
      <c r="QB13" s="295"/>
      <c r="QC13" s="295"/>
      <c r="QD13" s="295"/>
      <c r="QE13" s="295"/>
      <c r="QF13" s="295"/>
      <c r="QG13" s="295"/>
      <c r="QH13" s="295"/>
      <c r="QI13" s="295"/>
      <c r="QJ13" s="295"/>
      <c r="QK13" s="295"/>
      <c r="QL13" s="295"/>
      <c r="QM13" s="295"/>
      <c r="QN13" s="295"/>
      <c r="QO13" s="295"/>
      <c r="QP13" s="296"/>
      <c r="QQ13" s="158"/>
      <c r="QR13" s="156"/>
    </row>
    <row r="14" spans="3:484" s="151" customFormat="1" ht="9.65" customHeight="1" x14ac:dyDescent="0.35">
      <c r="C14" s="152"/>
      <c r="D14" s="157"/>
      <c r="E14" s="294"/>
      <c r="F14" s="295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  <c r="AD14" s="295"/>
      <c r="AE14" s="295"/>
      <c r="AF14" s="295"/>
      <c r="AG14" s="295"/>
      <c r="AH14" s="295"/>
      <c r="AI14" s="295"/>
      <c r="AJ14" s="295"/>
      <c r="AK14" s="295"/>
      <c r="AL14" s="295"/>
      <c r="AM14" s="295"/>
      <c r="AN14" s="295"/>
      <c r="AO14" s="295"/>
      <c r="AP14" s="295"/>
      <c r="AQ14" s="295"/>
      <c r="AR14" s="295"/>
      <c r="AS14" s="295"/>
      <c r="AT14" s="295"/>
      <c r="AU14" s="295"/>
      <c r="AV14" s="295"/>
      <c r="AW14" s="295"/>
      <c r="AX14" s="295"/>
      <c r="AY14" s="295"/>
      <c r="AZ14" s="295"/>
      <c r="BA14" s="295"/>
      <c r="BB14" s="295"/>
      <c r="BC14" s="295"/>
      <c r="BD14" s="295"/>
      <c r="BE14" s="295"/>
      <c r="BF14" s="295"/>
      <c r="BG14" s="295"/>
      <c r="BH14" s="295"/>
      <c r="BI14" s="295"/>
      <c r="BJ14" s="295"/>
      <c r="BK14" s="295"/>
      <c r="BL14" s="295"/>
      <c r="BM14" s="295"/>
      <c r="BN14" s="295"/>
      <c r="BO14" s="295"/>
      <c r="BP14" s="295"/>
      <c r="BQ14" s="295"/>
      <c r="BR14" s="295"/>
      <c r="BS14" s="295"/>
      <c r="BT14" s="295"/>
      <c r="BU14" s="295"/>
      <c r="BV14" s="295"/>
      <c r="BW14" s="295"/>
      <c r="BX14" s="295"/>
      <c r="BY14" s="295"/>
      <c r="BZ14" s="295"/>
      <c r="CA14" s="295"/>
      <c r="CB14" s="295"/>
      <c r="CC14" s="295"/>
      <c r="CD14" s="295"/>
      <c r="CE14" s="295"/>
      <c r="CF14" s="295"/>
      <c r="CG14" s="295"/>
      <c r="CH14" s="295"/>
      <c r="CI14" s="295"/>
      <c r="CJ14" s="295"/>
      <c r="CK14" s="295"/>
      <c r="CL14" s="295"/>
      <c r="CM14" s="295"/>
      <c r="CN14" s="295"/>
      <c r="CO14" s="295"/>
      <c r="CP14" s="295"/>
      <c r="CQ14" s="295"/>
      <c r="CR14" s="295"/>
      <c r="CS14" s="295"/>
      <c r="CT14" s="295"/>
      <c r="CU14" s="295"/>
      <c r="CV14" s="295"/>
      <c r="CW14" s="295"/>
      <c r="CX14" s="295"/>
      <c r="CY14" s="295"/>
      <c r="CZ14" s="295"/>
      <c r="DA14" s="295"/>
      <c r="DB14" s="295"/>
      <c r="DC14" s="295"/>
      <c r="DD14" s="295"/>
      <c r="DE14" s="295"/>
      <c r="DF14" s="295"/>
      <c r="DG14" s="295"/>
      <c r="DH14" s="295"/>
      <c r="DI14" s="295"/>
      <c r="DJ14" s="295"/>
      <c r="DK14" s="295"/>
      <c r="DL14" s="295"/>
      <c r="DM14" s="295"/>
      <c r="DN14" s="295"/>
      <c r="DO14" s="295"/>
      <c r="DP14" s="295"/>
      <c r="DQ14" s="295"/>
      <c r="DR14" s="295"/>
      <c r="DS14" s="295"/>
      <c r="DT14" s="295"/>
      <c r="DU14" s="295"/>
      <c r="DV14" s="295"/>
      <c r="DW14" s="295"/>
      <c r="DX14" s="295"/>
      <c r="DY14" s="295"/>
      <c r="DZ14" s="295"/>
      <c r="EA14" s="295"/>
      <c r="EB14" s="295"/>
      <c r="EC14" s="295"/>
      <c r="ED14" s="295"/>
      <c r="EE14" s="295"/>
      <c r="EF14" s="295"/>
      <c r="EG14" s="295"/>
      <c r="EH14" s="295"/>
      <c r="EI14" s="295"/>
      <c r="EJ14" s="295"/>
      <c r="EK14" s="295"/>
      <c r="EL14" s="295"/>
      <c r="EM14" s="295"/>
      <c r="EN14" s="295"/>
      <c r="EO14" s="295"/>
      <c r="EP14" s="295"/>
      <c r="EQ14" s="295"/>
      <c r="ER14" s="295"/>
      <c r="ES14" s="295"/>
      <c r="ET14" s="295"/>
      <c r="EU14" s="295"/>
      <c r="EV14" s="295"/>
      <c r="EW14" s="295"/>
      <c r="EX14" s="295"/>
      <c r="EY14" s="295"/>
      <c r="EZ14" s="295"/>
      <c r="FA14" s="295"/>
      <c r="FB14" s="295"/>
      <c r="FC14" s="295"/>
      <c r="FD14" s="295"/>
      <c r="FE14" s="295"/>
      <c r="FF14" s="295"/>
      <c r="FG14" s="295"/>
      <c r="FH14" s="295"/>
      <c r="FI14" s="295"/>
      <c r="FJ14" s="295"/>
      <c r="FK14" s="295"/>
      <c r="FL14" s="295"/>
      <c r="FM14" s="295"/>
      <c r="FN14" s="295"/>
      <c r="FO14" s="295"/>
      <c r="FP14" s="295"/>
      <c r="FQ14" s="295"/>
      <c r="FR14" s="295"/>
      <c r="FS14" s="295"/>
      <c r="FT14" s="295"/>
      <c r="FU14" s="295"/>
      <c r="FV14" s="295"/>
      <c r="FW14" s="295"/>
      <c r="FX14" s="295"/>
      <c r="FY14" s="295"/>
      <c r="FZ14" s="295"/>
      <c r="GA14" s="295"/>
      <c r="GB14" s="295"/>
      <c r="GC14" s="295"/>
      <c r="GD14" s="295"/>
      <c r="GE14" s="295"/>
      <c r="GF14" s="295"/>
      <c r="GG14" s="295"/>
      <c r="GH14" s="295"/>
      <c r="GI14" s="295"/>
      <c r="GJ14" s="295"/>
      <c r="GK14" s="295"/>
      <c r="GL14" s="295"/>
      <c r="GM14" s="295"/>
      <c r="GN14" s="295"/>
      <c r="GO14" s="295"/>
      <c r="GP14" s="295"/>
      <c r="GQ14" s="295"/>
      <c r="GR14" s="295"/>
      <c r="GS14" s="295"/>
      <c r="GT14" s="295"/>
      <c r="GU14" s="295"/>
      <c r="GV14" s="295"/>
      <c r="GW14" s="295"/>
      <c r="GX14" s="295"/>
      <c r="GY14" s="295"/>
      <c r="GZ14" s="295"/>
      <c r="HA14" s="295"/>
      <c r="HB14" s="295"/>
      <c r="HC14" s="295"/>
      <c r="HD14" s="295"/>
      <c r="HE14" s="295"/>
      <c r="HF14" s="295"/>
      <c r="HG14" s="295"/>
      <c r="HH14" s="295"/>
      <c r="HI14" s="295"/>
      <c r="HJ14" s="295"/>
      <c r="HK14" s="295"/>
      <c r="HL14" s="295"/>
      <c r="HM14" s="295"/>
      <c r="HN14" s="295"/>
      <c r="HO14" s="295"/>
      <c r="HP14" s="295"/>
      <c r="HQ14" s="295"/>
      <c r="HR14" s="295"/>
      <c r="HS14" s="295"/>
      <c r="HT14" s="295"/>
      <c r="HU14" s="295"/>
      <c r="HV14" s="295"/>
      <c r="HW14" s="295"/>
      <c r="HX14" s="295"/>
      <c r="HY14" s="295"/>
      <c r="HZ14" s="295"/>
      <c r="IA14" s="295"/>
      <c r="IB14" s="295"/>
      <c r="IC14" s="295"/>
      <c r="ID14" s="295"/>
      <c r="IE14" s="295"/>
      <c r="IF14" s="295"/>
      <c r="IG14" s="295"/>
      <c r="IH14" s="295"/>
      <c r="II14" s="295"/>
      <c r="IJ14" s="295"/>
      <c r="IK14" s="295"/>
      <c r="IL14" s="295"/>
      <c r="IM14" s="295"/>
      <c r="IN14" s="295"/>
      <c r="IO14" s="295"/>
      <c r="IP14" s="295"/>
      <c r="IQ14" s="295"/>
      <c r="IR14" s="295"/>
      <c r="IS14" s="295"/>
      <c r="IT14" s="295"/>
      <c r="IU14" s="295"/>
      <c r="IV14" s="295"/>
      <c r="IW14" s="295"/>
      <c r="IX14" s="295"/>
      <c r="IY14" s="295"/>
      <c r="IZ14" s="295"/>
      <c r="JA14" s="295"/>
      <c r="JB14" s="295"/>
      <c r="JC14" s="295"/>
      <c r="JD14" s="295"/>
      <c r="JE14" s="295"/>
      <c r="JF14" s="295"/>
      <c r="JG14" s="295"/>
      <c r="JH14" s="295"/>
      <c r="JI14" s="295"/>
      <c r="JJ14" s="295"/>
      <c r="JK14" s="295"/>
      <c r="JL14" s="295"/>
      <c r="JM14" s="295"/>
      <c r="JN14" s="295"/>
      <c r="JO14" s="295"/>
      <c r="JP14" s="295"/>
      <c r="JQ14" s="295"/>
      <c r="JR14" s="295"/>
      <c r="JS14" s="295"/>
      <c r="JT14" s="295"/>
      <c r="JU14" s="295"/>
      <c r="JV14" s="295"/>
      <c r="JW14" s="295"/>
      <c r="JX14" s="295"/>
      <c r="JY14" s="295"/>
      <c r="JZ14" s="295"/>
      <c r="KA14" s="295"/>
      <c r="KB14" s="295"/>
      <c r="KC14" s="295"/>
      <c r="KD14" s="295"/>
      <c r="KE14" s="295"/>
      <c r="KF14" s="295"/>
      <c r="KG14" s="295"/>
      <c r="KH14" s="295"/>
      <c r="KI14" s="295"/>
      <c r="KJ14" s="295"/>
      <c r="KK14" s="295"/>
      <c r="KL14" s="295"/>
      <c r="KM14" s="295"/>
      <c r="KN14" s="295"/>
      <c r="KO14" s="295"/>
      <c r="KP14" s="295"/>
      <c r="KQ14" s="295"/>
      <c r="KR14" s="295"/>
      <c r="KS14" s="295"/>
      <c r="KT14" s="295"/>
      <c r="KU14" s="295"/>
      <c r="KV14" s="295"/>
      <c r="KW14" s="295"/>
      <c r="KX14" s="295"/>
      <c r="KY14" s="295"/>
      <c r="KZ14" s="295"/>
      <c r="LA14" s="295"/>
      <c r="LB14" s="295"/>
      <c r="LC14" s="295"/>
      <c r="LD14" s="295"/>
      <c r="LE14" s="295"/>
      <c r="LF14" s="295"/>
      <c r="LG14" s="295"/>
      <c r="LH14" s="295"/>
      <c r="LI14" s="295"/>
      <c r="LJ14" s="295"/>
      <c r="LK14" s="295"/>
      <c r="LL14" s="295"/>
      <c r="LM14" s="295"/>
      <c r="LN14" s="295"/>
      <c r="LO14" s="295"/>
      <c r="LP14" s="295"/>
      <c r="LQ14" s="295"/>
      <c r="LR14" s="295"/>
      <c r="LS14" s="295"/>
      <c r="LT14" s="295"/>
      <c r="LU14" s="295"/>
      <c r="LV14" s="295"/>
      <c r="LW14" s="295"/>
      <c r="LX14" s="295"/>
      <c r="LY14" s="295"/>
      <c r="LZ14" s="295"/>
      <c r="MA14" s="295"/>
      <c r="MB14" s="295"/>
      <c r="MC14" s="295"/>
      <c r="MD14" s="295"/>
      <c r="ME14" s="295"/>
      <c r="MF14" s="295"/>
      <c r="MG14" s="295"/>
      <c r="MH14" s="295"/>
      <c r="MI14" s="295"/>
      <c r="MJ14" s="295"/>
      <c r="MK14" s="295"/>
      <c r="ML14" s="295"/>
      <c r="MM14" s="295"/>
      <c r="MN14" s="295"/>
      <c r="MO14" s="295"/>
      <c r="MP14" s="295"/>
      <c r="MQ14" s="295"/>
      <c r="MR14" s="295"/>
      <c r="MS14" s="295"/>
      <c r="MT14" s="295"/>
      <c r="MU14" s="295"/>
      <c r="MV14" s="295"/>
      <c r="MW14" s="295"/>
      <c r="MX14" s="295"/>
      <c r="MY14" s="295"/>
      <c r="MZ14" s="295"/>
      <c r="NA14" s="295"/>
      <c r="NB14" s="295"/>
      <c r="NC14" s="295"/>
      <c r="ND14" s="295"/>
      <c r="NE14" s="295"/>
      <c r="NF14" s="295"/>
      <c r="NG14" s="295"/>
      <c r="NH14" s="295"/>
      <c r="NI14" s="295"/>
      <c r="NJ14" s="295"/>
      <c r="NK14" s="295"/>
      <c r="NL14" s="295"/>
      <c r="NM14" s="295"/>
      <c r="NN14" s="295"/>
      <c r="NO14" s="295"/>
      <c r="NP14" s="295"/>
      <c r="NQ14" s="295"/>
      <c r="NR14" s="295"/>
      <c r="NS14" s="295"/>
      <c r="NT14" s="295"/>
      <c r="NU14" s="295"/>
      <c r="NV14" s="295"/>
      <c r="NW14" s="295"/>
      <c r="NX14" s="295"/>
      <c r="NY14" s="295"/>
      <c r="NZ14" s="295"/>
      <c r="OA14" s="295"/>
      <c r="OB14" s="295"/>
      <c r="OC14" s="295"/>
      <c r="OD14" s="295"/>
      <c r="OE14" s="295"/>
      <c r="OF14" s="295"/>
      <c r="OG14" s="295"/>
      <c r="OH14" s="295"/>
      <c r="OI14" s="295"/>
      <c r="OJ14" s="295"/>
      <c r="OK14" s="295"/>
      <c r="OL14" s="295"/>
      <c r="OM14" s="295"/>
      <c r="ON14" s="295"/>
      <c r="OO14" s="295"/>
      <c r="OP14" s="295"/>
      <c r="OQ14" s="295"/>
      <c r="OR14" s="295"/>
      <c r="OS14" s="295"/>
      <c r="OT14" s="295"/>
      <c r="OU14" s="295"/>
      <c r="OV14" s="295"/>
      <c r="OW14" s="295"/>
      <c r="OX14" s="295"/>
      <c r="OY14" s="295"/>
      <c r="OZ14" s="295"/>
      <c r="PA14" s="295"/>
      <c r="PB14" s="295"/>
      <c r="PC14" s="295"/>
      <c r="PD14" s="295"/>
      <c r="PE14" s="295"/>
      <c r="PF14" s="295"/>
      <c r="PG14" s="295"/>
      <c r="PH14" s="295"/>
      <c r="PI14" s="295"/>
      <c r="PJ14" s="295"/>
      <c r="PK14" s="295"/>
      <c r="PL14" s="295"/>
      <c r="PM14" s="295"/>
      <c r="PN14" s="295"/>
      <c r="PO14" s="295"/>
      <c r="PP14" s="295"/>
      <c r="PQ14" s="295"/>
      <c r="PR14" s="295"/>
      <c r="PS14" s="295"/>
      <c r="PT14" s="295"/>
      <c r="PU14" s="295"/>
      <c r="PV14" s="295"/>
      <c r="PW14" s="295"/>
      <c r="PX14" s="295"/>
      <c r="PY14" s="295"/>
      <c r="PZ14" s="295"/>
      <c r="QA14" s="295"/>
      <c r="QB14" s="295"/>
      <c r="QC14" s="295"/>
      <c r="QD14" s="295"/>
      <c r="QE14" s="295"/>
      <c r="QF14" s="295"/>
      <c r="QG14" s="295"/>
      <c r="QH14" s="295"/>
      <c r="QI14" s="295"/>
      <c r="QJ14" s="295"/>
      <c r="QK14" s="295"/>
      <c r="QL14" s="295"/>
      <c r="QM14" s="295"/>
      <c r="QN14" s="295"/>
      <c r="QO14" s="295"/>
      <c r="QP14" s="296"/>
      <c r="QQ14" s="158"/>
      <c r="QR14" s="156"/>
    </row>
    <row r="15" spans="3:484" s="151" customFormat="1" ht="9.65" customHeight="1" thickBot="1" x14ac:dyDescent="0.4">
      <c r="C15" s="152"/>
      <c r="D15" s="157"/>
      <c r="E15" s="297"/>
      <c r="F15" s="298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8"/>
      <c r="BJ15" s="298"/>
      <c r="BK15" s="298"/>
      <c r="BL15" s="298"/>
      <c r="BM15" s="298"/>
      <c r="BN15" s="298"/>
      <c r="BO15" s="298"/>
      <c r="BP15" s="298"/>
      <c r="BQ15" s="298"/>
      <c r="BR15" s="298"/>
      <c r="BS15" s="298"/>
      <c r="BT15" s="298"/>
      <c r="BU15" s="298"/>
      <c r="BV15" s="298"/>
      <c r="BW15" s="298"/>
      <c r="BX15" s="298"/>
      <c r="BY15" s="298"/>
      <c r="BZ15" s="298"/>
      <c r="CA15" s="298"/>
      <c r="CB15" s="298"/>
      <c r="CC15" s="298"/>
      <c r="CD15" s="298"/>
      <c r="CE15" s="298"/>
      <c r="CF15" s="298"/>
      <c r="CG15" s="298"/>
      <c r="CH15" s="298"/>
      <c r="CI15" s="298"/>
      <c r="CJ15" s="298"/>
      <c r="CK15" s="298"/>
      <c r="CL15" s="298"/>
      <c r="CM15" s="298"/>
      <c r="CN15" s="298"/>
      <c r="CO15" s="298"/>
      <c r="CP15" s="298"/>
      <c r="CQ15" s="298"/>
      <c r="CR15" s="298"/>
      <c r="CS15" s="298"/>
      <c r="CT15" s="298"/>
      <c r="CU15" s="298"/>
      <c r="CV15" s="298"/>
      <c r="CW15" s="298"/>
      <c r="CX15" s="298"/>
      <c r="CY15" s="298"/>
      <c r="CZ15" s="298"/>
      <c r="DA15" s="298"/>
      <c r="DB15" s="298"/>
      <c r="DC15" s="298"/>
      <c r="DD15" s="298"/>
      <c r="DE15" s="298"/>
      <c r="DF15" s="298"/>
      <c r="DG15" s="298"/>
      <c r="DH15" s="298"/>
      <c r="DI15" s="298"/>
      <c r="DJ15" s="298"/>
      <c r="DK15" s="298"/>
      <c r="DL15" s="298"/>
      <c r="DM15" s="298"/>
      <c r="DN15" s="298"/>
      <c r="DO15" s="298"/>
      <c r="DP15" s="298"/>
      <c r="DQ15" s="298"/>
      <c r="DR15" s="298"/>
      <c r="DS15" s="298"/>
      <c r="DT15" s="298"/>
      <c r="DU15" s="298"/>
      <c r="DV15" s="298"/>
      <c r="DW15" s="298"/>
      <c r="DX15" s="298"/>
      <c r="DY15" s="298"/>
      <c r="DZ15" s="298"/>
      <c r="EA15" s="298"/>
      <c r="EB15" s="298"/>
      <c r="EC15" s="298"/>
      <c r="ED15" s="298"/>
      <c r="EE15" s="298"/>
      <c r="EF15" s="298"/>
      <c r="EG15" s="298"/>
      <c r="EH15" s="298"/>
      <c r="EI15" s="298"/>
      <c r="EJ15" s="298"/>
      <c r="EK15" s="298"/>
      <c r="EL15" s="298"/>
      <c r="EM15" s="298"/>
      <c r="EN15" s="298"/>
      <c r="EO15" s="298"/>
      <c r="EP15" s="298"/>
      <c r="EQ15" s="298"/>
      <c r="ER15" s="298"/>
      <c r="ES15" s="298"/>
      <c r="ET15" s="298"/>
      <c r="EU15" s="298"/>
      <c r="EV15" s="298"/>
      <c r="EW15" s="298"/>
      <c r="EX15" s="298"/>
      <c r="EY15" s="298"/>
      <c r="EZ15" s="298"/>
      <c r="FA15" s="298"/>
      <c r="FB15" s="298"/>
      <c r="FC15" s="298"/>
      <c r="FD15" s="298"/>
      <c r="FE15" s="298"/>
      <c r="FF15" s="298"/>
      <c r="FG15" s="298"/>
      <c r="FH15" s="298"/>
      <c r="FI15" s="298"/>
      <c r="FJ15" s="298"/>
      <c r="FK15" s="298"/>
      <c r="FL15" s="298"/>
      <c r="FM15" s="298"/>
      <c r="FN15" s="298"/>
      <c r="FO15" s="298"/>
      <c r="FP15" s="298"/>
      <c r="FQ15" s="298"/>
      <c r="FR15" s="298"/>
      <c r="FS15" s="298"/>
      <c r="FT15" s="298"/>
      <c r="FU15" s="298"/>
      <c r="FV15" s="298"/>
      <c r="FW15" s="298"/>
      <c r="FX15" s="298"/>
      <c r="FY15" s="298"/>
      <c r="FZ15" s="298"/>
      <c r="GA15" s="298"/>
      <c r="GB15" s="298"/>
      <c r="GC15" s="298"/>
      <c r="GD15" s="298"/>
      <c r="GE15" s="298"/>
      <c r="GF15" s="298"/>
      <c r="GG15" s="298"/>
      <c r="GH15" s="298"/>
      <c r="GI15" s="298"/>
      <c r="GJ15" s="298"/>
      <c r="GK15" s="298"/>
      <c r="GL15" s="298"/>
      <c r="GM15" s="298"/>
      <c r="GN15" s="298"/>
      <c r="GO15" s="298"/>
      <c r="GP15" s="298"/>
      <c r="GQ15" s="298"/>
      <c r="GR15" s="298"/>
      <c r="GS15" s="298"/>
      <c r="GT15" s="298"/>
      <c r="GU15" s="298"/>
      <c r="GV15" s="298"/>
      <c r="GW15" s="298"/>
      <c r="GX15" s="298"/>
      <c r="GY15" s="298"/>
      <c r="GZ15" s="298"/>
      <c r="HA15" s="298"/>
      <c r="HB15" s="298"/>
      <c r="HC15" s="298"/>
      <c r="HD15" s="298"/>
      <c r="HE15" s="298"/>
      <c r="HF15" s="298"/>
      <c r="HG15" s="298"/>
      <c r="HH15" s="298"/>
      <c r="HI15" s="298"/>
      <c r="HJ15" s="298"/>
      <c r="HK15" s="298"/>
      <c r="HL15" s="298"/>
      <c r="HM15" s="298"/>
      <c r="HN15" s="298"/>
      <c r="HO15" s="298"/>
      <c r="HP15" s="298"/>
      <c r="HQ15" s="298"/>
      <c r="HR15" s="298"/>
      <c r="HS15" s="298"/>
      <c r="HT15" s="298"/>
      <c r="HU15" s="298"/>
      <c r="HV15" s="298"/>
      <c r="HW15" s="298"/>
      <c r="HX15" s="298"/>
      <c r="HY15" s="298"/>
      <c r="HZ15" s="298"/>
      <c r="IA15" s="298"/>
      <c r="IB15" s="298"/>
      <c r="IC15" s="298"/>
      <c r="ID15" s="298"/>
      <c r="IE15" s="298"/>
      <c r="IF15" s="298"/>
      <c r="IG15" s="298"/>
      <c r="IH15" s="298"/>
      <c r="II15" s="298"/>
      <c r="IJ15" s="298"/>
      <c r="IK15" s="298"/>
      <c r="IL15" s="298"/>
      <c r="IM15" s="298"/>
      <c r="IN15" s="298"/>
      <c r="IO15" s="298"/>
      <c r="IP15" s="298"/>
      <c r="IQ15" s="298"/>
      <c r="IR15" s="298"/>
      <c r="IS15" s="298"/>
      <c r="IT15" s="298"/>
      <c r="IU15" s="298"/>
      <c r="IV15" s="298"/>
      <c r="IW15" s="298"/>
      <c r="IX15" s="298"/>
      <c r="IY15" s="298"/>
      <c r="IZ15" s="298"/>
      <c r="JA15" s="298"/>
      <c r="JB15" s="298"/>
      <c r="JC15" s="298"/>
      <c r="JD15" s="298"/>
      <c r="JE15" s="298"/>
      <c r="JF15" s="298"/>
      <c r="JG15" s="298"/>
      <c r="JH15" s="298"/>
      <c r="JI15" s="298"/>
      <c r="JJ15" s="298"/>
      <c r="JK15" s="298"/>
      <c r="JL15" s="298"/>
      <c r="JM15" s="298"/>
      <c r="JN15" s="298"/>
      <c r="JO15" s="298"/>
      <c r="JP15" s="298"/>
      <c r="JQ15" s="298"/>
      <c r="JR15" s="298"/>
      <c r="JS15" s="298"/>
      <c r="JT15" s="298"/>
      <c r="JU15" s="298"/>
      <c r="JV15" s="298"/>
      <c r="JW15" s="298"/>
      <c r="JX15" s="298"/>
      <c r="JY15" s="298"/>
      <c r="JZ15" s="298"/>
      <c r="KA15" s="298"/>
      <c r="KB15" s="298"/>
      <c r="KC15" s="298"/>
      <c r="KD15" s="298"/>
      <c r="KE15" s="298"/>
      <c r="KF15" s="298"/>
      <c r="KG15" s="298"/>
      <c r="KH15" s="298"/>
      <c r="KI15" s="298"/>
      <c r="KJ15" s="298"/>
      <c r="KK15" s="298"/>
      <c r="KL15" s="298"/>
      <c r="KM15" s="298"/>
      <c r="KN15" s="298"/>
      <c r="KO15" s="298"/>
      <c r="KP15" s="298"/>
      <c r="KQ15" s="298"/>
      <c r="KR15" s="298"/>
      <c r="KS15" s="298"/>
      <c r="KT15" s="298"/>
      <c r="KU15" s="298"/>
      <c r="KV15" s="298"/>
      <c r="KW15" s="298"/>
      <c r="KX15" s="298"/>
      <c r="KY15" s="298"/>
      <c r="KZ15" s="298"/>
      <c r="LA15" s="298"/>
      <c r="LB15" s="298"/>
      <c r="LC15" s="298"/>
      <c r="LD15" s="298"/>
      <c r="LE15" s="298"/>
      <c r="LF15" s="298"/>
      <c r="LG15" s="298"/>
      <c r="LH15" s="298"/>
      <c r="LI15" s="298"/>
      <c r="LJ15" s="298"/>
      <c r="LK15" s="298"/>
      <c r="LL15" s="298"/>
      <c r="LM15" s="298"/>
      <c r="LN15" s="298"/>
      <c r="LO15" s="298"/>
      <c r="LP15" s="298"/>
      <c r="LQ15" s="298"/>
      <c r="LR15" s="298"/>
      <c r="LS15" s="298"/>
      <c r="LT15" s="298"/>
      <c r="LU15" s="298"/>
      <c r="LV15" s="298"/>
      <c r="LW15" s="298"/>
      <c r="LX15" s="298"/>
      <c r="LY15" s="298"/>
      <c r="LZ15" s="298"/>
      <c r="MA15" s="298"/>
      <c r="MB15" s="298"/>
      <c r="MC15" s="298"/>
      <c r="MD15" s="298"/>
      <c r="ME15" s="298"/>
      <c r="MF15" s="298"/>
      <c r="MG15" s="298"/>
      <c r="MH15" s="298"/>
      <c r="MI15" s="298"/>
      <c r="MJ15" s="298"/>
      <c r="MK15" s="298"/>
      <c r="ML15" s="298"/>
      <c r="MM15" s="298"/>
      <c r="MN15" s="298"/>
      <c r="MO15" s="298"/>
      <c r="MP15" s="298"/>
      <c r="MQ15" s="298"/>
      <c r="MR15" s="298"/>
      <c r="MS15" s="298"/>
      <c r="MT15" s="298"/>
      <c r="MU15" s="298"/>
      <c r="MV15" s="298"/>
      <c r="MW15" s="298"/>
      <c r="MX15" s="298"/>
      <c r="MY15" s="298"/>
      <c r="MZ15" s="298"/>
      <c r="NA15" s="298"/>
      <c r="NB15" s="298"/>
      <c r="NC15" s="298"/>
      <c r="ND15" s="298"/>
      <c r="NE15" s="298"/>
      <c r="NF15" s="298"/>
      <c r="NG15" s="298"/>
      <c r="NH15" s="298"/>
      <c r="NI15" s="298"/>
      <c r="NJ15" s="298"/>
      <c r="NK15" s="298"/>
      <c r="NL15" s="298"/>
      <c r="NM15" s="298"/>
      <c r="NN15" s="298"/>
      <c r="NO15" s="298"/>
      <c r="NP15" s="298"/>
      <c r="NQ15" s="298"/>
      <c r="NR15" s="298"/>
      <c r="NS15" s="298"/>
      <c r="NT15" s="298"/>
      <c r="NU15" s="298"/>
      <c r="NV15" s="298"/>
      <c r="NW15" s="298"/>
      <c r="NX15" s="298"/>
      <c r="NY15" s="298"/>
      <c r="NZ15" s="298"/>
      <c r="OA15" s="298"/>
      <c r="OB15" s="298"/>
      <c r="OC15" s="298"/>
      <c r="OD15" s="298"/>
      <c r="OE15" s="298"/>
      <c r="OF15" s="298"/>
      <c r="OG15" s="298"/>
      <c r="OH15" s="298"/>
      <c r="OI15" s="298"/>
      <c r="OJ15" s="298"/>
      <c r="OK15" s="298"/>
      <c r="OL15" s="298"/>
      <c r="OM15" s="298"/>
      <c r="ON15" s="298"/>
      <c r="OO15" s="298"/>
      <c r="OP15" s="298"/>
      <c r="OQ15" s="298"/>
      <c r="OR15" s="298"/>
      <c r="OS15" s="298"/>
      <c r="OT15" s="298"/>
      <c r="OU15" s="298"/>
      <c r="OV15" s="298"/>
      <c r="OW15" s="298"/>
      <c r="OX15" s="298"/>
      <c r="OY15" s="298"/>
      <c r="OZ15" s="298"/>
      <c r="PA15" s="298"/>
      <c r="PB15" s="298"/>
      <c r="PC15" s="298"/>
      <c r="PD15" s="298"/>
      <c r="PE15" s="298"/>
      <c r="PF15" s="298"/>
      <c r="PG15" s="298"/>
      <c r="PH15" s="298"/>
      <c r="PI15" s="298"/>
      <c r="PJ15" s="298"/>
      <c r="PK15" s="298"/>
      <c r="PL15" s="298"/>
      <c r="PM15" s="298"/>
      <c r="PN15" s="298"/>
      <c r="PO15" s="298"/>
      <c r="PP15" s="298"/>
      <c r="PQ15" s="298"/>
      <c r="PR15" s="298"/>
      <c r="PS15" s="298"/>
      <c r="PT15" s="298"/>
      <c r="PU15" s="298"/>
      <c r="PV15" s="298"/>
      <c r="PW15" s="298"/>
      <c r="PX15" s="298"/>
      <c r="PY15" s="298"/>
      <c r="PZ15" s="298"/>
      <c r="QA15" s="298"/>
      <c r="QB15" s="298"/>
      <c r="QC15" s="298"/>
      <c r="QD15" s="298"/>
      <c r="QE15" s="298"/>
      <c r="QF15" s="298"/>
      <c r="QG15" s="298"/>
      <c r="QH15" s="298"/>
      <c r="QI15" s="298"/>
      <c r="QJ15" s="298"/>
      <c r="QK15" s="298"/>
      <c r="QL15" s="298"/>
      <c r="QM15" s="298"/>
      <c r="QN15" s="298"/>
      <c r="QO15" s="298"/>
      <c r="QP15" s="299"/>
      <c r="QQ15" s="158"/>
      <c r="QR15" s="156"/>
    </row>
    <row r="16" spans="3:484" ht="5.15" customHeight="1" x14ac:dyDescent="0.35">
      <c r="C16" s="161"/>
      <c r="D16" s="162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3"/>
      <c r="BF16" s="163"/>
      <c r="BG16" s="163"/>
      <c r="BH16" s="163"/>
      <c r="BI16" s="163"/>
      <c r="BJ16" s="163"/>
      <c r="BK16" s="163"/>
      <c r="BL16" s="163"/>
      <c r="BM16" s="163"/>
      <c r="BN16" s="163"/>
      <c r="BO16" s="163"/>
      <c r="BP16" s="163"/>
      <c r="BQ16" s="163"/>
      <c r="BR16" s="163"/>
      <c r="BS16" s="163"/>
      <c r="BT16" s="163"/>
      <c r="BU16" s="163"/>
      <c r="BV16" s="163"/>
      <c r="BW16" s="163"/>
      <c r="BX16" s="163"/>
      <c r="BY16" s="163"/>
      <c r="BZ16" s="163"/>
      <c r="CA16" s="163"/>
      <c r="CB16" s="163"/>
      <c r="CC16" s="163"/>
      <c r="CD16" s="163"/>
      <c r="CE16" s="163"/>
      <c r="CF16" s="163"/>
      <c r="CG16" s="163"/>
      <c r="CH16" s="163"/>
      <c r="CI16" s="163"/>
      <c r="CJ16" s="163"/>
      <c r="CK16" s="163"/>
      <c r="CL16" s="163"/>
      <c r="CM16" s="163"/>
      <c r="CN16" s="163"/>
      <c r="CO16" s="163"/>
      <c r="CP16" s="163"/>
      <c r="CQ16" s="163"/>
      <c r="CR16" s="163"/>
      <c r="CS16" s="163"/>
      <c r="CT16" s="163"/>
      <c r="CU16" s="163"/>
      <c r="CV16" s="163"/>
      <c r="CW16" s="163"/>
      <c r="CX16" s="163"/>
      <c r="CY16" s="163"/>
      <c r="CZ16" s="163"/>
      <c r="DA16" s="163"/>
      <c r="DB16" s="163"/>
      <c r="DC16" s="163"/>
      <c r="DD16" s="163"/>
      <c r="DE16" s="163"/>
      <c r="DF16" s="163"/>
      <c r="DG16" s="163"/>
      <c r="DH16" s="163"/>
      <c r="DI16" s="163"/>
      <c r="DJ16" s="163"/>
      <c r="DK16" s="163"/>
      <c r="DL16" s="163"/>
      <c r="DM16" s="163"/>
      <c r="DN16" s="163"/>
      <c r="DO16" s="163"/>
      <c r="DP16" s="163"/>
      <c r="DQ16" s="163"/>
      <c r="DR16" s="163"/>
      <c r="DS16" s="163"/>
      <c r="DT16" s="163"/>
      <c r="DU16" s="163"/>
      <c r="DV16" s="163"/>
      <c r="DW16" s="163"/>
      <c r="DX16" s="163"/>
      <c r="DY16" s="163"/>
      <c r="DZ16" s="163"/>
      <c r="EA16" s="163"/>
      <c r="EB16" s="163"/>
      <c r="EC16" s="163"/>
      <c r="ED16" s="163"/>
      <c r="EE16" s="163"/>
      <c r="EF16" s="163"/>
      <c r="EG16" s="163"/>
      <c r="EH16" s="163"/>
      <c r="EI16" s="163"/>
      <c r="EJ16" s="163"/>
      <c r="EK16" s="163"/>
      <c r="EL16" s="163"/>
      <c r="EM16" s="163"/>
      <c r="EN16" s="163"/>
      <c r="EO16" s="163"/>
      <c r="EP16" s="163"/>
      <c r="EQ16" s="163"/>
      <c r="ER16" s="163"/>
      <c r="ES16" s="163"/>
      <c r="ET16" s="163"/>
      <c r="EU16" s="163"/>
      <c r="EV16" s="163"/>
      <c r="EW16" s="163"/>
      <c r="EX16" s="163"/>
      <c r="EY16" s="163"/>
      <c r="EZ16" s="163"/>
      <c r="FA16" s="163"/>
      <c r="FB16" s="163"/>
      <c r="FC16" s="163"/>
      <c r="FD16" s="163"/>
      <c r="FE16" s="163"/>
      <c r="FF16" s="163"/>
      <c r="FG16" s="163"/>
      <c r="FH16" s="163"/>
      <c r="FI16" s="163"/>
      <c r="FJ16" s="163"/>
      <c r="FK16" s="163"/>
      <c r="FL16" s="163"/>
      <c r="FM16" s="163"/>
      <c r="FN16" s="163"/>
      <c r="FO16" s="163"/>
      <c r="FP16" s="163"/>
      <c r="FQ16" s="163"/>
      <c r="FR16" s="163"/>
      <c r="FS16" s="163"/>
      <c r="FT16" s="163"/>
      <c r="FU16" s="163"/>
      <c r="FV16" s="163"/>
      <c r="FW16" s="163"/>
      <c r="FX16" s="163"/>
      <c r="FY16" s="163"/>
      <c r="FZ16" s="163"/>
      <c r="GA16" s="163"/>
      <c r="GB16" s="163"/>
      <c r="GC16" s="163"/>
      <c r="GD16" s="163"/>
      <c r="GE16" s="163"/>
      <c r="GF16" s="163"/>
      <c r="GG16" s="163"/>
      <c r="GH16" s="163"/>
      <c r="GI16" s="163"/>
      <c r="GJ16" s="163"/>
      <c r="GK16" s="163"/>
      <c r="GL16" s="163"/>
      <c r="GM16" s="163"/>
      <c r="GN16" s="163"/>
      <c r="GO16" s="163"/>
      <c r="GP16" s="163"/>
      <c r="GQ16" s="163"/>
      <c r="GR16" s="163"/>
      <c r="GS16" s="163"/>
      <c r="GT16" s="163"/>
      <c r="GU16" s="163"/>
      <c r="GV16" s="163"/>
      <c r="GW16" s="163"/>
      <c r="GX16" s="163"/>
      <c r="GY16" s="163"/>
      <c r="GZ16" s="163"/>
      <c r="HA16" s="163"/>
      <c r="HB16" s="163"/>
      <c r="HC16" s="163"/>
      <c r="HD16" s="163"/>
      <c r="HE16" s="163"/>
      <c r="HF16" s="163"/>
      <c r="HG16" s="163"/>
      <c r="HH16" s="163"/>
      <c r="HI16" s="163"/>
      <c r="HJ16" s="163"/>
      <c r="HK16" s="163"/>
      <c r="HL16" s="163"/>
      <c r="HM16" s="163"/>
      <c r="HN16" s="163"/>
      <c r="HO16" s="163"/>
      <c r="HP16" s="163"/>
      <c r="HQ16" s="163"/>
      <c r="HR16" s="163"/>
      <c r="HS16" s="163"/>
      <c r="HT16" s="163"/>
      <c r="HU16" s="163"/>
      <c r="HV16" s="163"/>
      <c r="HW16" s="163"/>
      <c r="HX16" s="163"/>
      <c r="HY16" s="163"/>
      <c r="HZ16" s="163"/>
      <c r="IA16" s="163"/>
      <c r="IB16" s="163"/>
      <c r="IC16" s="163"/>
      <c r="ID16" s="163"/>
      <c r="IE16" s="163"/>
      <c r="IF16" s="163"/>
      <c r="IG16" s="163"/>
      <c r="IH16" s="163"/>
      <c r="II16" s="163"/>
      <c r="IJ16" s="163"/>
      <c r="IK16" s="163"/>
      <c r="IL16" s="163"/>
      <c r="IM16" s="163"/>
      <c r="IN16" s="163"/>
      <c r="IO16" s="163"/>
      <c r="IP16" s="163"/>
      <c r="IQ16" s="163"/>
      <c r="IR16" s="163"/>
      <c r="IS16" s="163"/>
      <c r="IT16" s="164"/>
      <c r="IU16" s="164"/>
      <c r="IV16" s="164"/>
      <c r="IW16" s="164"/>
      <c r="IX16" s="164"/>
      <c r="IY16" s="164"/>
      <c r="IZ16" s="164"/>
      <c r="JA16" s="164"/>
      <c r="JB16" s="164"/>
      <c r="JC16" s="164"/>
      <c r="JD16" s="164"/>
      <c r="JE16" s="164"/>
      <c r="JF16" s="164"/>
      <c r="JG16" s="164"/>
      <c r="JH16" s="164"/>
      <c r="JI16" s="164"/>
      <c r="JJ16" s="164"/>
      <c r="JK16" s="164"/>
      <c r="JL16" s="164"/>
      <c r="JM16" s="164"/>
      <c r="JN16" s="164"/>
      <c r="JO16" s="164"/>
      <c r="JP16" s="164"/>
      <c r="JQ16" s="164"/>
      <c r="JR16" s="164"/>
      <c r="JS16" s="164"/>
      <c r="JT16" s="164"/>
      <c r="JU16" s="164"/>
      <c r="JV16" s="164"/>
      <c r="JW16" s="164"/>
      <c r="JX16" s="164"/>
      <c r="JY16" s="164"/>
      <c r="JZ16" s="164"/>
      <c r="KA16" s="164"/>
      <c r="KB16" s="164"/>
      <c r="KC16" s="164"/>
      <c r="KD16" s="164"/>
      <c r="KE16" s="164"/>
      <c r="KF16" s="164"/>
      <c r="KG16" s="164"/>
      <c r="KH16" s="164"/>
      <c r="KI16" s="164"/>
      <c r="KJ16" s="164"/>
      <c r="KK16" s="164"/>
      <c r="KL16" s="164"/>
      <c r="KM16" s="164"/>
      <c r="KN16" s="164"/>
      <c r="KO16" s="164"/>
      <c r="KP16" s="164"/>
      <c r="KQ16" s="164"/>
      <c r="KR16" s="164"/>
      <c r="KS16" s="164"/>
      <c r="KT16" s="164"/>
      <c r="KU16" s="164"/>
      <c r="KV16" s="164"/>
      <c r="KW16" s="164"/>
      <c r="KX16" s="164"/>
      <c r="KY16" s="164"/>
      <c r="KZ16" s="164"/>
      <c r="LA16" s="164"/>
      <c r="LB16" s="164"/>
      <c r="LC16" s="164"/>
      <c r="LD16" s="164"/>
      <c r="LE16" s="164"/>
      <c r="LF16" s="164"/>
      <c r="LG16" s="164"/>
      <c r="LH16" s="164"/>
      <c r="LI16" s="164"/>
      <c r="LJ16" s="164"/>
      <c r="LK16" s="164"/>
      <c r="LL16" s="164"/>
      <c r="LM16" s="164"/>
      <c r="LN16" s="164"/>
      <c r="LO16" s="164"/>
      <c r="LP16" s="164"/>
      <c r="LQ16" s="164"/>
      <c r="LR16" s="164"/>
      <c r="LS16" s="164"/>
      <c r="LT16" s="164"/>
      <c r="LU16" s="163"/>
      <c r="LV16" s="163"/>
      <c r="LW16" s="163"/>
      <c r="LX16" s="163"/>
      <c r="LY16" s="163"/>
      <c r="LZ16" s="163"/>
      <c r="MA16" s="163"/>
      <c r="MB16" s="163"/>
      <c r="MC16" s="163"/>
      <c r="MD16" s="163"/>
      <c r="ME16" s="163"/>
      <c r="MF16" s="163"/>
      <c r="MG16" s="163"/>
      <c r="MH16" s="163"/>
      <c r="MI16" s="163"/>
      <c r="MJ16" s="163"/>
      <c r="MK16" s="163"/>
      <c r="ML16" s="163"/>
      <c r="MM16" s="163"/>
      <c r="MN16" s="163"/>
      <c r="MO16" s="163"/>
      <c r="MP16" s="163"/>
      <c r="MQ16" s="163"/>
      <c r="MR16" s="163"/>
      <c r="MS16" s="163"/>
      <c r="MT16" s="163"/>
      <c r="MU16" s="163"/>
      <c r="MV16" s="163"/>
      <c r="MW16" s="163"/>
      <c r="MX16" s="163"/>
      <c r="MY16" s="163"/>
      <c r="MZ16" s="163"/>
      <c r="NA16" s="163"/>
      <c r="NB16" s="163"/>
      <c r="NC16" s="163"/>
      <c r="ND16" s="163"/>
      <c r="NE16" s="163"/>
      <c r="NF16" s="163"/>
      <c r="NG16" s="163"/>
      <c r="NH16" s="163"/>
      <c r="NI16" s="163"/>
      <c r="NJ16" s="163"/>
      <c r="NK16" s="163"/>
      <c r="NL16" s="163"/>
      <c r="NM16" s="163"/>
      <c r="NN16" s="163"/>
      <c r="NO16" s="163"/>
      <c r="NP16" s="163"/>
      <c r="NQ16" s="163"/>
      <c r="NR16" s="163"/>
      <c r="NS16" s="163"/>
      <c r="NT16" s="163"/>
      <c r="NU16" s="163"/>
      <c r="NV16" s="163"/>
      <c r="NW16" s="163"/>
      <c r="NX16" s="163"/>
      <c r="NY16" s="163"/>
      <c r="NZ16" s="163"/>
      <c r="OA16" s="163"/>
      <c r="OB16" s="163"/>
      <c r="OC16" s="163"/>
      <c r="OD16" s="163"/>
      <c r="OE16" s="163"/>
      <c r="OF16" s="163"/>
      <c r="OG16" s="163"/>
      <c r="OH16" s="163"/>
      <c r="OI16" s="163"/>
      <c r="OJ16" s="163"/>
      <c r="OK16" s="163"/>
      <c r="OL16" s="163"/>
      <c r="OM16" s="163"/>
      <c r="ON16" s="163"/>
      <c r="OO16" s="163"/>
      <c r="OP16" s="163"/>
      <c r="OQ16" s="163"/>
      <c r="OR16" s="163"/>
      <c r="OS16" s="163"/>
      <c r="OT16" s="163"/>
      <c r="OU16" s="163"/>
      <c r="OV16" s="163"/>
      <c r="OW16" s="163"/>
      <c r="OX16" s="163"/>
      <c r="OY16" s="163"/>
      <c r="OZ16" s="163"/>
      <c r="PA16" s="163"/>
      <c r="PB16" s="163"/>
      <c r="PC16" s="163"/>
      <c r="PD16" s="163"/>
      <c r="PE16" s="163"/>
      <c r="PF16" s="163"/>
      <c r="PG16" s="163"/>
      <c r="PH16" s="163"/>
      <c r="PI16" s="163"/>
      <c r="PJ16" s="163"/>
      <c r="PK16" s="163"/>
      <c r="PL16" s="163"/>
      <c r="PM16" s="163"/>
      <c r="PN16" s="163"/>
      <c r="PO16" s="163"/>
      <c r="PP16" s="163"/>
      <c r="PQ16" s="163"/>
      <c r="PR16" s="163"/>
      <c r="PS16" s="163"/>
      <c r="PT16" s="163"/>
      <c r="PU16" s="163"/>
      <c r="PV16" s="163"/>
      <c r="PW16" s="163"/>
      <c r="PX16" s="163"/>
      <c r="PY16" s="163"/>
      <c r="PZ16" s="163"/>
      <c r="QA16" s="163"/>
      <c r="QB16" s="163"/>
      <c r="QC16" s="163"/>
      <c r="QD16" s="163"/>
      <c r="QE16" s="163"/>
      <c r="QF16" s="163"/>
      <c r="QG16" s="163"/>
      <c r="QH16" s="163"/>
      <c r="QI16" s="163"/>
      <c r="QJ16" s="163"/>
      <c r="QK16" s="163"/>
      <c r="QL16" s="163"/>
      <c r="QM16" s="163"/>
      <c r="QN16" s="163"/>
      <c r="QO16" s="163"/>
      <c r="QP16" s="163"/>
      <c r="QQ16" s="165"/>
      <c r="QR16" s="166"/>
    </row>
    <row r="17" spans="3:460" ht="5.15" customHeight="1" x14ac:dyDescent="0.35">
      <c r="C17" s="161"/>
      <c r="D17" s="162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3"/>
      <c r="AM17" s="163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3"/>
      <c r="BF17" s="163"/>
      <c r="BG17" s="163"/>
      <c r="BH17" s="163"/>
      <c r="BI17" s="163"/>
      <c r="BJ17" s="163"/>
      <c r="BK17" s="163"/>
      <c r="BL17" s="163"/>
      <c r="BM17" s="163"/>
      <c r="BN17" s="163"/>
      <c r="BO17" s="163"/>
      <c r="BP17" s="163"/>
      <c r="BQ17" s="163"/>
      <c r="BR17" s="163"/>
      <c r="BS17" s="163"/>
      <c r="BT17" s="163"/>
      <c r="BU17" s="163"/>
      <c r="BV17" s="163"/>
      <c r="BW17" s="163"/>
      <c r="BX17" s="163"/>
      <c r="BY17" s="163"/>
      <c r="BZ17" s="163"/>
      <c r="CA17" s="163"/>
      <c r="CB17" s="163"/>
      <c r="CC17" s="163"/>
      <c r="CD17" s="163"/>
      <c r="CE17" s="163"/>
      <c r="CF17" s="163"/>
      <c r="CG17" s="163"/>
      <c r="CH17" s="163"/>
      <c r="CI17" s="163"/>
      <c r="CJ17" s="163"/>
      <c r="CK17" s="163"/>
      <c r="CL17" s="163"/>
      <c r="CM17" s="163"/>
      <c r="CN17" s="163"/>
      <c r="CO17" s="163"/>
      <c r="CP17" s="163"/>
      <c r="CQ17" s="163"/>
      <c r="CR17" s="163"/>
      <c r="CS17" s="163"/>
      <c r="CT17" s="163"/>
      <c r="CU17" s="163"/>
      <c r="CV17" s="163"/>
      <c r="CW17" s="163"/>
      <c r="CX17" s="163"/>
      <c r="CY17" s="163"/>
      <c r="CZ17" s="163"/>
      <c r="DA17" s="163"/>
      <c r="DB17" s="163"/>
      <c r="DC17" s="163"/>
      <c r="DD17" s="163"/>
      <c r="DE17" s="163"/>
      <c r="DF17" s="163"/>
      <c r="DG17" s="163"/>
      <c r="DH17" s="163"/>
      <c r="DI17" s="163"/>
      <c r="DJ17" s="163"/>
      <c r="DK17" s="163"/>
      <c r="DL17" s="163"/>
      <c r="DM17" s="163"/>
      <c r="DN17" s="163"/>
      <c r="DO17" s="163"/>
      <c r="DP17" s="163"/>
      <c r="DQ17" s="163"/>
      <c r="DR17" s="163"/>
      <c r="DS17" s="163"/>
      <c r="DT17" s="163"/>
      <c r="DU17" s="163"/>
      <c r="DV17" s="163"/>
      <c r="DW17" s="163"/>
      <c r="DX17" s="163"/>
      <c r="DY17" s="163"/>
      <c r="DZ17" s="163"/>
      <c r="EA17" s="163"/>
      <c r="EB17" s="163"/>
      <c r="EC17" s="163"/>
      <c r="ED17" s="163"/>
      <c r="EE17" s="163"/>
      <c r="EF17" s="163"/>
      <c r="EG17" s="163"/>
      <c r="EH17" s="163"/>
      <c r="EI17" s="163"/>
      <c r="EJ17" s="163"/>
      <c r="EK17" s="163"/>
      <c r="EL17" s="163"/>
      <c r="EM17" s="163"/>
      <c r="EN17" s="163"/>
      <c r="EO17" s="163"/>
      <c r="EP17" s="163"/>
      <c r="EQ17" s="163"/>
      <c r="ER17" s="163"/>
      <c r="ES17" s="163"/>
      <c r="ET17" s="163"/>
      <c r="EU17" s="163"/>
      <c r="EV17" s="163"/>
      <c r="EW17" s="163"/>
      <c r="EX17" s="163"/>
      <c r="EY17" s="163"/>
      <c r="EZ17" s="163"/>
      <c r="FA17" s="163"/>
      <c r="FB17" s="163"/>
      <c r="FC17" s="163"/>
      <c r="FD17" s="163"/>
      <c r="FE17" s="163"/>
      <c r="FF17" s="163"/>
      <c r="FG17" s="163"/>
      <c r="FH17" s="163"/>
      <c r="FI17" s="163"/>
      <c r="FJ17" s="163"/>
      <c r="FK17" s="163"/>
      <c r="FL17" s="163"/>
      <c r="FM17" s="163"/>
      <c r="FN17" s="163"/>
      <c r="FO17" s="163"/>
      <c r="FP17" s="163"/>
      <c r="FQ17" s="163"/>
      <c r="FR17" s="163"/>
      <c r="FS17" s="163"/>
      <c r="FT17" s="163"/>
      <c r="FU17" s="163"/>
      <c r="FV17" s="163"/>
      <c r="FW17" s="163"/>
      <c r="FX17" s="163"/>
      <c r="FY17" s="163"/>
      <c r="FZ17" s="163"/>
      <c r="GA17" s="163"/>
      <c r="GB17" s="163"/>
      <c r="GC17" s="163"/>
      <c r="GD17" s="163"/>
      <c r="GE17" s="163"/>
      <c r="GF17" s="163"/>
      <c r="GG17" s="163"/>
      <c r="GH17" s="163"/>
      <c r="GI17" s="163"/>
      <c r="GJ17" s="163"/>
      <c r="GK17" s="163"/>
      <c r="GL17" s="163"/>
      <c r="GM17" s="163"/>
      <c r="GN17" s="163"/>
      <c r="GO17" s="163"/>
      <c r="GP17" s="163"/>
      <c r="GQ17" s="163"/>
      <c r="GR17" s="163"/>
      <c r="GS17" s="163"/>
      <c r="GT17" s="163"/>
      <c r="GU17" s="163"/>
      <c r="GV17" s="163"/>
      <c r="GW17" s="163"/>
      <c r="GX17" s="163"/>
      <c r="GY17" s="163"/>
      <c r="GZ17" s="163"/>
      <c r="HA17" s="163"/>
      <c r="HB17" s="163"/>
      <c r="HC17" s="163"/>
      <c r="HD17" s="163"/>
      <c r="HE17" s="163"/>
      <c r="HF17" s="163"/>
      <c r="HG17" s="163"/>
      <c r="HH17" s="163"/>
      <c r="HI17" s="163"/>
      <c r="HJ17" s="163"/>
      <c r="HK17" s="163"/>
      <c r="HL17" s="163"/>
      <c r="HM17" s="163"/>
      <c r="HN17" s="163"/>
      <c r="HO17" s="163"/>
      <c r="HP17" s="163"/>
      <c r="HQ17" s="163"/>
      <c r="HR17" s="163"/>
      <c r="HS17" s="163"/>
      <c r="HT17" s="163"/>
      <c r="HU17" s="163"/>
      <c r="HV17" s="163"/>
      <c r="HW17" s="163"/>
      <c r="HX17" s="163"/>
      <c r="HY17" s="163"/>
      <c r="HZ17" s="163"/>
      <c r="IA17" s="163"/>
      <c r="IB17" s="163"/>
      <c r="IC17" s="163"/>
      <c r="ID17" s="163"/>
      <c r="IE17" s="163"/>
      <c r="IF17" s="163"/>
      <c r="IG17" s="163"/>
      <c r="IH17" s="163"/>
      <c r="II17" s="163"/>
      <c r="IJ17" s="163"/>
      <c r="IK17" s="163"/>
      <c r="IL17" s="163"/>
      <c r="IM17" s="163"/>
      <c r="IN17" s="163"/>
      <c r="IO17" s="163"/>
      <c r="IP17" s="163"/>
      <c r="IQ17" s="163"/>
      <c r="IR17" s="163"/>
      <c r="IS17" s="163"/>
      <c r="IT17" s="164"/>
      <c r="IU17" s="164"/>
      <c r="IV17" s="164"/>
      <c r="IW17" s="164"/>
      <c r="IX17" s="164"/>
      <c r="IY17" s="164"/>
      <c r="IZ17" s="164"/>
      <c r="JA17" s="164"/>
      <c r="JB17" s="164"/>
      <c r="JC17" s="164"/>
      <c r="JD17" s="164"/>
      <c r="JE17" s="164"/>
      <c r="JF17" s="164"/>
      <c r="JG17" s="164"/>
      <c r="JH17" s="164"/>
      <c r="JI17" s="164"/>
      <c r="JJ17" s="164"/>
      <c r="JK17" s="164"/>
      <c r="JL17" s="164"/>
      <c r="JM17" s="164"/>
      <c r="JN17" s="164"/>
      <c r="JO17" s="164"/>
      <c r="JP17" s="164"/>
      <c r="JQ17" s="164"/>
      <c r="JR17" s="164"/>
      <c r="JS17" s="164"/>
      <c r="JT17" s="164"/>
      <c r="JU17" s="164"/>
      <c r="JV17" s="164"/>
      <c r="JW17" s="164"/>
      <c r="JX17" s="164"/>
      <c r="JY17" s="164"/>
      <c r="JZ17" s="164"/>
      <c r="KA17" s="164"/>
      <c r="KB17" s="164"/>
      <c r="KC17" s="164"/>
      <c r="KD17" s="164"/>
      <c r="KE17" s="164"/>
      <c r="KF17" s="164"/>
      <c r="KG17" s="164"/>
      <c r="KH17" s="164"/>
      <c r="KI17" s="164"/>
      <c r="KJ17" s="164"/>
      <c r="KK17" s="164"/>
      <c r="KL17" s="164"/>
      <c r="KM17" s="164"/>
      <c r="KN17" s="164"/>
      <c r="KO17" s="164"/>
      <c r="KP17" s="164"/>
      <c r="KQ17" s="164"/>
      <c r="KR17" s="164"/>
      <c r="KS17" s="164"/>
      <c r="KT17" s="164"/>
      <c r="KU17" s="164"/>
      <c r="KV17" s="164"/>
      <c r="KW17" s="164"/>
      <c r="KX17" s="164"/>
      <c r="KY17" s="164"/>
      <c r="KZ17" s="164"/>
      <c r="LA17" s="164"/>
      <c r="LB17" s="164"/>
      <c r="LC17" s="164"/>
      <c r="LD17" s="164"/>
      <c r="LE17" s="164"/>
      <c r="LF17" s="164"/>
      <c r="LG17" s="164"/>
      <c r="LH17" s="164"/>
      <c r="LI17" s="164"/>
      <c r="LJ17" s="164"/>
      <c r="LK17" s="164"/>
      <c r="LL17" s="164"/>
      <c r="LM17" s="164"/>
      <c r="LN17" s="164"/>
      <c r="LO17" s="164"/>
      <c r="LP17" s="164"/>
      <c r="LQ17" s="164"/>
      <c r="LR17" s="164"/>
      <c r="LS17" s="164"/>
      <c r="LT17" s="164"/>
      <c r="LU17" s="163"/>
      <c r="LV17" s="163"/>
      <c r="LW17" s="163"/>
      <c r="LX17" s="163"/>
      <c r="LY17" s="163"/>
      <c r="LZ17" s="163"/>
      <c r="MA17" s="163"/>
      <c r="MB17" s="163"/>
      <c r="MC17" s="163"/>
      <c r="MD17" s="163"/>
      <c r="ME17" s="163"/>
      <c r="MF17" s="163"/>
      <c r="MG17" s="163"/>
      <c r="MH17" s="163"/>
      <c r="MI17" s="163"/>
      <c r="MJ17" s="163"/>
      <c r="MK17" s="163"/>
      <c r="ML17" s="163"/>
      <c r="MM17" s="163"/>
      <c r="MN17" s="163"/>
      <c r="MO17" s="163"/>
      <c r="MP17" s="163"/>
      <c r="MQ17" s="163"/>
      <c r="MR17" s="163"/>
      <c r="MS17" s="163"/>
      <c r="MT17" s="163"/>
      <c r="MU17" s="163"/>
      <c r="MV17" s="163"/>
      <c r="MW17" s="163"/>
      <c r="MX17" s="163"/>
      <c r="MY17" s="163"/>
      <c r="MZ17" s="163"/>
      <c r="NA17" s="163"/>
      <c r="NB17" s="163"/>
      <c r="NC17" s="163"/>
      <c r="ND17" s="163"/>
      <c r="NE17" s="163"/>
      <c r="NF17" s="163"/>
      <c r="NG17" s="163"/>
      <c r="NH17" s="163"/>
      <c r="NI17" s="163"/>
      <c r="NJ17" s="163"/>
      <c r="NK17" s="163"/>
      <c r="NL17" s="163"/>
      <c r="NM17" s="163"/>
      <c r="NN17" s="163"/>
      <c r="NO17" s="163"/>
      <c r="NP17" s="163"/>
      <c r="NQ17" s="163"/>
      <c r="NR17" s="163"/>
      <c r="NS17" s="163"/>
      <c r="NT17" s="163"/>
      <c r="NU17" s="163"/>
      <c r="NV17" s="163"/>
      <c r="NW17" s="163"/>
      <c r="NX17" s="163"/>
      <c r="NY17" s="163"/>
      <c r="NZ17" s="163"/>
      <c r="OA17" s="163"/>
      <c r="OB17" s="163"/>
      <c r="OC17" s="163"/>
      <c r="OD17" s="163"/>
      <c r="OE17" s="163"/>
      <c r="OF17" s="163"/>
      <c r="OG17" s="163"/>
      <c r="OH17" s="163"/>
      <c r="OI17" s="163"/>
      <c r="OJ17" s="163"/>
      <c r="OK17" s="163"/>
      <c r="OL17" s="163"/>
      <c r="OM17" s="163"/>
      <c r="ON17" s="163"/>
      <c r="OO17" s="163"/>
      <c r="OP17" s="163"/>
      <c r="OQ17" s="163"/>
      <c r="OR17" s="163"/>
      <c r="OS17" s="163"/>
      <c r="OT17" s="163"/>
      <c r="OU17" s="163"/>
      <c r="OV17" s="163"/>
      <c r="OW17" s="163"/>
      <c r="OX17" s="163"/>
      <c r="OY17" s="163"/>
      <c r="OZ17" s="163"/>
      <c r="PA17" s="163"/>
      <c r="PB17" s="163"/>
      <c r="PC17" s="163"/>
      <c r="PD17" s="163"/>
      <c r="PE17" s="163"/>
      <c r="PF17" s="163"/>
      <c r="PG17" s="163"/>
      <c r="PH17" s="163"/>
      <c r="PI17" s="163"/>
      <c r="PJ17" s="163"/>
      <c r="PK17" s="163"/>
      <c r="PL17" s="163"/>
      <c r="PM17" s="163"/>
      <c r="PN17" s="163"/>
      <c r="PO17" s="163"/>
      <c r="PP17" s="163"/>
      <c r="PQ17" s="163"/>
      <c r="PR17" s="163"/>
      <c r="PS17" s="163"/>
      <c r="PT17" s="163"/>
      <c r="PU17" s="163"/>
      <c r="PV17" s="163"/>
      <c r="PW17" s="163"/>
      <c r="PX17" s="163"/>
      <c r="PY17" s="163"/>
      <c r="PZ17" s="163"/>
      <c r="QA17" s="163"/>
      <c r="QB17" s="163"/>
      <c r="QC17" s="163"/>
      <c r="QD17" s="163"/>
      <c r="QE17" s="163"/>
      <c r="QF17" s="163"/>
      <c r="QG17" s="163"/>
      <c r="QH17" s="163"/>
      <c r="QI17" s="163"/>
      <c r="QJ17" s="163"/>
      <c r="QK17" s="163"/>
      <c r="QL17" s="163"/>
      <c r="QM17" s="163"/>
      <c r="QN17" s="163"/>
      <c r="QO17" s="163"/>
      <c r="QP17" s="163"/>
      <c r="QQ17" s="165"/>
      <c r="QR17" s="166"/>
    </row>
    <row r="18" spans="3:460" ht="5.15" customHeight="1" x14ac:dyDescent="0.35">
      <c r="C18" s="161"/>
      <c r="D18" s="162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3"/>
      <c r="BF18" s="163"/>
      <c r="BG18" s="163"/>
      <c r="BH18" s="163"/>
      <c r="BI18" s="163"/>
      <c r="BJ18" s="163"/>
      <c r="BK18" s="163"/>
      <c r="BL18" s="163"/>
      <c r="BM18" s="163"/>
      <c r="BN18" s="163"/>
      <c r="BO18" s="163"/>
      <c r="BP18" s="163"/>
      <c r="BQ18" s="163"/>
      <c r="BR18" s="163"/>
      <c r="BS18" s="163"/>
      <c r="BT18" s="163"/>
      <c r="BU18" s="163"/>
      <c r="BV18" s="163"/>
      <c r="BW18" s="163"/>
      <c r="BX18" s="163"/>
      <c r="BY18" s="163"/>
      <c r="BZ18" s="163"/>
      <c r="CA18" s="163"/>
      <c r="CB18" s="163"/>
      <c r="CC18" s="163"/>
      <c r="CD18" s="163"/>
      <c r="CE18" s="163"/>
      <c r="CF18" s="163"/>
      <c r="CG18" s="163"/>
      <c r="CH18" s="163"/>
      <c r="CI18" s="163"/>
      <c r="CJ18" s="163"/>
      <c r="CK18" s="163"/>
      <c r="CL18" s="163"/>
      <c r="CM18" s="163"/>
      <c r="CN18" s="163"/>
      <c r="CO18" s="163"/>
      <c r="CP18" s="163"/>
      <c r="CQ18" s="163"/>
      <c r="CR18" s="163"/>
      <c r="CS18" s="163"/>
      <c r="CT18" s="163"/>
      <c r="CU18" s="163"/>
      <c r="CV18" s="163"/>
      <c r="CW18" s="163"/>
      <c r="CX18" s="163"/>
      <c r="CY18" s="163"/>
      <c r="CZ18" s="163"/>
      <c r="DA18" s="163"/>
      <c r="DB18" s="163"/>
      <c r="DC18" s="163"/>
      <c r="DD18" s="163"/>
      <c r="DE18" s="163"/>
      <c r="DF18" s="163"/>
      <c r="DG18" s="163"/>
      <c r="DH18" s="163"/>
      <c r="DI18" s="163"/>
      <c r="DJ18" s="163"/>
      <c r="DK18" s="163"/>
      <c r="DL18" s="163"/>
      <c r="DM18" s="163"/>
      <c r="DN18" s="163"/>
      <c r="DO18" s="163"/>
      <c r="DP18" s="163"/>
      <c r="DQ18" s="163"/>
      <c r="DR18" s="163"/>
      <c r="DS18" s="163"/>
      <c r="DT18" s="163"/>
      <c r="DU18" s="163"/>
      <c r="DV18" s="163"/>
      <c r="DW18" s="163"/>
      <c r="DX18" s="163"/>
      <c r="DY18" s="163"/>
      <c r="DZ18" s="163"/>
      <c r="EA18" s="163"/>
      <c r="EB18" s="163"/>
      <c r="EC18" s="163"/>
      <c r="ED18" s="163"/>
      <c r="EE18" s="163"/>
      <c r="EF18" s="163"/>
      <c r="EG18" s="163"/>
      <c r="EH18" s="163"/>
      <c r="EI18" s="163"/>
      <c r="EJ18" s="163"/>
      <c r="EK18" s="163"/>
      <c r="EL18" s="163"/>
      <c r="EM18" s="163"/>
      <c r="EN18" s="163"/>
      <c r="EO18" s="163"/>
      <c r="EP18" s="163"/>
      <c r="EQ18" s="163"/>
      <c r="ER18" s="163"/>
      <c r="ES18" s="163"/>
      <c r="ET18" s="163"/>
      <c r="EU18" s="163"/>
      <c r="EV18" s="163"/>
      <c r="EW18" s="163"/>
      <c r="EX18" s="163"/>
      <c r="EY18" s="163"/>
      <c r="EZ18" s="163"/>
      <c r="FA18" s="163"/>
      <c r="FB18" s="163"/>
      <c r="FC18" s="163"/>
      <c r="FD18" s="163"/>
      <c r="FE18" s="163"/>
      <c r="FF18" s="163"/>
      <c r="FG18" s="163"/>
      <c r="QK18" s="163"/>
      <c r="QL18" s="163"/>
      <c r="QM18" s="163"/>
      <c r="QN18" s="163"/>
      <c r="QO18" s="163"/>
      <c r="QP18" s="163"/>
      <c r="QQ18" s="165"/>
      <c r="QR18" s="166"/>
    </row>
    <row r="19" spans="3:460" ht="5.15" customHeight="1" x14ac:dyDescent="0.35">
      <c r="C19" s="161"/>
      <c r="D19" s="162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3"/>
      <c r="BR19" s="163"/>
      <c r="BS19" s="163"/>
      <c r="BT19" s="163"/>
      <c r="BU19" s="163"/>
      <c r="BV19" s="163"/>
      <c r="BW19" s="163"/>
      <c r="BX19" s="163"/>
      <c r="BY19" s="163"/>
      <c r="BZ19" s="163"/>
      <c r="CA19" s="163"/>
      <c r="CB19" s="163"/>
      <c r="CC19" s="163"/>
      <c r="CD19" s="163"/>
      <c r="CE19" s="163"/>
      <c r="CF19" s="163"/>
      <c r="CG19" s="163"/>
      <c r="CH19" s="163"/>
      <c r="CI19" s="163"/>
      <c r="CJ19" s="163"/>
      <c r="CK19" s="163"/>
      <c r="CL19" s="163"/>
      <c r="CM19" s="163"/>
      <c r="CN19" s="163"/>
      <c r="CO19" s="163"/>
      <c r="CP19" s="163"/>
      <c r="CQ19" s="163"/>
      <c r="CR19" s="163"/>
      <c r="CS19" s="163"/>
      <c r="CT19" s="163"/>
      <c r="CU19" s="163"/>
      <c r="CV19" s="163"/>
      <c r="CW19" s="163"/>
      <c r="CX19" s="163"/>
      <c r="CY19" s="163"/>
      <c r="CZ19" s="163"/>
      <c r="DA19" s="163"/>
      <c r="DB19" s="163"/>
      <c r="DC19" s="163"/>
      <c r="DD19" s="163"/>
      <c r="DE19" s="163"/>
      <c r="DF19" s="163"/>
      <c r="DG19" s="163"/>
      <c r="DH19" s="163"/>
      <c r="DI19" s="163"/>
      <c r="DJ19" s="163"/>
      <c r="DK19" s="163"/>
      <c r="DL19" s="163"/>
      <c r="DM19" s="163"/>
      <c r="DN19" s="163"/>
      <c r="DO19" s="163"/>
      <c r="DP19" s="163"/>
      <c r="DQ19" s="163"/>
      <c r="DR19" s="163"/>
      <c r="DS19" s="163"/>
      <c r="DT19" s="163"/>
      <c r="DU19" s="163"/>
      <c r="DV19" s="163"/>
      <c r="DW19" s="163"/>
      <c r="DX19" s="163"/>
      <c r="DY19" s="163"/>
      <c r="DZ19" s="163"/>
      <c r="EA19" s="163"/>
      <c r="EB19" s="163"/>
      <c r="EC19" s="163"/>
      <c r="ED19" s="163"/>
      <c r="EE19" s="163"/>
      <c r="EF19" s="163"/>
      <c r="EG19" s="163"/>
      <c r="EH19" s="163"/>
      <c r="EI19" s="163"/>
      <c r="EJ19" s="163"/>
      <c r="EK19" s="163"/>
      <c r="EL19" s="163"/>
      <c r="EM19" s="163"/>
      <c r="EN19" s="163"/>
      <c r="EO19" s="163"/>
      <c r="EP19" s="163"/>
      <c r="EQ19" s="163"/>
      <c r="ER19" s="163"/>
      <c r="ES19" s="163"/>
      <c r="ET19" s="163"/>
      <c r="EU19" s="163"/>
      <c r="EV19" s="163"/>
      <c r="EW19" s="163"/>
      <c r="EX19" s="163"/>
      <c r="EY19" s="163"/>
      <c r="EZ19" s="163"/>
      <c r="FA19" s="163"/>
      <c r="FB19" s="163"/>
      <c r="FC19" s="163"/>
      <c r="FD19" s="163"/>
      <c r="FE19" s="163"/>
      <c r="FF19" s="163"/>
      <c r="FG19" s="163"/>
      <c r="FH19" s="163"/>
      <c r="FI19" s="163"/>
      <c r="FJ19" s="163"/>
      <c r="FK19" s="163"/>
      <c r="FL19" s="163"/>
      <c r="FM19" s="163"/>
      <c r="FN19" s="163"/>
      <c r="FO19" s="163"/>
      <c r="FP19" s="163"/>
      <c r="FQ19" s="163"/>
      <c r="FR19" s="163"/>
      <c r="FS19" s="163"/>
      <c r="FT19" s="163"/>
      <c r="FU19" s="163"/>
      <c r="FV19" s="163"/>
      <c r="FW19" s="163"/>
      <c r="FX19" s="163"/>
      <c r="FY19" s="163"/>
      <c r="FZ19" s="163"/>
      <c r="GA19" s="163"/>
      <c r="GB19" s="163"/>
      <c r="GC19" s="163"/>
      <c r="GD19" s="163"/>
      <c r="GE19" s="163"/>
      <c r="GF19" s="163"/>
      <c r="GG19" s="163"/>
      <c r="GH19" s="163"/>
      <c r="GI19" s="163"/>
      <c r="GJ19" s="163"/>
      <c r="GK19" s="163"/>
      <c r="GL19" s="163"/>
      <c r="GM19" s="163"/>
      <c r="GN19" s="163"/>
      <c r="GO19" s="163"/>
      <c r="GP19" s="163"/>
      <c r="GQ19" s="163"/>
      <c r="GR19" s="163"/>
      <c r="GS19" s="163"/>
      <c r="GT19" s="163"/>
      <c r="GU19" s="163"/>
      <c r="GV19" s="163"/>
      <c r="GW19" s="163"/>
      <c r="GX19" s="163"/>
      <c r="GY19" s="163"/>
      <c r="GZ19" s="163"/>
      <c r="HC19" s="300" t="s">
        <v>265</v>
      </c>
      <c r="HD19" s="301"/>
      <c r="HE19" s="301"/>
      <c r="HF19" s="301"/>
      <c r="HG19" s="301"/>
      <c r="HH19" s="301"/>
      <c r="HI19" s="301"/>
      <c r="HJ19" s="301"/>
      <c r="HK19" s="301"/>
      <c r="HL19" s="301"/>
      <c r="HM19" s="301"/>
      <c r="HN19" s="301"/>
      <c r="HO19" s="301"/>
      <c r="HP19" s="301"/>
      <c r="HQ19" s="301"/>
      <c r="HR19" s="301"/>
      <c r="HS19" s="301"/>
      <c r="HT19" s="301"/>
      <c r="HU19" s="301"/>
      <c r="HV19" s="301"/>
      <c r="HW19" s="301"/>
      <c r="HX19" s="301"/>
      <c r="HY19" s="301"/>
      <c r="HZ19" s="301"/>
      <c r="IA19" s="301"/>
      <c r="IB19" s="301"/>
      <c r="IC19" s="301"/>
      <c r="ID19" s="301"/>
      <c r="IE19" s="301"/>
      <c r="IF19" s="301"/>
      <c r="IG19" s="301"/>
      <c r="IH19" s="301"/>
      <c r="II19" s="301"/>
      <c r="IJ19" s="301"/>
      <c r="IK19" s="301"/>
      <c r="IL19" s="301"/>
      <c r="IM19" s="301"/>
      <c r="IN19" s="301"/>
      <c r="IO19" s="301"/>
      <c r="IP19" s="301"/>
      <c r="IQ19" s="302"/>
      <c r="IR19" s="309">
        <v>1</v>
      </c>
      <c r="IS19" s="309"/>
      <c r="IT19" s="309"/>
      <c r="IU19" s="309"/>
      <c r="IV19" s="163"/>
      <c r="IW19" s="163"/>
      <c r="IX19" s="163"/>
      <c r="IY19" s="163"/>
      <c r="IZ19" s="163"/>
      <c r="JA19" s="163"/>
      <c r="JB19" s="163"/>
      <c r="JC19" s="163"/>
      <c r="JD19" s="163"/>
      <c r="JE19" s="163"/>
      <c r="JF19" s="163"/>
      <c r="JG19" s="163"/>
      <c r="JH19" s="163"/>
      <c r="JI19" s="163"/>
      <c r="JJ19" s="163"/>
      <c r="JK19" s="163"/>
      <c r="JL19" s="163"/>
      <c r="JM19" s="163"/>
      <c r="JN19" s="163"/>
      <c r="JO19" s="163"/>
      <c r="JP19" s="163"/>
      <c r="JQ19" s="163"/>
      <c r="JR19" s="163"/>
      <c r="JS19" s="163"/>
      <c r="JT19" s="163"/>
      <c r="JU19" s="163"/>
      <c r="JV19" s="163"/>
      <c r="JW19" s="163"/>
      <c r="JX19" s="163"/>
      <c r="JY19" s="163"/>
      <c r="JZ19" s="163"/>
      <c r="KA19" s="163"/>
      <c r="KB19" s="163"/>
      <c r="KC19" s="163"/>
      <c r="KD19" s="163"/>
      <c r="KE19" s="163"/>
      <c r="KF19" s="163"/>
      <c r="KG19" s="163"/>
      <c r="KH19" s="163"/>
      <c r="KI19" s="163"/>
      <c r="KJ19" s="163"/>
      <c r="KK19" s="163"/>
      <c r="KL19" s="163"/>
      <c r="KM19" s="163"/>
      <c r="KN19" s="163"/>
      <c r="KO19" s="163"/>
      <c r="LC19" s="163"/>
      <c r="LD19" s="163"/>
      <c r="LE19" s="163"/>
      <c r="LF19" s="163"/>
      <c r="LG19" s="163"/>
      <c r="LH19" s="163"/>
      <c r="LI19" s="163"/>
      <c r="LJ19" s="163"/>
      <c r="LK19" s="163"/>
      <c r="LL19" s="163"/>
      <c r="LM19" s="163"/>
      <c r="LN19" s="163"/>
      <c r="LO19" s="163"/>
      <c r="LP19" s="163"/>
      <c r="LQ19" s="163"/>
      <c r="LR19" s="163"/>
      <c r="LS19" s="163"/>
      <c r="LT19" s="163"/>
      <c r="LU19" s="163"/>
      <c r="LV19" s="163"/>
      <c r="LW19" s="163"/>
      <c r="LX19" s="163"/>
      <c r="LY19" s="163"/>
      <c r="LZ19" s="163"/>
      <c r="MA19" s="163"/>
      <c r="MB19" s="163"/>
      <c r="MC19" s="163"/>
      <c r="MD19" s="163"/>
      <c r="ME19" s="163"/>
      <c r="MF19" s="163"/>
      <c r="MG19" s="163"/>
      <c r="MH19" s="163"/>
      <c r="MI19" s="163"/>
      <c r="MJ19" s="163"/>
      <c r="MK19" s="163"/>
      <c r="ML19" s="163"/>
      <c r="MM19" s="163"/>
      <c r="MU19" s="310"/>
      <c r="MV19" s="310"/>
      <c r="MW19" s="310"/>
      <c r="MX19" s="310"/>
      <c r="MY19" s="310"/>
      <c r="MZ19" s="310"/>
      <c r="NA19" s="310"/>
      <c r="NB19" s="310"/>
      <c r="NC19" s="310"/>
      <c r="ND19" s="310"/>
      <c r="NE19" s="310"/>
      <c r="NF19" s="310"/>
      <c r="NG19" s="310"/>
      <c r="NH19" s="310"/>
      <c r="NI19" s="310"/>
      <c r="NJ19" s="310"/>
      <c r="NK19" s="310"/>
      <c r="NL19" s="310"/>
      <c r="NM19" s="310"/>
      <c r="NN19" s="310"/>
      <c r="NO19" s="310"/>
      <c r="NP19" s="310"/>
      <c r="NQ19" s="310"/>
      <c r="NR19" s="310"/>
      <c r="NS19" s="310"/>
      <c r="NT19" s="310"/>
      <c r="NU19" s="310"/>
      <c r="NV19" s="310"/>
      <c r="NW19" s="310"/>
      <c r="NX19" s="310"/>
      <c r="NY19" s="310"/>
      <c r="QK19" s="163"/>
      <c r="QL19" s="163"/>
      <c r="QM19" s="163"/>
      <c r="QN19" s="163"/>
      <c r="QO19" s="163"/>
      <c r="QP19" s="163"/>
      <c r="QQ19" s="165"/>
      <c r="QR19" s="166"/>
    </row>
    <row r="20" spans="3:460" ht="5.15" customHeight="1" x14ac:dyDescent="0.35">
      <c r="C20" s="161"/>
      <c r="D20" s="162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3"/>
      <c r="AM20" s="163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3"/>
      <c r="BF20" s="163"/>
      <c r="BG20" s="163"/>
      <c r="BH20" s="163"/>
      <c r="BI20" s="163"/>
      <c r="BJ20" s="163"/>
      <c r="BK20" s="163"/>
      <c r="BL20" s="163"/>
      <c r="BM20" s="163"/>
      <c r="BN20" s="163"/>
      <c r="BO20" s="163"/>
      <c r="BP20" s="163"/>
      <c r="BQ20" s="163"/>
      <c r="BR20" s="163"/>
      <c r="BS20" s="163"/>
      <c r="BT20" s="163"/>
      <c r="BU20" s="163"/>
      <c r="BV20" s="163"/>
      <c r="BW20" s="163"/>
      <c r="BX20" s="163"/>
      <c r="BY20" s="163"/>
      <c r="BZ20" s="163"/>
      <c r="CA20" s="163"/>
      <c r="CB20" s="163"/>
      <c r="CC20" s="163"/>
      <c r="CD20" s="163"/>
      <c r="CE20" s="163"/>
      <c r="CF20" s="163"/>
      <c r="CG20" s="163"/>
      <c r="CH20" s="163"/>
      <c r="CI20" s="163"/>
      <c r="CJ20" s="163"/>
      <c r="CK20" s="163"/>
      <c r="CL20" s="163"/>
      <c r="CM20" s="163"/>
      <c r="CN20" s="163"/>
      <c r="CO20" s="163"/>
      <c r="CP20" s="163"/>
      <c r="CQ20" s="163"/>
      <c r="CR20" s="163"/>
      <c r="CS20" s="163"/>
      <c r="CT20" s="163"/>
      <c r="CU20" s="163"/>
      <c r="CV20" s="163"/>
      <c r="CW20" s="163"/>
      <c r="CX20" s="163"/>
      <c r="CY20" s="163"/>
      <c r="CZ20" s="163"/>
      <c r="DA20" s="163"/>
      <c r="DB20" s="163"/>
      <c r="DC20" s="163"/>
      <c r="DD20" s="163"/>
      <c r="DE20" s="163"/>
      <c r="DF20" s="163"/>
      <c r="DG20" s="163"/>
      <c r="DH20" s="163"/>
      <c r="DI20" s="163"/>
      <c r="DJ20" s="163"/>
      <c r="DK20" s="163"/>
      <c r="DL20" s="163"/>
      <c r="DM20" s="163"/>
      <c r="DN20" s="163"/>
      <c r="DO20" s="163"/>
      <c r="DP20" s="163"/>
      <c r="DQ20" s="163"/>
      <c r="DR20" s="163"/>
      <c r="DS20" s="163"/>
      <c r="DT20" s="163"/>
      <c r="DU20" s="163"/>
      <c r="DV20" s="163"/>
      <c r="DW20" s="163"/>
      <c r="DX20" s="163"/>
      <c r="DY20" s="163"/>
      <c r="DZ20" s="163"/>
      <c r="EA20" s="163"/>
      <c r="EB20" s="163"/>
      <c r="EC20" s="163"/>
      <c r="ED20" s="163"/>
      <c r="EE20" s="163"/>
      <c r="EF20" s="163"/>
      <c r="EG20" s="163"/>
      <c r="EH20" s="163"/>
      <c r="EI20" s="163"/>
      <c r="EJ20" s="163"/>
      <c r="EK20" s="163"/>
      <c r="EL20" s="163"/>
      <c r="EM20" s="163"/>
      <c r="EN20" s="163"/>
      <c r="EO20" s="163"/>
      <c r="EP20" s="163"/>
      <c r="EQ20" s="163"/>
      <c r="ER20" s="163"/>
      <c r="ES20" s="163"/>
      <c r="ET20" s="163"/>
      <c r="EU20" s="163"/>
      <c r="EV20" s="163"/>
      <c r="EW20" s="163"/>
      <c r="EX20" s="163"/>
      <c r="EY20" s="163"/>
      <c r="EZ20" s="163"/>
      <c r="FA20" s="163"/>
      <c r="FB20" s="163"/>
      <c r="FC20" s="163"/>
      <c r="FD20" s="163"/>
      <c r="FE20" s="163"/>
      <c r="FF20" s="163"/>
      <c r="FG20" s="163"/>
      <c r="FH20" s="163"/>
      <c r="FI20" s="163"/>
      <c r="FJ20" s="163"/>
      <c r="FK20" s="163"/>
      <c r="FL20" s="163"/>
      <c r="FM20" s="163"/>
      <c r="FN20" s="163"/>
      <c r="FO20" s="163"/>
      <c r="FP20" s="163"/>
      <c r="FQ20" s="163"/>
      <c r="FR20" s="163"/>
      <c r="FS20" s="163"/>
      <c r="FT20" s="163"/>
      <c r="FU20" s="163"/>
      <c r="FV20" s="163"/>
      <c r="FW20" s="163"/>
      <c r="FX20" s="163"/>
      <c r="FY20" s="163"/>
      <c r="FZ20" s="163"/>
      <c r="GA20" s="163"/>
      <c r="GB20" s="163"/>
      <c r="GC20" s="163"/>
      <c r="GD20" s="163"/>
      <c r="GE20" s="163"/>
      <c r="GF20" s="163"/>
      <c r="GG20" s="163"/>
      <c r="GH20" s="163"/>
      <c r="GI20" s="163"/>
      <c r="GJ20" s="163"/>
      <c r="GK20" s="163"/>
      <c r="GL20" s="163"/>
      <c r="GM20" s="163"/>
      <c r="GN20" s="163"/>
      <c r="GO20" s="163"/>
      <c r="GP20" s="163"/>
      <c r="GQ20" s="163"/>
      <c r="GR20" s="163"/>
      <c r="GS20" s="163"/>
      <c r="GT20" s="163"/>
      <c r="GU20" s="163"/>
      <c r="GV20" s="163"/>
      <c r="GW20" s="163"/>
      <c r="GX20" s="163"/>
      <c r="GY20" s="163"/>
      <c r="GZ20" s="163"/>
      <c r="HC20" s="303"/>
      <c r="HD20" s="304"/>
      <c r="HE20" s="304"/>
      <c r="HF20" s="304"/>
      <c r="HG20" s="304"/>
      <c r="HH20" s="304"/>
      <c r="HI20" s="304"/>
      <c r="HJ20" s="304"/>
      <c r="HK20" s="304"/>
      <c r="HL20" s="304"/>
      <c r="HM20" s="304"/>
      <c r="HN20" s="304"/>
      <c r="HO20" s="304"/>
      <c r="HP20" s="304"/>
      <c r="HQ20" s="304"/>
      <c r="HR20" s="304"/>
      <c r="HS20" s="304"/>
      <c r="HT20" s="304"/>
      <c r="HU20" s="304"/>
      <c r="HV20" s="304"/>
      <c r="HW20" s="304"/>
      <c r="HX20" s="304"/>
      <c r="HY20" s="304"/>
      <c r="HZ20" s="304"/>
      <c r="IA20" s="304"/>
      <c r="IB20" s="304"/>
      <c r="IC20" s="304"/>
      <c r="ID20" s="304"/>
      <c r="IE20" s="304"/>
      <c r="IF20" s="304"/>
      <c r="IG20" s="304"/>
      <c r="IH20" s="304"/>
      <c r="II20" s="304"/>
      <c r="IJ20" s="304"/>
      <c r="IK20" s="304"/>
      <c r="IL20" s="304"/>
      <c r="IM20" s="304"/>
      <c r="IN20" s="304"/>
      <c r="IO20" s="304"/>
      <c r="IP20" s="304"/>
      <c r="IQ20" s="305"/>
      <c r="IR20" s="309"/>
      <c r="IS20" s="309"/>
      <c r="IT20" s="309"/>
      <c r="IU20" s="309"/>
      <c r="IV20" s="163"/>
      <c r="IW20" s="163"/>
      <c r="IX20" s="163"/>
      <c r="IY20" s="163"/>
      <c r="IZ20" s="163"/>
      <c r="JA20" s="163"/>
      <c r="JB20" s="163"/>
      <c r="JC20" s="163"/>
      <c r="JD20" s="163"/>
      <c r="JE20" s="163"/>
      <c r="JF20" s="163"/>
      <c r="JG20" s="163"/>
      <c r="JH20" s="163"/>
      <c r="JI20" s="163"/>
      <c r="JJ20" s="163"/>
      <c r="JK20" s="163"/>
      <c r="JL20" s="163"/>
      <c r="JM20" s="163"/>
      <c r="JN20" s="163"/>
      <c r="JO20" s="163"/>
      <c r="JP20" s="163"/>
      <c r="JQ20" s="163"/>
      <c r="JR20" s="163"/>
      <c r="JS20" s="163"/>
      <c r="JT20" s="163"/>
      <c r="JU20" s="163"/>
      <c r="JV20" s="163"/>
      <c r="JW20" s="163"/>
      <c r="JX20" s="163"/>
      <c r="JY20" s="163"/>
      <c r="JZ20" s="163"/>
      <c r="KA20" s="163"/>
      <c r="KB20" s="163"/>
      <c r="KC20" s="163"/>
      <c r="KD20" s="163"/>
      <c r="KE20" s="163"/>
      <c r="KF20" s="163"/>
      <c r="KG20" s="163"/>
      <c r="KH20" s="163"/>
      <c r="KI20" s="163"/>
      <c r="KJ20" s="163"/>
      <c r="KK20" s="163"/>
      <c r="KL20" s="163"/>
      <c r="KM20" s="163"/>
      <c r="KN20" s="163"/>
      <c r="KO20" s="163"/>
      <c r="LC20" s="163"/>
      <c r="LD20" s="163"/>
      <c r="LE20" s="163"/>
      <c r="LF20" s="163"/>
      <c r="LG20" s="163"/>
      <c r="LH20" s="163"/>
      <c r="LI20" s="163"/>
      <c r="LJ20" s="163"/>
      <c r="LK20" s="163"/>
      <c r="LL20" s="163"/>
      <c r="LM20" s="163"/>
      <c r="LN20" s="163"/>
      <c r="LO20" s="163"/>
      <c r="LP20" s="163"/>
      <c r="LQ20" s="163"/>
      <c r="LR20" s="163"/>
      <c r="LS20" s="163"/>
      <c r="LT20" s="163"/>
      <c r="LU20" s="163"/>
      <c r="LV20" s="163"/>
      <c r="LW20" s="163"/>
      <c r="LX20" s="163"/>
      <c r="LY20" s="163"/>
      <c r="LZ20" s="163"/>
      <c r="MA20" s="163"/>
      <c r="MB20" s="163"/>
      <c r="MC20" s="163"/>
      <c r="MD20" s="163"/>
      <c r="ME20" s="163"/>
      <c r="MF20" s="163"/>
      <c r="MG20" s="163"/>
      <c r="MH20" s="163"/>
      <c r="MI20" s="163"/>
      <c r="MJ20" s="163"/>
      <c r="MK20" s="163"/>
      <c r="ML20" s="163"/>
      <c r="MM20" s="163"/>
      <c r="MU20" s="310"/>
      <c r="MV20" s="310"/>
      <c r="MW20" s="310"/>
      <c r="MX20" s="310"/>
      <c r="MY20" s="310"/>
      <c r="MZ20" s="310"/>
      <c r="NA20" s="310"/>
      <c r="NB20" s="310"/>
      <c r="NC20" s="310"/>
      <c r="ND20" s="310"/>
      <c r="NE20" s="310"/>
      <c r="NF20" s="310"/>
      <c r="NG20" s="310"/>
      <c r="NH20" s="310"/>
      <c r="NI20" s="310"/>
      <c r="NJ20" s="310"/>
      <c r="NK20" s="310"/>
      <c r="NL20" s="310"/>
      <c r="NM20" s="310"/>
      <c r="NN20" s="310"/>
      <c r="NO20" s="310"/>
      <c r="NP20" s="310"/>
      <c r="NQ20" s="310"/>
      <c r="NR20" s="310"/>
      <c r="NS20" s="310"/>
      <c r="NT20" s="310"/>
      <c r="NU20" s="310"/>
      <c r="NV20" s="310"/>
      <c r="NW20" s="310"/>
      <c r="NX20" s="310"/>
      <c r="NY20" s="310"/>
      <c r="QK20" s="163"/>
      <c r="QL20" s="163"/>
      <c r="QM20" s="163"/>
      <c r="QN20" s="163"/>
      <c r="QO20" s="163"/>
      <c r="QP20" s="163"/>
      <c r="QQ20" s="165"/>
      <c r="QR20" s="166"/>
    </row>
    <row r="21" spans="3:460" ht="5.15" customHeight="1" x14ac:dyDescent="0.35">
      <c r="C21" s="161"/>
      <c r="D21" s="162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3"/>
      <c r="BF21" s="163"/>
      <c r="BG21" s="163"/>
      <c r="BH21" s="163"/>
      <c r="BI21" s="163"/>
      <c r="BJ21" s="163"/>
      <c r="BK21" s="163"/>
      <c r="BL21" s="163"/>
      <c r="BM21" s="163"/>
      <c r="BN21" s="163"/>
      <c r="BO21" s="163"/>
      <c r="BP21" s="163"/>
      <c r="BQ21" s="163"/>
      <c r="BR21" s="163"/>
      <c r="BS21" s="163"/>
      <c r="BT21" s="163"/>
      <c r="BU21" s="163"/>
      <c r="BV21" s="163"/>
      <c r="BW21" s="163"/>
      <c r="BX21" s="163"/>
      <c r="BY21" s="163"/>
      <c r="BZ21" s="163"/>
      <c r="CA21" s="163"/>
      <c r="CB21" s="163"/>
      <c r="CC21" s="163"/>
      <c r="CD21" s="163"/>
      <c r="CE21" s="163"/>
      <c r="CF21" s="163"/>
      <c r="CG21" s="163"/>
      <c r="CH21" s="163"/>
      <c r="CI21" s="163"/>
      <c r="CJ21" s="163"/>
      <c r="CK21" s="163"/>
      <c r="CL21" s="163"/>
      <c r="CM21" s="163"/>
      <c r="CN21" s="163"/>
      <c r="CO21" s="163"/>
      <c r="CP21" s="163"/>
      <c r="CQ21" s="163"/>
      <c r="CR21" s="163"/>
      <c r="CS21" s="163"/>
      <c r="CT21" s="163"/>
      <c r="CU21" s="163"/>
      <c r="CV21" s="163"/>
      <c r="CW21" s="163"/>
      <c r="CX21" s="163"/>
      <c r="CY21" s="163"/>
      <c r="CZ21" s="163"/>
      <c r="DA21" s="163"/>
      <c r="DB21" s="163"/>
      <c r="DC21" s="163"/>
      <c r="DD21" s="163"/>
      <c r="DE21" s="163"/>
      <c r="DF21" s="163"/>
      <c r="DG21" s="163"/>
      <c r="DH21" s="163"/>
      <c r="DI21" s="163"/>
      <c r="DJ21" s="163"/>
      <c r="DK21" s="163"/>
      <c r="DL21" s="163"/>
      <c r="DM21" s="163"/>
      <c r="DN21" s="163"/>
      <c r="DO21" s="163"/>
      <c r="DP21" s="163"/>
      <c r="DQ21" s="163"/>
      <c r="DR21" s="163"/>
      <c r="DS21" s="163"/>
      <c r="DT21" s="163"/>
      <c r="DU21" s="163"/>
      <c r="DV21" s="163"/>
      <c r="DW21" s="163"/>
      <c r="DX21" s="163"/>
      <c r="DY21" s="163"/>
      <c r="DZ21" s="163"/>
      <c r="EA21" s="163"/>
      <c r="EB21" s="163"/>
      <c r="EC21" s="163"/>
      <c r="ED21" s="163"/>
      <c r="EE21" s="163"/>
      <c r="EF21" s="163"/>
      <c r="EG21" s="163"/>
      <c r="EH21" s="163"/>
      <c r="EI21" s="163"/>
      <c r="EJ21" s="163"/>
      <c r="EK21" s="163"/>
      <c r="EL21" s="163"/>
      <c r="EM21" s="163"/>
      <c r="EN21" s="163"/>
      <c r="EO21" s="163"/>
      <c r="EP21" s="163"/>
      <c r="EQ21" s="163"/>
      <c r="ER21" s="163"/>
      <c r="ES21" s="163"/>
      <c r="ET21" s="163"/>
      <c r="EU21" s="163"/>
      <c r="EV21" s="163"/>
      <c r="EW21" s="163"/>
      <c r="EX21" s="163"/>
      <c r="EY21" s="163"/>
      <c r="EZ21" s="163"/>
      <c r="FA21" s="163"/>
      <c r="FB21" s="163"/>
      <c r="FC21" s="163"/>
      <c r="FD21" s="163"/>
      <c r="FE21" s="163"/>
      <c r="FF21" s="163"/>
      <c r="FG21" s="163"/>
      <c r="FH21" s="163"/>
      <c r="FI21" s="163"/>
      <c r="FJ21" s="163"/>
      <c r="FK21" s="163"/>
      <c r="FL21" s="163"/>
      <c r="FM21" s="163"/>
      <c r="FN21" s="163"/>
      <c r="FO21" s="163"/>
      <c r="FP21" s="163"/>
      <c r="FQ21" s="163"/>
      <c r="FR21" s="163"/>
      <c r="FS21" s="163"/>
      <c r="FT21" s="163"/>
      <c r="FU21" s="163"/>
      <c r="FV21" s="163"/>
      <c r="FW21" s="163"/>
      <c r="FX21" s="163"/>
      <c r="FY21" s="163"/>
      <c r="FZ21" s="163"/>
      <c r="GA21" s="163"/>
      <c r="GB21" s="163"/>
      <c r="GC21" s="163"/>
      <c r="GD21" s="163"/>
      <c r="GE21" s="163"/>
      <c r="GF21" s="163"/>
      <c r="GG21" s="163"/>
      <c r="GH21" s="163"/>
      <c r="GI21" s="163"/>
      <c r="GJ21" s="163"/>
      <c r="GK21" s="163"/>
      <c r="GL21" s="163"/>
      <c r="GM21" s="163"/>
      <c r="GN21" s="163"/>
      <c r="GO21" s="163"/>
      <c r="GP21" s="163"/>
      <c r="GQ21" s="163"/>
      <c r="GR21" s="163"/>
      <c r="GS21" s="163"/>
      <c r="GT21" s="163"/>
      <c r="GU21" s="163"/>
      <c r="GV21" s="163"/>
      <c r="GW21" s="163"/>
      <c r="GX21" s="163"/>
      <c r="GY21" s="163"/>
      <c r="GZ21" s="163"/>
      <c r="HC21" s="303"/>
      <c r="HD21" s="304"/>
      <c r="HE21" s="304"/>
      <c r="HF21" s="304"/>
      <c r="HG21" s="304"/>
      <c r="HH21" s="304"/>
      <c r="HI21" s="304"/>
      <c r="HJ21" s="304"/>
      <c r="HK21" s="304"/>
      <c r="HL21" s="304"/>
      <c r="HM21" s="304"/>
      <c r="HN21" s="304"/>
      <c r="HO21" s="304"/>
      <c r="HP21" s="304"/>
      <c r="HQ21" s="304"/>
      <c r="HR21" s="304"/>
      <c r="HS21" s="304"/>
      <c r="HT21" s="304"/>
      <c r="HU21" s="304"/>
      <c r="HV21" s="304"/>
      <c r="HW21" s="304"/>
      <c r="HX21" s="304"/>
      <c r="HY21" s="304"/>
      <c r="HZ21" s="304"/>
      <c r="IA21" s="304"/>
      <c r="IB21" s="304"/>
      <c r="IC21" s="304"/>
      <c r="ID21" s="304"/>
      <c r="IE21" s="304"/>
      <c r="IF21" s="304"/>
      <c r="IG21" s="304"/>
      <c r="IH21" s="304"/>
      <c r="II21" s="304"/>
      <c r="IJ21" s="304"/>
      <c r="IK21" s="304"/>
      <c r="IL21" s="304"/>
      <c r="IM21" s="304"/>
      <c r="IN21" s="304"/>
      <c r="IO21" s="304"/>
      <c r="IP21" s="304"/>
      <c r="IQ21" s="305"/>
      <c r="IR21" s="309"/>
      <c r="IS21" s="309"/>
      <c r="IT21" s="309"/>
      <c r="IU21" s="309"/>
      <c r="IV21" s="163"/>
      <c r="IW21" s="163"/>
      <c r="IX21" s="163"/>
      <c r="IY21" s="163"/>
      <c r="IZ21" s="163"/>
      <c r="JA21" s="163"/>
      <c r="JB21" s="163"/>
      <c r="JC21" s="163"/>
      <c r="JD21" s="163"/>
      <c r="JE21" s="163"/>
      <c r="JF21" s="163"/>
      <c r="JG21" s="163"/>
      <c r="JH21" s="163"/>
      <c r="JI21" s="163"/>
      <c r="JJ21" s="163"/>
      <c r="JK21" s="163"/>
      <c r="JL21" s="163"/>
      <c r="JM21" s="163"/>
      <c r="JN21" s="163"/>
      <c r="JO21" s="163"/>
      <c r="JP21" s="163"/>
      <c r="JQ21" s="163"/>
      <c r="JR21" s="163"/>
      <c r="JS21" s="163"/>
      <c r="JT21" s="163"/>
      <c r="JU21" s="163"/>
      <c r="JV21" s="163"/>
      <c r="JW21" s="163"/>
      <c r="JX21" s="163"/>
      <c r="JY21" s="163"/>
      <c r="JZ21" s="163"/>
      <c r="KA21" s="163"/>
      <c r="KB21" s="163"/>
      <c r="KC21" s="163"/>
      <c r="KD21" s="163"/>
      <c r="KE21" s="163"/>
      <c r="KF21" s="163"/>
      <c r="KG21" s="163"/>
      <c r="KH21" s="163"/>
      <c r="KI21" s="163"/>
      <c r="KJ21" s="163"/>
      <c r="KK21" s="163"/>
      <c r="KL21" s="163"/>
      <c r="KM21" s="163"/>
      <c r="KN21" s="163"/>
      <c r="KO21" s="163"/>
      <c r="LC21" s="163"/>
      <c r="LD21" s="163"/>
      <c r="LE21" s="163"/>
      <c r="LF21" s="163"/>
      <c r="LG21" s="163"/>
      <c r="LH21" s="163"/>
      <c r="LI21" s="163"/>
      <c r="LJ21" s="163"/>
      <c r="LK21" s="163"/>
      <c r="LL21" s="163"/>
      <c r="LM21" s="163"/>
      <c r="LN21" s="163"/>
      <c r="LO21" s="163"/>
      <c r="LP21" s="163"/>
      <c r="LQ21" s="163"/>
      <c r="LR21" s="163"/>
      <c r="LS21" s="163"/>
      <c r="LT21" s="163"/>
      <c r="LU21" s="163"/>
      <c r="LV21" s="163"/>
      <c r="LW21" s="163"/>
      <c r="LX21" s="163"/>
      <c r="LY21" s="163"/>
      <c r="LZ21" s="163"/>
      <c r="MA21" s="163"/>
      <c r="MB21" s="163"/>
      <c r="MC21" s="163"/>
      <c r="MD21" s="163"/>
      <c r="ME21" s="163"/>
      <c r="MF21" s="163"/>
      <c r="MG21" s="163"/>
      <c r="MH21" s="163"/>
      <c r="MI21" s="163"/>
      <c r="MJ21" s="163"/>
      <c r="MK21" s="163"/>
      <c r="ML21" s="163"/>
      <c r="MM21" s="163"/>
      <c r="MU21" s="310"/>
      <c r="MV21" s="310"/>
      <c r="MW21" s="310"/>
      <c r="MX21" s="310"/>
      <c r="MY21" s="310"/>
      <c r="MZ21" s="310"/>
      <c r="NA21" s="310"/>
      <c r="NB21" s="310"/>
      <c r="NC21" s="310"/>
      <c r="ND21" s="310"/>
      <c r="NE21" s="310"/>
      <c r="NF21" s="310"/>
      <c r="NG21" s="310"/>
      <c r="NH21" s="310"/>
      <c r="NI21" s="310"/>
      <c r="NJ21" s="310"/>
      <c r="NK21" s="310"/>
      <c r="NL21" s="310"/>
      <c r="NM21" s="310"/>
      <c r="NN21" s="310"/>
      <c r="NO21" s="310"/>
      <c r="NP21" s="310"/>
      <c r="NQ21" s="310"/>
      <c r="NR21" s="310"/>
      <c r="NS21" s="310"/>
      <c r="NT21" s="310"/>
      <c r="NU21" s="310"/>
      <c r="NV21" s="310"/>
      <c r="NW21" s="310"/>
      <c r="NX21" s="310"/>
      <c r="NY21" s="310"/>
      <c r="QK21" s="163"/>
      <c r="QL21" s="163"/>
      <c r="QM21" s="163"/>
      <c r="QN21" s="163"/>
      <c r="QO21" s="163"/>
      <c r="QP21" s="163"/>
      <c r="QQ21" s="165"/>
      <c r="QR21" s="166"/>
    </row>
    <row r="22" spans="3:460" ht="5.15" customHeight="1" x14ac:dyDescent="0.35">
      <c r="C22" s="161"/>
      <c r="D22" s="162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3"/>
      <c r="BF22" s="163"/>
      <c r="BG22" s="163"/>
      <c r="BH22" s="163"/>
      <c r="BI22" s="163"/>
      <c r="BJ22" s="163"/>
      <c r="BK22" s="163"/>
      <c r="BL22" s="163"/>
      <c r="BM22" s="163"/>
      <c r="BN22" s="163"/>
      <c r="BO22" s="163"/>
      <c r="BP22" s="163"/>
      <c r="BQ22" s="163"/>
      <c r="BR22" s="163"/>
      <c r="BS22" s="163"/>
      <c r="BT22" s="163"/>
      <c r="BU22" s="163"/>
      <c r="BV22" s="163"/>
      <c r="BW22" s="163"/>
      <c r="BX22" s="163"/>
      <c r="BY22" s="163"/>
      <c r="BZ22" s="163"/>
      <c r="CA22" s="163"/>
      <c r="CB22" s="163"/>
      <c r="CC22" s="163"/>
      <c r="CD22" s="163"/>
      <c r="CE22" s="163"/>
      <c r="CF22" s="163"/>
      <c r="CG22" s="163"/>
      <c r="CH22" s="163"/>
      <c r="CI22" s="163"/>
      <c r="CJ22" s="163"/>
      <c r="CK22" s="163"/>
      <c r="CL22" s="163"/>
      <c r="CM22" s="163"/>
      <c r="CN22" s="163"/>
      <c r="CO22" s="163"/>
      <c r="CP22" s="163"/>
      <c r="CQ22" s="163"/>
      <c r="CR22" s="163"/>
      <c r="CS22" s="163"/>
      <c r="CT22" s="163"/>
      <c r="CU22" s="163"/>
      <c r="CV22" s="163"/>
      <c r="CW22" s="163"/>
      <c r="CX22" s="163"/>
      <c r="CY22" s="163"/>
      <c r="CZ22" s="163"/>
      <c r="DA22" s="163"/>
      <c r="DB22" s="163"/>
      <c r="DC22" s="163"/>
      <c r="DD22" s="163"/>
      <c r="DE22" s="163"/>
      <c r="DF22" s="163"/>
      <c r="DG22" s="163"/>
      <c r="DH22" s="163"/>
      <c r="DI22" s="163"/>
      <c r="DJ22" s="163"/>
      <c r="DK22" s="163"/>
      <c r="DL22" s="163"/>
      <c r="DM22" s="163"/>
      <c r="DN22" s="163"/>
      <c r="DO22" s="163"/>
      <c r="DP22" s="163"/>
      <c r="DQ22" s="163"/>
      <c r="DR22" s="163"/>
      <c r="DS22" s="163"/>
      <c r="DT22" s="163"/>
      <c r="DU22" s="163"/>
      <c r="DV22" s="163"/>
      <c r="DW22" s="163"/>
      <c r="DX22" s="163"/>
      <c r="DY22" s="163"/>
      <c r="DZ22" s="163"/>
      <c r="EA22" s="163"/>
      <c r="EB22" s="163"/>
      <c r="EC22" s="163"/>
      <c r="ED22" s="163"/>
      <c r="EE22" s="163"/>
      <c r="EF22" s="163"/>
      <c r="EG22" s="163"/>
      <c r="EH22" s="163"/>
      <c r="EI22" s="163"/>
      <c r="EJ22" s="163"/>
      <c r="EK22" s="163"/>
      <c r="EL22" s="163"/>
      <c r="EM22" s="163"/>
      <c r="EN22" s="163"/>
      <c r="EO22" s="163"/>
      <c r="EP22" s="163"/>
      <c r="EQ22" s="163"/>
      <c r="ER22" s="163"/>
      <c r="ES22" s="163"/>
      <c r="ET22" s="163"/>
      <c r="EU22" s="163"/>
      <c r="EV22" s="163"/>
      <c r="EW22" s="163"/>
      <c r="EX22" s="163"/>
      <c r="EY22" s="163"/>
      <c r="EZ22" s="163"/>
      <c r="FA22" s="163"/>
      <c r="FB22" s="163"/>
      <c r="FC22" s="163"/>
      <c r="FD22" s="163"/>
      <c r="FE22" s="163"/>
      <c r="FF22" s="163"/>
      <c r="FG22" s="163"/>
      <c r="FH22" s="163"/>
      <c r="FI22" s="163"/>
      <c r="FJ22" s="163"/>
      <c r="FK22" s="163"/>
      <c r="FL22" s="163"/>
      <c r="FM22" s="163"/>
      <c r="FN22" s="163"/>
      <c r="FO22" s="163"/>
      <c r="FP22" s="163"/>
      <c r="FQ22" s="163"/>
      <c r="FR22" s="163"/>
      <c r="FS22" s="163"/>
      <c r="FT22" s="163"/>
      <c r="FU22" s="163"/>
      <c r="FV22" s="163"/>
      <c r="FW22" s="163"/>
      <c r="FX22" s="163"/>
      <c r="FY22" s="163"/>
      <c r="FZ22" s="163"/>
      <c r="GA22" s="163"/>
      <c r="GB22" s="163"/>
      <c r="GC22" s="163"/>
      <c r="GD22" s="163"/>
      <c r="GE22" s="163"/>
      <c r="GF22" s="163"/>
      <c r="GG22" s="163"/>
      <c r="GH22" s="163"/>
      <c r="GI22" s="163"/>
      <c r="GJ22" s="163"/>
      <c r="GK22" s="163"/>
      <c r="GL22" s="163"/>
      <c r="GM22" s="163"/>
      <c r="GN22" s="163"/>
      <c r="GO22" s="163"/>
      <c r="GP22" s="163"/>
      <c r="GQ22" s="163"/>
      <c r="GR22" s="163"/>
      <c r="GS22" s="163"/>
      <c r="GT22" s="163"/>
      <c r="GU22" s="163"/>
      <c r="GV22" s="163"/>
      <c r="GW22" s="163"/>
      <c r="GX22" s="163"/>
      <c r="GY22" s="163"/>
      <c r="GZ22" s="163"/>
      <c r="HC22" s="303"/>
      <c r="HD22" s="304"/>
      <c r="HE22" s="304"/>
      <c r="HF22" s="304"/>
      <c r="HG22" s="304"/>
      <c r="HH22" s="304"/>
      <c r="HI22" s="304"/>
      <c r="HJ22" s="304"/>
      <c r="HK22" s="304"/>
      <c r="HL22" s="304"/>
      <c r="HM22" s="304"/>
      <c r="HN22" s="304"/>
      <c r="HO22" s="304"/>
      <c r="HP22" s="304"/>
      <c r="HQ22" s="304"/>
      <c r="HR22" s="304"/>
      <c r="HS22" s="304"/>
      <c r="HT22" s="304"/>
      <c r="HU22" s="304"/>
      <c r="HV22" s="304"/>
      <c r="HW22" s="304"/>
      <c r="HX22" s="304"/>
      <c r="HY22" s="304"/>
      <c r="HZ22" s="304"/>
      <c r="IA22" s="304"/>
      <c r="IB22" s="304"/>
      <c r="IC22" s="304"/>
      <c r="ID22" s="304"/>
      <c r="IE22" s="304"/>
      <c r="IF22" s="304"/>
      <c r="IG22" s="304"/>
      <c r="IH22" s="304"/>
      <c r="II22" s="304"/>
      <c r="IJ22" s="304"/>
      <c r="IK22" s="304"/>
      <c r="IL22" s="304"/>
      <c r="IM22" s="304"/>
      <c r="IN22" s="304"/>
      <c r="IO22" s="304"/>
      <c r="IP22" s="304"/>
      <c r="IQ22" s="305"/>
      <c r="IR22" s="309"/>
      <c r="IS22" s="309"/>
      <c r="IT22" s="309"/>
      <c r="IU22" s="309"/>
      <c r="IV22" s="163"/>
      <c r="IW22" s="163"/>
      <c r="IX22" s="163"/>
      <c r="IY22" s="163"/>
      <c r="IZ22" s="163"/>
      <c r="JA22" s="163"/>
      <c r="JB22" s="163"/>
      <c r="JC22" s="163"/>
      <c r="JD22" s="163"/>
      <c r="JE22" s="163"/>
      <c r="JF22" s="163"/>
      <c r="JG22" s="163"/>
      <c r="JH22" s="163"/>
      <c r="JI22" s="163"/>
      <c r="JJ22" s="163"/>
      <c r="JK22" s="163"/>
      <c r="JL22" s="163"/>
      <c r="JM22" s="163"/>
      <c r="JN22" s="163"/>
      <c r="JO22" s="163"/>
      <c r="JP22" s="163"/>
      <c r="JQ22" s="163"/>
      <c r="JR22" s="163"/>
      <c r="JS22" s="163"/>
      <c r="JT22" s="163"/>
      <c r="JU22" s="163"/>
      <c r="JV22" s="163"/>
      <c r="JW22" s="163"/>
      <c r="JX22" s="163"/>
      <c r="JY22" s="163"/>
      <c r="JZ22" s="163"/>
      <c r="KA22" s="163"/>
      <c r="KB22" s="163"/>
      <c r="KC22" s="163"/>
      <c r="KD22" s="163"/>
      <c r="KE22" s="163"/>
      <c r="KF22" s="163"/>
      <c r="KG22" s="163"/>
      <c r="KH22" s="163"/>
      <c r="KI22" s="163"/>
      <c r="KJ22" s="163"/>
      <c r="KK22" s="163"/>
      <c r="KL22" s="163"/>
      <c r="KM22" s="163"/>
      <c r="KN22" s="163"/>
      <c r="KO22" s="163"/>
      <c r="LC22" s="163"/>
      <c r="LD22" s="163"/>
      <c r="LE22" s="163"/>
      <c r="LF22" s="163"/>
      <c r="LG22" s="163"/>
      <c r="LH22" s="163"/>
      <c r="LI22" s="163"/>
      <c r="LJ22" s="163"/>
      <c r="LK22" s="163"/>
      <c r="LL22" s="163"/>
      <c r="LM22" s="163"/>
      <c r="LN22" s="163"/>
      <c r="LO22" s="163"/>
      <c r="LP22" s="163"/>
      <c r="LQ22" s="163"/>
      <c r="LR22" s="163"/>
      <c r="LS22" s="163"/>
      <c r="LT22" s="163"/>
      <c r="LU22" s="163"/>
      <c r="LV22" s="163"/>
      <c r="LW22" s="163"/>
      <c r="LX22" s="163"/>
      <c r="LY22" s="163"/>
      <c r="LZ22" s="163"/>
      <c r="MA22" s="163"/>
      <c r="MB22" s="163"/>
      <c r="MC22" s="163"/>
      <c r="MD22" s="163"/>
      <c r="ME22" s="163"/>
      <c r="MF22" s="163"/>
      <c r="MG22" s="163"/>
      <c r="MH22" s="163"/>
      <c r="MI22" s="163"/>
      <c r="MJ22" s="163"/>
      <c r="MK22" s="163"/>
      <c r="ML22" s="163"/>
      <c r="MM22" s="163"/>
      <c r="MU22" s="310"/>
      <c r="MV22" s="310"/>
      <c r="MW22" s="310"/>
      <c r="MX22" s="310"/>
      <c r="MY22" s="310"/>
      <c r="MZ22" s="310"/>
      <c r="NA22" s="310"/>
      <c r="NB22" s="310"/>
      <c r="NC22" s="310"/>
      <c r="ND22" s="310"/>
      <c r="NE22" s="310"/>
      <c r="NF22" s="310"/>
      <c r="NG22" s="310"/>
      <c r="NH22" s="310"/>
      <c r="NI22" s="310"/>
      <c r="NJ22" s="310"/>
      <c r="NK22" s="310"/>
      <c r="NL22" s="310"/>
      <c r="NM22" s="310"/>
      <c r="NN22" s="310"/>
      <c r="NO22" s="310"/>
      <c r="NP22" s="310"/>
      <c r="NQ22" s="310"/>
      <c r="NR22" s="310"/>
      <c r="NS22" s="310"/>
      <c r="NT22" s="310"/>
      <c r="NU22" s="310"/>
      <c r="NV22" s="310"/>
      <c r="NW22" s="310"/>
      <c r="NX22" s="310"/>
      <c r="NY22" s="310"/>
      <c r="QK22" s="163"/>
      <c r="QL22" s="163"/>
      <c r="QM22" s="163"/>
      <c r="QN22" s="163"/>
      <c r="QO22" s="163"/>
      <c r="QP22" s="163"/>
      <c r="QQ22" s="165"/>
      <c r="QR22" s="166"/>
    </row>
    <row r="23" spans="3:460" ht="5.15" customHeight="1" x14ac:dyDescent="0.35">
      <c r="C23" s="161"/>
      <c r="D23" s="162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3"/>
      <c r="BF23" s="163"/>
      <c r="BG23" s="163"/>
      <c r="BH23" s="163"/>
      <c r="BI23" s="163"/>
      <c r="BJ23" s="163"/>
      <c r="BK23" s="163"/>
      <c r="BL23" s="163"/>
      <c r="BM23" s="163"/>
      <c r="BN23" s="163"/>
      <c r="BO23" s="163"/>
      <c r="BP23" s="163"/>
      <c r="BQ23" s="163"/>
      <c r="BR23" s="163"/>
      <c r="BS23" s="163"/>
      <c r="BT23" s="163"/>
      <c r="BU23" s="163"/>
      <c r="BV23" s="163"/>
      <c r="BW23" s="163"/>
      <c r="BX23" s="163"/>
      <c r="BY23" s="163"/>
      <c r="BZ23" s="163"/>
      <c r="CA23" s="163"/>
      <c r="CB23" s="163"/>
      <c r="CC23" s="163"/>
      <c r="CD23" s="163"/>
      <c r="CE23" s="163"/>
      <c r="CF23" s="163"/>
      <c r="CG23" s="163"/>
      <c r="CH23" s="163"/>
      <c r="CI23" s="163"/>
      <c r="CJ23" s="163"/>
      <c r="CK23" s="163"/>
      <c r="CL23" s="163"/>
      <c r="CM23" s="163"/>
      <c r="CN23" s="163"/>
      <c r="CO23" s="163"/>
      <c r="CP23" s="163"/>
      <c r="CQ23" s="163"/>
      <c r="CR23" s="163"/>
      <c r="CS23" s="163"/>
      <c r="CT23" s="163"/>
      <c r="CU23" s="163"/>
      <c r="CV23" s="163"/>
      <c r="CW23" s="163"/>
      <c r="CX23" s="163"/>
      <c r="CY23" s="163"/>
      <c r="CZ23" s="163"/>
      <c r="DA23" s="163"/>
      <c r="DB23" s="163"/>
      <c r="DC23" s="163"/>
      <c r="DD23" s="163"/>
      <c r="DE23" s="163"/>
      <c r="DF23" s="163"/>
      <c r="DG23" s="163"/>
      <c r="DH23" s="163"/>
      <c r="DI23" s="163"/>
      <c r="DJ23" s="163"/>
      <c r="DK23" s="163"/>
      <c r="DL23" s="163"/>
      <c r="DM23" s="163"/>
      <c r="DN23" s="163"/>
      <c r="DO23" s="163"/>
      <c r="DP23" s="163"/>
      <c r="DQ23" s="163"/>
      <c r="DR23" s="163"/>
      <c r="DS23" s="163"/>
      <c r="DT23" s="163"/>
      <c r="DU23" s="163"/>
      <c r="DV23" s="163"/>
      <c r="DW23" s="163"/>
      <c r="DX23" s="163"/>
      <c r="DY23" s="163"/>
      <c r="DZ23" s="163"/>
      <c r="EA23" s="163"/>
      <c r="EB23" s="163"/>
      <c r="EC23" s="163"/>
      <c r="ED23" s="163"/>
      <c r="EE23" s="163"/>
      <c r="EF23" s="163"/>
      <c r="EG23" s="163"/>
      <c r="EH23" s="163"/>
      <c r="EI23" s="163"/>
      <c r="EJ23" s="163"/>
      <c r="EK23" s="163"/>
      <c r="EL23" s="163"/>
      <c r="EM23" s="163"/>
      <c r="EN23" s="163"/>
      <c r="EO23" s="163"/>
      <c r="EP23" s="163"/>
      <c r="EQ23" s="163"/>
      <c r="ER23" s="163"/>
      <c r="ES23" s="163"/>
      <c r="ET23" s="163"/>
      <c r="EU23" s="163"/>
      <c r="EV23" s="163"/>
      <c r="EW23" s="163"/>
      <c r="EX23" s="163"/>
      <c r="EY23" s="163"/>
      <c r="EZ23" s="163"/>
      <c r="FA23" s="163"/>
      <c r="FB23" s="163"/>
      <c r="FC23" s="163"/>
      <c r="FD23" s="163"/>
      <c r="FE23" s="163"/>
      <c r="FF23" s="163"/>
      <c r="FG23" s="163"/>
      <c r="FH23" s="163"/>
      <c r="FI23" s="163"/>
      <c r="FJ23" s="163"/>
      <c r="FK23" s="163"/>
      <c r="FL23" s="163"/>
      <c r="FM23" s="163"/>
      <c r="FN23" s="163"/>
      <c r="FO23" s="163"/>
      <c r="FP23" s="163"/>
      <c r="FQ23" s="163"/>
      <c r="FR23" s="163"/>
      <c r="FS23" s="163"/>
      <c r="FT23" s="163"/>
      <c r="FU23" s="163"/>
      <c r="FV23" s="163"/>
      <c r="FW23" s="163"/>
      <c r="FX23" s="163"/>
      <c r="FY23" s="163"/>
      <c r="FZ23" s="163"/>
      <c r="GA23" s="163"/>
      <c r="GB23" s="163"/>
      <c r="GC23" s="163"/>
      <c r="GD23" s="163"/>
      <c r="GE23" s="163"/>
      <c r="GF23" s="163"/>
      <c r="GG23" s="163"/>
      <c r="GH23" s="163"/>
      <c r="GI23" s="163"/>
      <c r="GJ23" s="163"/>
      <c r="GK23" s="163"/>
      <c r="GL23" s="163"/>
      <c r="GM23" s="163"/>
      <c r="GN23" s="163"/>
      <c r="GO23" s="163"/>
      <c r="GP23" s="163"/>
      <c r="GQ23" s="163"/>
      <c r="GR23" s="163"/>
      <c r="GS23" s="163"/>
      <c r="GT23" s="163"/>
      <c r="GU23" s="163"/>
      <c r="GV23" s="163"/>
      <c r="GW23" s="163"/>
      <c r="GX23" s="163"/>
      <c r="GY23" s="163"/>
      <c r="GZ23" s="163"/>
      <c r="HC23" s="303"/>
      <c r="HD23" s="304"/>
      <c r="HE23" s="304"/>
      <c r="HF23" s="304"/>
      <c r="HG23" s="304"/>
      <c r="HH23" s="304"/>
      <c r="HI23" s="304"/>
      <c r="HJ23" s="304"/>
      <c r="HK23" s="304"/>
      <c r="HL23" s="304"/>
      <c r="HM23" s="304"/>
      <c r="HN23" s="304"/>
      <c r="HO23" s="304"/>
      <c r="HP23" s="304"/>
      <c r="HQ23" s="304"/>
      <c r="HR23" s="304"/>
      <c r="HS23" s="304"/>
      <c r="HT23" s="304"/>
      <c r="HU23" s="304"/>
      <c r="HV23" s="304"/>
      <c r="HW23" s="304"/>
      <c r="HX23" s="304"/>
      <c r="HY23" s="304"/>
      <c r="HZ23" s="304"/>
      <c r="IA23" s="304"/>
      <c r="IB23" s="304"/>
      <c r="IC23" s="304"/>
      <c r="ID23" s="304"/>
      <c r="IE23" s="304"/>
      <c r="IF23" s="304"/>
      <c r="IG23" s="304"/>
      <c r="IH23" s="304"/>
      <c r="II23" s="304"/>
      <c r="IJ23" s="304"/>
      <c r="IK23" s="304"/>
      <c r="IL23" s="304"/>
      <c r="IM23" s="304"/>
      <c r="IN23" s="304"/>
      <c r="IO23" s="304"/>
      <c r="IP23" s="304"/>
      <c r="IQ23" s="305"/>
      <c r="IR23" s="309"/>
      <c r="IS23" s="309"/>
      <c r="IT23" s="309"/>
      <c r="IU23" s="309"/>
      <c r="IV23" s="163"/>
      <c r="IW23" s="163"/>
      <c r="IX23" s="163"/>
      <c r="IY23" s="163"/>
      <c r="IZ23" s="163"/>
      <c r="JA23" s="163"/>
      <c r="JB23" s="163"/>
      <c r="JC23" s="163"/>
      <c r="JD23" s="163"/>
      <c r="JE23" s="163"/>
      <c r="JF23" s="163"/>
      <c r="JG23" s="163"/>
      <c r="JH23" s="163"/>
      <c r="JI23" s="163"/>
      <c r="JJ23" s="163"/>
      <c r="JK23" s="163"/>
      <c r="JL23" s="163"/>
      <c r="JM23" s="163"/>
      <c r="JN23" s="163"/>
      <c r="JO23" s="163"/>
      <c r="JP23" s="163"/>
      <c r="JQ23" s="163"/>
      <c r="JR23" s="163"/>
      <c r="JS23" s="163"/>
      <c r="JT23" s="163"/>
      <c r="JU23" s="163"/>
      <c r="JV23" s="163"/>
      <c r="JW23" s="163"/>
      <c r="JX23" s="163"/>
      <c r="JY23" s="163"/>
      <c r="JZ23" s="163"/>
      <c r="KA23" s="163"/>
      <c r="KB23" s="163"/>
      <c r="KC23" s="163"/>
      <c r="KD23" s="163"/>
      <c r="KE23" s="163"/>
      <c r="KF23" s="163"/>
      <c r="KG23" s="163"/>
      <c r="KH23" s="163"/>
      <c r="KI23" s="163"/>
      <c r="KJ23" s="163"/>
      <c r="KK23" s="163"/>
      <c r="KL23" s="163"/>
      <c r="KM23" s="163"/>
      <c r="KN23" s="163"/>
      <c r="KO23" s="163"/>
      <c r="LC23" s="163"/>
      <c r="LD23" s="163"/>
      <c r="LE23" s="163"/>
      <c r="LF23" s="163"/>
      <c r="LG23" s="163"/>
      <c r="LH23" s="163"/>
      <c r="LI23" s="163"/>
      <c r="LJ23" s="163"/>
      <c r="LK23" s="163"/>
      <c r="LL23" s="163"/>
      <c r="LM23" s="163"/>
      <c r="LN23" s="163"/>
      <c r="LO23" s="163"/>
      <c r="LP23" s="163"/>
      <c r="LQ23" s="163"/>
      <c r="LR23" s="163"/>
      <c r="LS23" s="163"/>
      <c r="LT23" s="163"/>
      <c r="LU23" s="163"/>
      <c r="LV23" s="163"/>
      <c r="LW23" s="163"/>
      <c r="LX23" s="163"/>
      <c r="LY23" s="163"/>
      <c r="LZ23" s="163"/>
      <c r="MA23" s="163"/>
      <c r="MB23" s="163"/>
      <c r="MC23" s="163"/>
      <c r="MD23" s="163"/>
      <c r="ME23" s="163"/>
      <c r="MF23" s="163"/>
      <c r="MG23" s="163"/>
      <c r="MH23" s="163"/>
      <c r="MI23" s="163"/>
      <c r="MJ23" s="163"/>
      <c r="MK23" s="163"/>
      <c r="ML23" s="163"/>
      <c r="MM23" s="163"/>
      <c r="QK23" s="163"/>
      <c r="QL23" s="163"/>
      <c r="QM23" s="163"/>
      <c r="QN23" s="163"/>
      <c r="QO23" s="163"/>
      <c r="QP23" s="163"/>
      <c r="QQ23" s="165"/>
      <c r="QR23" s="166"/>
    </row>
    <row r="24" spans="3:460" ht="5.15" customHeight="1" x14ac:dyDescent="0.35">
      <c r="C24" s="161"/>
      <c r="D24" s="162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3"/>
      <c r="BF24" s="163"/>
      <c r="BG24" s="163"/>
      <c r="BH24" s="163"/>
      <c r="BI24" s="163"/>
      <c r="BJ24" s="163"/>
      <c r="BK24" s="163"/>
      <c r="BL24" s="163"/>
      <c r="BM24" s="163"/>
      <c r="BN24" s="163"/>
      <c r="BO24" s="163"/>
      <c r="BP24" s="163"/>
      <c r="BQ24" s="163"/>
      <c r="BR24" s="163"/>
      <c r="BS24" s="163"/>
      <c r="BT24" s="163"/>
      <c r="BU24" s="163"/>
      <c r="BV24" s="163"/>
      <c r="BW24" s="163"/>
      <c r="BX24" s="163"/>
      <c r="BY24" s="163"/>
      <c r="BZ24" s="163"/>
      <c r="CA24" s="163"/>
      <c r="CB24" s="163"/>
      <c r="CC24" s="163"/>
      <c r="CD24" s="163"/>
      <c r="CE24" s="163"/>
      <c r="CF24" s="163"/>
      <c r="CG24" s="163"/>
      <c r="CH24" s="163"/>
      <c r="CI24" s="163"/>
      <c r="CJ24" s="163"/>
      <c r="CK24" s="163"/>
      <c r="CL24" s="163"/>
      <c r="CM24" s="163"/>
      <c r="CN24" s="163"/>
      <c r="CO24" s="163"/>
      <c r="CP24" s="163"/>
      <c r="CQ24" s="163"/>
      <c r="CR24" s="163"/>
      <c r="CS24" s="163"/>
      <c r="CT24" s="163"/>
      <c r="CU24" s="163"/>
      <c r="CV24" s="163"/>
      <c r="CW24" s="163"/>
      <c r="CX24" s="163"/>
      <c r="CY24" s="163"/>
      <c r="CZ24" s="163"/>
      <c r="DA24" s="163"/>
      <c r="DB24" s="163"/>
      <c r="DC24" s="163"/>
      <c r="DD24" s="163"/>
      <c r="DE24" s="163"/>
      <c r="DF24" s="163"/>
      <c r="DG24" s="163"/>
      <c r="DH24" s="163"/>
      <c r="DI24" s="163"/>
      <c r="DJ24" s="163"/>
      <c r="DK24" s="163"/>
      <c r="DL24" s="163"/>
      <c r="DM24" s="163"/>
      <c r="DN24" s="163"/>
      <c r="DO24" s="163"/>
      <c r="DP24" s="163"/>
      <c r="DQ24" s="163"/>
      <c r="DR24" s="163"/>
      <c r="DS24" s="163"/>
      <c r="DT24" s="163"/>
      <c r="DU24" s="163"/>
      <c r="DV24" s="163"/>
      <c r="DW24" s="163"/>
      <c r="DX24" s="163"/>
      <c r="DY24" s="163"/>
      <c r="DZ24" s="163"/>
      <c r="EA24" s="163"/>
      <c r="EB24" s="163"/>
      <c r="EC24" s="163"/>
      <c r="ED24" s="163"/>
      <c r="EE24" s="163"/>
      <c r="EF24" s="163"/>
      <c r="EG24" s="163"/>
      <c r="EH24" s="163"/>
      <c r="EI24" s="163"/>
      <c r="EJ24" s="163"/>
      <c r="EK24" s="163"/>
      <c r="EL24" s="163"/>
      <c r="EM24" s="163"/>
      <c r="EN24" s="163"/>
      <c r="EO24" s="163"/>
      <c r="EP24" s="163"/>
      <c r="EQ24" s="163"/>
      <c r="ER24" s="163"/>
      <c r="ES24" s="163"/>
      <c r="ET24" s="163"/>
      <c r="EU24" s="163"/>
      <c r="EV24" s="163"/>
      <c r="EW24" s="163"/>
      <c r="EX24" s="163"/>
      <c r="EY24" s="163"/>
      <c r="EZ24" s="163"/>
      <c r="FA24" s="163"/>
      <c r="FB24" s="163"/>
      <c r="FC24" s="163"/>
      <c r="FD24" s="163"/>
      <c r="FE24" s="163"/>
      <c r="FF24" s="163"/>
      <c r="FG24" s="163"/>
      <c r="FH24" s="163"/>
      <c r="FI24" s="163"/>
      <c r="FJ24" s="163"/>
      <c r="FK24" s="163"/>
      <c r="FL24" s="163"/>
      <c r="FM24" s="163"/>
      <c r="FN24" s="163"/>
      <c r="FO24" s="163"/>
      <c r="FP24" s="163"/>
      <c r="FQ24" s="163"/>
      <c r="FR24" s="163"/>
      <c r="FS24" s="163"/>
      <c r="FT24" s="163"/>
      <c r="FU24" s="163"/>
      <c r="FV24" s="163"/>
      <c r="FW24" s="163"/>
      <c r="FX24" s="163"/>
      <c r="FY24" s="163"/>
      <c r="FZ24" s="163"/>
      <c r="GA24" s="163"/>
      <c r="GB24" s="163"/>
      <c r="GC24" s="163"/>
      <c r="GD24" s="163"/>
      <c r="GE24" s="163"/>
      <c r="GF24" s="163"/>
      <c r="GG24" s="163"/>
      <c r="GH24" s="163"/>
      <c r="GI24" s="163"/>
      <c r="GJ24" s="163"/>
      <c r="GK24" s="163"/>
      <c r="GL24" s="163"/>
      <c r="GM24" s="163"/>
      <c r="GN24" s="163"/>
      <c r="GO24" s="163"/>
      <c r="GP24" s="163"/>
      <c r="GQ24" s="163"/>
      <c r="GR24" s="163"/>
      <c r="GS24" s="163"/>
      <c r="GT24" s="163"/>
      <c r="GU24" s="163"/>
      <c r="GV24" s="163"/>
      <c r="GW24" s="163"/>
      <c r="GX24" s="163"/>
      <c r="GY24" s="163"/>
      <c r="GZ24" s="163"/>
      <c r="HC24" s="303"/>
      <c r="HD24" s="304"/>
      <c r="HE24" s="304"/>
      <c r="HF24" s="304"/>
      <c r="HG24" s="304"/>
      <c r="HH24" s="304"/>
      <c r="HI24" s="304"/>
      <c r="HJ24" s="304"/>
      <c r="HK24" s="304"/>
      <c r="HL24" s="304"/>
      <c r="HM24" s="304"/>
      <c r="HN24" s="304"/>
      <c r="HO24" s="304"/>
      <c r="HP24" s="304"/>
      <c r="HQ24" s="304"/>
      <c r="HR24" s="304"/>
      <c r="HS24" s="304"/>
      <c r="HT24" s="304"/>
      <c r="HU24" s="304"/>
      <c r="HV24" s="304"/>
      <c r="HW24" s="304"/>
      <c r="HX24" s="304"/>
      <c r="HY24" s="304"/>
      <c r="HZ24" s="304"/>
      <c r="IA24" s="304"/>
      <c r="IB24" s="304"/>
      <c r="IC24" s="304"/>
      <c r="ID24" s="304"/>
      <c r="IE24" s="304"/>
      <c r="IF24" s="304"/>
      <c r="IG24" s="304"/>
      <c r="IH24" s="304"/>
      <c r="II24" s="304"/>
      <c r="IJ24" s="304"/>
      <c r="IK24" s="304"/>
      <c r="IL24" s="304"/>
      <c r="IM24" s="304"/>
      <c r="IN24" s="304"/>
      <c r="IO24" s="304"/>
      <c r="IP24" s="304"/>
      <c r="IQ24" s="305"/>
      <c r="IR24" s="309"/>
      <c r="IS24" s="309"/>
      <c r="IT24" s="309"/>
      <c r="IU24" s="309"/>
      <c r="IV24" s="163"/>
      <c r="IW24" s="163"/>
      <c r="IX24" s="163"/>
      <c r="IY24" s="163"/>
      <c r="IZ24" s="163"/>
      <c r="JA24" s="163"/>
      <c r="JB24" s="163"/>
      <c r="JC24" s="163"/>
      <c r="JD24" s="163"/>
      <c r="JE24" s="163"/>
      <c r="JF24" s="163"/>
      <c r="JG24" s="163"/>
      <c r="JH24" s="163"/>
      <c r="JI24" s="163"/>
      <c r="JJ24" s="163"/>
      <c r="JK24" s="163"/>
      <c r="JL24" s="163"/>
      <c r="JM24" s="163"/>
      <c r="JN24" s="163"/>
      <c r="JO24" s="163"/>
      <c r="JP24" s="163"/>
      <c r="JQ24" s="163"/>
      <c r="JR24" s="163"/>
      <c r="JS24" s="163"/>
      <c r="JT24" s="163"/>
      <c r="JU24" s="163"/>
      <c r="JV24" s="163"/>
      <c r="JW24" s="163"/>
      <c r="JX24" s="163"/>
      <c r="JY24" s="163"/>
      <c r="JZ24" s="163"/>
      <c r="KA24" s="163"/>
      <c r="KB24" s="163"/>
      <c r="KC24" s="163"/>
      <c r="KD24" s="163"/>
      <c r="KE24" s="163"/>
      <c r="KF24" s="163"/>
      <c r="KG24" s="163"/>
      <c r="KH24" s="163"/>
      <c r="KI24" s="163"/>
      <c r="KJ24" s="163"/>
      <c r="KK24" s="163"/>
      <c r="KL24" s="163"/>
      <c r="KM24" s="163"/>
      <c r="KN24" s="163"/>
      <c r="KO24" s="163"/>
      <c r="LC24" s="163"/>
      <c r="LD24" s="163"/>
      <c r="LE24" s="163"/>
      <c r="LF24" s="163"/>
      <c r="LG24" s="163"/>
      <c r="LH24" s="163"/>
      <c r="LI24" s="163"/>
      <c r="LJ24" s="163"/>
      <c r="LK24" s="163"/>
      <c r="LL24" s="163"/>
      <c r="LM24" s="163"/>
      <c r="LN24" s="163"/>
      <c r="LO24" s="163"/>
      <c r="LP24" s="163"/>
      <c r="LQ24" s="163"/>
      <c r="LR24" s="163"/>
      <c r="LS24" s="163"/>
      <c r="LT24" s="163"/>
      <c r="LU24" s="163"/>
      <c r="LV24" s="163"/>
      <c r="LW24" s="163"/>
      <c r="LX24" s="163"/>
      <c r="LY24" s="163"/>
      <c r="LZ24" s="163"/>
      <c r="MA24" s="163"/>
      <c r="MB24" s="163"/>
      <c r="MC24" s="163"/>
      <c r="MD24" s="163"/>
      <c r="ME24" s="163"/>
      <c r="MF24" s="163"/>
      <c r="MG24" s="163"/>
      <c r="MH24" s="163"/>
      <c r="MI24" s="163"/>
      <c r="MJ24" s="163"/>
      <c r="MK24" s="163"/>
      <c r="ML24" s="163"/>
      <c r="MM24" s="163"/>
      <c r="QK24" s="163"/>
      <c r="QL24" s="163"/>
      <c r="QM24" s="163"/>
      <c r="QN24" s="163"/>
      <c r="QO24" s="163"/>
      <c r="QP24" s="163"/>
      <c r="QQ24" s="165"/>
      <c r="QR24" s="166"/>
    </row>
    <row r="25" spans="3:460" ht="5.15" customHeight="1" x14ac:dyDescent="0.35">
      <c r="C25" s="161"/>
      <c r="D25" s="162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3"/>
      <c r="BF25" s="163"/>
      <c r="BG25" s="163"/>
      <c r="BH25" s="163"/>
      <c r="BI25" s="163"/>
      <c r="BJ25" s="163"/>
      <c r="BK25" s="163"/>
      <c r="BL25" s="163"/>
      <c r="BM25" s="163"/>
      <c r="BN25" s="163"/>
      <c r="BO25" s="163"/>
      <c r="BP25" s="163"/>
      <c r="BQ25" s="163"/>
      <c r="BR25" s="163"/>
      <c r="BS25" s="163"/>
      <c r="BT25" s="163"/>
      <c r="BU25" s="163"/>
      <c r="BV25" s="163"/>
      <c r="BW25" s="163"/>
      <c r="BX25" s="163"/>
      <c r="BY25" s="163"/>
      <c r="BZ25" s="163"/>
      <c r="CA25" s="163"/>
      <c r="CB25" s="163"/>
      <c r="CC25" s="163"/>
      <c r="CD25" s="163"/>
      <c r="CE25" s="163"/>
      <c r="CF25" s="163"/>
      <c r="CG25" s="163"/>
      <c r="CH25" s="163"/>
      <c r="CI25" s="163"/>
      <c r="CJ25" s="163"/>
      <c r="CK25" s="163"/>
      <c r="CL25" s="163"/>
      <c r="CM25" s="163"/>
      <c r="CN25" s="163"/>
      <c r="CO25" s="163"/>
      <c r="CP25" s="163"/>
      <c r="CQ25" s="163"/>
      <c r="CR25" s="163"/>
      <c r="CS25" s="163"/>
      <c r="CT25" s="163"/>
      <c r="CU25" s="163"/>
      <c r="CV25" s="163"/>
      <c r="CW25" s="163"/>
      <c r="CX25" s="163"/>
      <c r="CY25" s="163"/>
      <c r="CZ25" s="163"/>
      <c r="DA25" s="163"/>
      <c r="DB25" s="163"/>
      <c r="DC25" s="163"/>
      <c r="DD25" s="163"/>
      <c r="DE25" s="163"/>
      <c r="DF25" s="163"/>
      <c r="DG25" s="163"/>
      <c r="DH25" s="163"/>
      <c r="DI25" s="163"/>
      <c r="DJ25" s="163"/>
      <c r="DK25" s="163"/>
      <c r="DL25" s="163"/>
      <c r="DM25" s="163"/>
      <c r="DN25" s="163"/>
      <c r="DO25" s="163"/>
      <c r="DP25" s="163"/>
      <c r="DQ25" s="163"/>
      <c r="DR25" s="163"/>
      <c r="DS25" s="163"/>
      <c r="DT25" s="163"/>
      <c r="DU25" s="163"/>
      <c r="DV25" s="163"/>
      <c r="DW25" s="163"/>
      <c r="DX25" s="163"/>
      <c r="DY25" s="163"/>
      <c r="DZ25" s="163"/>
      <c r="EA25" s="163"/>
      <c r="EB25" s="163"/>
      <c r="EC25" s="163"/>
      <c r="ED25" s="163"/>
      <c r="EE25" s="163"/>
      <c r="EF25" s="163"/>
      <c r="EG25" s="163"/>
      <c r="EH25" s="163"/>
      <c r="EI25" s="163"/>
      <c r="EJ25" s="163"/>
      <c r="EK25" s="163"/>
      <c r="EL25" s="163"/>
      <c r="EM25" s="163"/>
      <c r="EN25" s="163"/>
      <c r="EO25" s="163"/>
      <c r="EP25" s="163"/>
      <c r="EQ25" s="163"/>
      <c r="ER25" s="163"/>
      <c r="ES25" s="163"/>
      <c r="ET25" s="163"/>
      <c r="EU25" s="163"/>
      <c r="EV25" s="163"/>
      <c r="EW25" s="163"/>
      <c r="EX25" s="163"/>
      <c r="EY25" s="163"/>
      <c r="EZ25" s="163"/>
      <c r="FA25" s="163"/>
      <c r="FB25" s="163"/>
      <c r="FC25" s="163"/>
      <c r="FD25" s="163"/>
      <c r="FE25" s="163"/>
      <c r="FF25" s="163"/>
      <c r="FG25" s="163"/>
      <c r="FH25" s="163"/>
      <c r="FI25" s="163"/>
      <c r="FJ25" s="163"/>
      <c r="FK25" s="163"/>
      <c r="FL25" s="163"/>
      <c r="FM25" s="163"/>
      <c r="FN25" s="163"/>
      <c r="FO25" s="163"/>
      <c r="FP25" s="163"/>
      <c r="FQ25" s="163"/>
      <c r="FR25" s="163"/>
      <c r="FS25" s="163"/>
      <c r="FT25" s="163"/>
      <c r="FU25" s="163"/>
      <c r="FV25" s="163"/>
      <c r="FW25" s="163"/>
      <c r="FX25" s="163"/>
      <c r="FY25" s="163"/>
      <c r="FZ25" s="163"/>
      <c r="GA25" s="163"/>
      <c r="GB25" s="163"/>
      <c r="GC25" s="163"/>
      <c r="GD25" s="163"/>
      <c r="GE25" s="163"/>
      <c r="GF25" s="163"/>
      <c r="GG25" s="163"/>
      <c r="GH25" s="163"/>
      <c r="GI25" s="163"/>
      <c r="GJ25" s="163"/>
      <c r="GK25" s="163"/>
      <c r="GL25" s="163"/>
      <c r="GM25" s="163"/>
      <c r="GN25" s="163"/>
      <c r="GO25" s="163"/>
      <c r="GP25" s="163"/>
      <c r="GQ25" s="163"/>
      <c r="GR25" s="163"/>
      <c r="GS25" s="163"/>
      <c r="GT25" s="163"/>
      <c r="GU25" s="163"/>
      <c r="GV25" s="163"/>
      <c r="GW25" s="163"/>
      <c r="GX25" s="163"/>
      <c r="GY25" s="163"/>
      <c r="GZ25" s="163"/>
      <c r="HC25" s="303"/>
      <c r="HD25" s="304"/>
      <c r="HE25" s="304"/>
      <c r="HF25" s="304"/>
      <c r="HG25" s="304"/>
      <c r="HH25" s="304"/>
      <c r="HI25" s="304"/>
      <c r="HJ25" s="304"/>
      <c r="HK25" s="304"/>
      <c r="HL25" s="304"/>
      <c r="HM25" s="304"/>
      <c r="HN25" s="304"/>
      <c r="HO25" s="304"/>
      <c r="HP25" s="304"/>
      <c r="HQ25" s="304"/>
      <c r="HR25" s="304"/>
      <c r="HS25" s="304"/>
      <c r="HT25" s="304"/>
      <c r="HU25" s="304"/>
      <c r="HV25" s="304"/>
      <c r="HW25" s="304"/>
      <c r="HX25" s="304"/>
      <c r="HY25" s="304"/>
      <c r="HZ25" s="304"/>
      <c r="IA25" s="304"/>
      <c r="IB25" s="304"/>
      <c r="IC25" s="304"/>
      <c r="ID25" s="304"/>
      <c r="IE25" s="304"/>
      <c r="IF25" s="304"/>
      <c r="IG25" s="304"/>
      <c r="IH25" s="304"/>
      <c r="II25" s="304"/>
      <c r="IJ25" s="304"/>
      <c r="IK25" s="304"/>
      <c r="IL25" s="304"/>
      <c r="IM25" s="304"/>
      <c r="IN25" s="304"/>
      <c r="IO25" s="304"/>
      <c r="IP25" s="304"/>
      <c r="IQ25" s="305"/>
      <c r="IR25" s="309"/>
      <c r="IS25" s="309"/>
      <c r="IT25" s="309"/>
      <c r="IU25" s="309"/>
      <c r="KA25" s="163"/>
      <c r="KB25" s="163"/>
      <c r="KC25" s="163"/>
      <c r="KD25" s="163"/>
      <c r="KE25" s="163"/>
      <c r="KF25" s="163"/>
      <c r="KG25" s="163"/>
      <c r="KH25" s="163"/>
      <c r="KI25" s="163"/>
      <c r="KJ25" s="163"/>
      <c r="KK25" s="163"/>
      <c r="KL25" s="163"/>
      <c r="KM25" s="163"/>
      <c r="KN25" s="163"/>
      <c r="KO25" s="163"/>
      <c r="LC25" s="163"/>
      <c r="LD25" s="163"/>
      <c r="LE25" s="163"/>
      <c r="LF25" s="163"/>
      <c r="LG25" s="163"/>
      <c r="LH25" s="163"/>
      <c r="LI25" s="163"/>
      <c r="LJ25" s="163"/>
      <c r="LK25" s="163"/>
      <c r="LL25" s="163"/>
      <c r="LM25" s="163"/>
      <c r="LN25" s="163"/>
      <c r="LO25" s="163"/>
      <c r="LP25" s="163"/>
      <c r="LQ25" s="163"/>
      <c r="LR25" s="163"/>
      <c r="LS25" s="163"/>
      <c r="LT25" s="163"/>
      <c r="LU25" s="163"/>
      <c r="LV25" s="163"/>
      <c r="LW25" s="163"/>
      <c r="LX25" s="163"/>
      <c r="LY25" s="163"/>
      <c r="LZ25" s="163"/>
      <c r="MA25" s="163"/>
      <c r="MB25" s="163"/>
      <c r="MC25" s="163"/>
      <c r="MD25" s="163"/>
      <c r="ME25" s="163"/>
      <c r="MF25" s="163"/>
      <c r="MG25" s="163"/>
      <c r="MH25" s="163"/>
      <c r="MI25" s="163"/>
      <c r="MJ25" s="163"/>
      <c r="MK25" s="163"/>
      <c r="ML25" s="163"/>
      <c r="MM25" s="163"/>
      <c r="QK25" s="163"/>
      <c r="QL25" s="163"/>
      <c r="QM25" s="163"/>
      <c r="QN25" s="163"/>
      <c r="QO25" s="163"/>
      <c r="QP25" s="163"/>
      <c r="QQ25" s="165"/>
      <c r="QR25" s="166"/>
    </row>
    <row r="26" spans="3:460" ht="5.15" customHeight="1" x14ac:dyDescent="0.35">
      <c r="C26" s="161"/>
      <c r="D26" s="162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3"/>
      <c r="BF26" s="163"/>
      <c r="BG26" s="163"/>
      <c r="BH26" s="163"/>
      <c r="BI26" s="163"/>
      <c r="BJ26" s="163"/>
      <c r="BK26" s="163"/>
      <c r="BL26" s="163"/>
      <c r="BM26" s="163"/>
      <c r="BN26" s="163"/>
      <c r="BO26" s="163"/>
      <c r="BP26" s="163"/>
      <c r="BQ26" s="163"/>
      <c r="BR26" s="163"/>
      <c r="BS26" s="163"/>
      <c r="BT26" s="163"/>
      <c r="BU26" s="163"/>
      <c r="BV26" s="163"/>
      <c r="BW26" s="163"/>
      <c r="BX26" s="163"/>
      <c r="BY26" s="163"/>
      <c r="BZ26" s="163"/>
      <c r="CA26" s="163"/>
      <c r="CB26" s="163"/>
      <c r="CC26" s="163"/>
      <c r="CD26" s="163"/>
      <c r="CE26" s="163"/>
      <c r="CF26" s="163"/>
      <c r="CG26" s="163"/>
      <c r="CH26" s="163"/>
      <c r="CI26" s="163"/>
      <c r="CJ26" s="163"/>
      <c r="CK26" s="163"/>
      <c r="CL26" s="163"/>
      <c r="CM26" s="163"/>
      <c r="CN26" s="163"/>
      <c r="CO26" s="163"/>
      <c r="CP26" s="163"/>
      <c r="CQ26" s="163"/>
      <c r="CR26" s="163"/>
      <c r="CS26" s="163"/>
      <c r="CT26" s="163"/>
      <c r="CU26" s="163"/>
      <c r="CV26" s="163"/>
      <c r="CW26" s="163"/>
      <c r="CX26" s="163"/>
      <c r="CY26" s="163"/>
      <c r="CZ26" s="163"/>
      <c r="DA26" s="163"/>
      <c r="DB26" s="163"/>
      <c r="DC26" s="163"/>
      <c r="DD26" s="163"/>
      <c r="DE26" s="163"/>
      <c r="DF26" s="163"/>
      <c r="DG26" s="163"/>
      <c r="DH26" s="163"/>
      <c r="DI26" s="163"/>
      <c r="DJ26" s="163"/>
      <c r="DK26" s="163"/>
      <c r="DL26" s="163"/>
      <c r="DM26" s="163"/>
      <c r="DN26" s="163"/>
      <c r="DO26" s="163"/>
      <c r="DP26" s="163"/>
      <c r="DQ26" s="163"/>
      <c r="DR26" s="163"/>
      <c r="DS26" s="163"/>
      <c r="DT26" s="163"/>
      <c r="DU26" s="163"/>
      <c r="DV26" s="163"/>
      <c r="DW26" s="163"/>
      <c r="DX26" s="163"/>
      <c r="DY26" s="163"/>
      <c r="DZ26" s="163"/>
      <c r="EA26" s="163"/>
      <c r="EB26" s="163"/>
      <c r="EC26" s="163"/>
      <c r="ED26" s="163"/>
      <c r="EE26" s="163"/>
      <c r="EF26" s="163"/>
      <c r="EG26" s="163"/>
      <c r="EH26" s="163"/>
      <c r="EI26" s="163"/>
      <c r="EJ26" s="163"/>
      <c r="EK26" s="163"/>
      <c r="EL26" s="163"/>
      <c r="EM26" s="163"/>
      <c r="EN26" s="163"/>
      <c r="EO26" s="163"/>
      <c r="EP26" s="163"/>
      <c r="EQ26" s="163"/>
      <c r="ER26" s="163"/>
      <c r="ES26" s="163"/>
      <c r="ET26" s="163"/>
      <c r="EU26" s="163"/>
      <c r="EV26" s="163"/>
      <c r="HC26" s="303"/>
      <c r="HD26" s="304"/>
      <c r="HE26" s="304"/>
      <c r="HF26" s="304"/>
      <c r="HG26" s="304"/>
      <c r="HH26" s="304"/>
      <c r="HI26" s="304"/>
      <c r="HJ26" s="304"/>
      <c r="HK26" s="304"/>
      <c r="HL26" s="304"/>
      <c r="HM26" s="304"/>
      <c r="HN26" s="304"/>
      <c r="HO26" s="304"/>
      <c r="HP26" s="304"/>
      <c r="HQ26" s="304"/>
      <c r="HR26" s="304"/>
      <c r="HS26" s="304"/>
      <c r="HT26" s="304"/>
      <c r="HU26" s="304"/>
      <c r="HV26" s="304"/>
      <c r="HW26" s="304"/>
      <c r="HX26" s="304"/>
      <c r="HY26" s="304"/>
      <c r="HZ26" s="304"/>
      <c r="IA26" s="304"/>
      <c r="IB26" s="304"/>
      <c r="IC26" s="304"/>
      <c r="ID26" s="304"/>
      <c r="IE26" s="304"/>
      <c r="IF26" s="304"/>
      <c r="IG26" s="304"/>
      <c r="IH26" s="304"/>
      <c r="II26" s="304"/>
      <c r="IJ26" s="304"/>
      <c r="IK26" s="304"/>
      <c r="IL26" s="304"/>
      <c r="IM26" s="304"/>
      <c r="IN26" s="304"/>
      <c r="IO26" s="304"/>
      <c r="IP26" s="304"/>
      <c r="IQ26" s="305"/>
      <c r="IR26" s="309"/>
      <c r="IS26" s="309"/>
      <c r="IT26" s="309"/>
      <c r="IU26" s="309"/>
      <c r="KA26" s="163"/>
      <c r="KB26" s="163"/>
      <c r="KC26" s="163"/>
      <c r="KD26" s="163"/>
      <c r="KE26" s="163"/>
      <c r="KF26" s="163"/>
      <c r="KG26" s="163"/>
      <c r="KH26" s="163"/>
      <c r="KI26" s="163"/>
      <c r="KJ26" s="163"/>
      <c r="KK26" s="163"/>
      <c r="KL26" s="163"/>
      <c r="KM26" s="163"/>
      <c r="KN26" s="163"/>
      <c r="KO26" s="163"/>
      <c r="LC26" s="163"/>
      <c r="LD26" s="163"/>
      <c r="LE26" s="163"/>
      <c r="LF26" s="163"/>
      <c r="LG26" s="163"/>
      <c r="LH26" s="163"/>
      <c r="LI26" s="163"/>
      <c r="LJ26" s="163"/>
      <c r="LK26" s="163"/>
      <c r="LL26" s="163"/>
      <c r="LM26" s="163"/>
      <c r="LN26" s="163"/>
      <c r="LO26" s="163"/>
      <c r="LP26" s="163"/>
      <c r="LQ26" s="163"/>
      <c r="LR26" s="163"/>
      <c r="LS26" s="163"/>
      <c r="LT26" s="163"/>
      <c r="LU26" s="163"/>
      <c r="LV26" s="163"/>
      <c r="LW26" s="163"/>
      <c r="LX26" s="163"/>
      <c r="LY26" s="163"/>
      <c r="LZ26" s="163"/>
      <c r="MA26" s="163"/>
      <c r="MB26" s="163"/>
      <c r="MC26" s="163"/>
      <c r="MD26" s="163"/>
      <c r="ME26" s="163"/>
      <c r="MF26" s="163"/>
      <c r="MG26" s="163"/>
      <c r="MH26" s="163"/>
      <c r="MI26" s="163"/>
      <c r="MJ26" s="163"/>
      <c r="MK26" s="163"/>
      <c r="ML26" s="163"/>
      <c r="MM26" s="163"/>
      <c r="QK26" s="163"/>
      <c r="QL26" s="163"/>
      <c r="QM26" s="163"/>
      <c r="QN26" s="163"/>
      <c r="QO26" s="163"/>
      <c r="QP26" s="163"/>
      <c r="QQ26" s="165"/>
      <c r="QR26" s="166"/>
    </row>
    <row r="27" spans="3:460" ht="5.15" customHeight="1" x14ac:dyDescent="0.35">
      <c r="C27" s="161"/>
      <c r="D27" s="162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3"/>
      <c r="BF27" s="163"/>
      <c r="BG27" s="163"/>
      <c r="BH27" s="163"/>
      <c r="BI27" s="163"/>
      <c r="BJ27" s="163"/>
      <c r="BK27" s="163"/>
      <c r="BL27" s="163"/>
      <c r="BM27" s="163"/>
      <c r="BN27" s="163"/>
      <c r="BO27" s="163"/>
      <c r="BP27" s="163"/>
      <c r="BQ27" s="163"/>
      <c r="BR27" s="163"/>
      <c r="BS27" s="163"/>
      <c r="BT27" s="163"/>
      <c r="BU27" s="163"/>
      <c r="BV27" s="163"/>
      <c r="BW27" s="163"/>
      <c r="BX27" s="163"/>
      <c r="BY27" s="163"/>
      <c r="BZ27" s="163"/>
      <c r="CA27" s="163"/>
      <c r="CB27" s="163"/>
      <c r="CC27" s="163"/>
      <c r="CD27" s="163"/>
      <c r="CE27" s="163"/>
      <c r="CF27" s="163"/>
      <c r="CG27" s="163"/>
      <c r="CH27" s="163"/>
      <c r="CI27" s="163"/>
      <c r="CJ27" s="163"/>
      <c r="CK27" s="163"/>
      <c r="CL27" s="163"/>
      <c r="CM27" s="163"/>
      <c r="CN27" s="163"/>
      <c r="CO27" s="163"/>
      <c r="CP27" s="163"/>
      <c r="CQ27" s="163"/>
      <c r="CR27" s="163"/>
      <c r="CS27" s="163"/>
      <c r="CT27" s="163"/>
      <c r="CU27" s="163"/>
      <c r="CV27" s="163"/>
      <c r="CW27" s="163"/>
      <c r="CX27" s="163"/>
      <c r="CY27" s="163"/>
      <c r="CZ27" s="163"/>
      <c r="DA27" s="163"/>
      <c r="DB27" s="163"/>
      <c r="DC27" s="163"/>
      <c r="DD27" s="163"/>
      <c r="DE27" s="163"/>
      <c r="DF27" s="163"/>
      <c r="DG27" s="163"/>
      <c r="DH27" s="163"/>
      <c r="DI27" s="163"/>
      <c r="DJ27" s="163"/>
      <c r="DK27" s="163"/>
      <c r="DL27" s="163"/>
      <c r="DM27" s="163"/>
      <c r="DN27" s="163"/>
      <c r="DO27" s="163"/>
      <c r="DP27" s="163"/>
      <c r="DQ27" s="163"/>
      <c r="DR27" s="163"/>
      <c r="DS27" s="163"/>
      <c r="DT27" s="163"/>
      <c r="DU27" s="163"/>
      <c r="DV27" s="163"/>
      <c r="DW27" s="163"/>
      <c r="DX27" s="163"/>
      <c r="DY27" s="163"/>
      <c r="DZ27" s="163"/>
      <c r="EA27" s="163"/>
      <c r="EB27" s="163"/>
      <c r="EC27" s="163"/>
      <c r="ED27" s="163"/>
      <c r="EE27" s="163"/>
      <c r="EF27" s="163"/>
      <c r="EG27" s="163"/>
      <c r="EH27" s="163"/>
      <c r="EI27" s="163"/>
      <c r="EJ27" s="163"/>
      <c r="EK27" s="163"/>
      <c r="EL27" s="163"/>
      <c r="EM27" s="163"/>
      <c r="EN27" s="163"/>
      <c r="EO27" s="163"/>
      <c r="EP27" s="163"/>
      <c r="EQ27" s="163"/>
      <c r="ER27" s="163"/>
      <c r="ES27" s="163"/>
      <c r="ET27" s="163"/>
      <c r="EU27" s="163"/>
      <c r="EV27" s="163"/>
      <c r="HC27" s="306"/>
      <c r="HD27" s="307"/>
      <c r="HE27" s="307"/>
      <c r="HF27" s="307"/>
      <c r="HG27" s="307"/>
      <c r="HH27" s="307"/>
      <c r="HI27" s="307"/>
      <c r="HJ27" s="307"/>
      <c r="HK27" s="307"/>
      <c r="HL27" s="307"/>
      <c r="HM27" s="307"/>
      <c r="HN27" s="307"/>
      <c r="HO27" s="307"/>
      <c r="HP27" s="307"/>
      <c r="HQ27" s="307"/>
      <c r="HR27" s="307"/>
      <c r="HS27" s="307"/>
      <c r="HT27" s="307"/>
      <c r="HU27" s="307"/>
      <c r="HV27" s="307"/>
      <c r="HW27" s="307"/>
      <c r="HX27" s="307"/>
      <c r="HY27" s="307"/>
      <c r="HZ27" s="307"/>
      <c r="IA27" s="307"/>
      <c r="IB27" s="307"/>
      <c r="IC27" s="307"/>
      <c r="ID27" s="307"/>
      <c r="IE27" s="307"/>
      <c r="IF27" s="307"/>
      <c r="IG27" s="307"/>
      <c r="IH27" s="307"/>
      <c r="II27" s="307"/>
      <c r="IJ27" s="307"/>
      <c r="IK27" s="307"/>
      <c r="IL27" s="307"/>
      <c r="IM27" s="307"/>
      <c r="IN27" s="307"/>
      <c r="IO27" s="307"/>
      <c r="IP27" s="307"/>
      <c r="IQ27" s="308"/>
      <c r="IR27" s="309"/>
      <c r="IS27" s="309"/>
      <c r="IT27" s="309"/>
      <c r="IU27" s="309"/>
      <c r="KA27" s="163"/>
      <c r="KB27" s="163"/>
      <c r="KC27" s="163"/>
      <c r="KD27" s="163"/>
      <c r="KE27" s="163"/>
      <c r="KF27" s="163"/>
      <c r="KG27" s="163"/>
      <c r="KH27" s="163"/>
      <c r="KI27" s="163"/>
      <c r="KJ27" s="163"/>
      <c r="KK27" s="163"/>
      <c r="KL27" s="163"/>
      <c r="KM27" s="163"/>
      <c r="KN27" s="163"/>
      <c r="KO27" s="163"/>
      <c r="LC27" s="163"/>
      <c r="LD27" s="163"/>
      <c r="LE27" s="163"/>
      <c r="LF27" s="163"/>
      <c r="LG27" s="163"/>
      <c r="LH27" s="163"/>
      <c r="LI27" s="163"/>
      <c r="LJ27" s="163"/>
      <c r="LK27" s="163"/>
      <c r="LL27" s="163"/>
      <c r="LM27" s="163"/>
      <c r="LN27" s="163"/>
      <c r="LO27" s="163"/>
      <c r="LP27" s="163"/>
      <c r="LQ27" s="163"/>
      <c r="LR27" s="163"/>
      <c r="LS27" s="163"/>
      <c r="LT27" s="163"/>
      <c r="LU27" s="163"/>
      <c r="LV27" s="163"/>
      <c r="LW27" s="163"/>
      <c r="LX27" s="163"/>
      <c r="LY27" s="163"/>
      <c r="LZ27" s="163"/>
      <c r="MA27" s="163"/>
      <c r="MB27" s="163"/>
      <c r="MC27" s="163"/>
      <c r="MD27" s="163"/>
      <c r="ME27" s="163"/>
      <c r="MF27" s="163"/>
      <c r="MG27" s="163"/>
      <c r="MH27" s="163"/>
      <c r="MI27" s="163"/>
      <c r="MJ27" s="163"/>
      <c r="MK27" s="163"/>
      <c r="ML27" s="163"/>
      <c r="MM27" s="163"/>
      <c r="QK27" s="163"/>
      <c r="QL27" s="163"/>
      <c r="QM27" s="163"/>
      <c r="QN27" s="163"/>
      <c r="QO27" s="163"/>
      <c r="QP27" s="163"/>
      <c r="QQ27" s="165"/>
      <c r="QR27" s="166"/>
    </row>
    <row r="28" spans="3:460" ht="5.15" customHeight="1" x14ac:dyDescent="0.35">
      <c r="C28" s="161"/>
      <c r="D28" s="162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3"/>
      <c r="BF28" s="163"/>
      <c r="BG28" s="163"/>
      <c r="BH28" s="163"/>
      <c r="BI28" s="163"/>
      <c r="BJ28" s="163"/>
      <c r="BK28" s="163"/>
      <c r="BL28" s="163"/>
      <c r="BM28" s="163"/>
      <c r="BN28" s="163"/>
      <c r="BO28" s="163"/>
      <c r="BP28" s="163"/>
      <c r="BQ28" s="163"/>
      <c r="BR28" s="163"/>
      <c r="BS28" s="163"/>
      <c r="BT28" s="163"/>
      <c r="BU28" s="163"/>
      <c r="BV28" s="163"/>
      <c r="BW28" s="163"/>
      <c r="BX28" s="163"/>
      <c r="BY28" s="163"/>
      <c r="BZ28" s="163"/>
      <c r="CA28" s="163"/>
      <c r="CB28" s="163"/>
      <c r="CC28" s="163"/>
      <c r="CD28" s="163"/>
      <c r="CE28" s="163"/>
      <c r="CF28" s="163"/>
      <c r="CG28" s="163"/>
      <c r="CH28" s="163"/>
      <c r="CI28" s="163"/>
      <c r="CJ28" s="163"/>
      <c r="CK28" s="163"/>
      <c r="CL28" s="163"/>
      <c r="CM28" s="163"/>
      <c r="CN28" s="163"/>
      <c r="CO28" s="163"/>
      <c r="CP28" s="163"/>
      <c r="CQ28" s="163"/>
      <c r="CR28" s="163"/>
      <c r="CS28" s="163"/>
      <c r="CT28" s="163"/>
      <c r="CU28" s="163"/>
      <c r="CV28" s="163"/>
      <c r="CW28" s="163"/>
      <c r="CX28" s="163"/>
      <c r="CY28" s="163"/>
      <c r="CZ28" s="163"/>
      <c r="DA28" s="163"/>
      <c r="DB28" s="163"/>
      <c r="DC28" s="163"/>
      <c r="DD28" s="163"/>
      <c r="DE28" s="163"/>
      <c r="DF28" s="163"/>
      <c r="DG28" s="163"/>
      <c r="DH28" s="163"/>
      <c r="DI28" s="163"/>
      <c r="DJ28" s="163"/>
      <c r="DK28" s="163"/>
      <c r="DL28" s="163"/>
      <c r="DM28" s="163"/>
      <c r="DN28" s="163"/>
      <c r="DO28" s="163"/>
      <c r="DP28" s="163"/>
      <c r="DQ28" s="163"/>
      <c r="DR28" s="163"/>
      <c r="DS28" s="163"/>
      <c r="DT28" s="163"/>
      <c r="DU28" s="163"/>
      <c r="DV28" s="163"/>
      <c r="DW28" s="163"/>
      <c r="DX28" s="163"/>
      <c r="DY28" s="163"/>
      <c r="DZ28" s="163"/>
      <c r="EA28" s="163"/>
      <c r="EB28" s="163"/>
      <c r="EC28" s="163"/>
      <c r="ED28" s="163"/>
      <c r="EE28" s="163"/>
      <c r="EF28" s="163"/>
      <c r="EG28" s="163"/>
      <c r="EH28" s="163"/>
      <c r="EI28" s="163"/>
      <c r="EJ28" s="163"/>
      <c r="EK28" s="163"/>
      <c r="EL28" s="163"/>
      <c r="EM28" s="163"/>
      <c r="EN28" s="163"/>
      <c r="EO28" s="163"/>
      <c r="EP28" s="163"/>
      <c r="EQ28" s="163"/>
      <c r="ER28" s="163"/>
      <c r="ES28" s="163"/>
      <c r="ET28" s="163"/>
      <c r="EU28" s="163"/>
      <c r="EV28" s="163"/>
      <c r="HA28" s="167"/>
      <c r="HK28" s="163"/>
      <c r="HL28" s="163"/>
      <c r="HM28" s="163"/>
      <c r="HN28" s="163"/>
      <c r="HO28" s="163"/>
      <c r="HP28" s="163"/>
      <c r="HQ28" s="163"/>
      <c r="HR28" s="163"/>
      <c r="HS28" s="163"/>
      <c r="HT28" s="163"/>
      <c r="HU28" s="163"/>
      <c r="HV28" s="163"/>
      <c r="HW28" s="168"/>
      <c r="HX28" s="163"/>
      <c r="HY28" s="163"/>
      <c r="HZ28" s="163"/>
      <c r="IA28" s="163"/>
      <c r="IB28" s="163"/>
      <c r="IC28" s="163"/>
      <c r="ID28" s="163"/>
      <c r="IE28" s="163"/>
      <c r="IF28" s="163"/>
      <c r="IG28" s="163"/>
      <c r="IH28" s="163"/>
      <c r="II28" s="163"/>
      <c r="JB28" s="164"/>
      <c r="JC28" s="164"/>
      <c r="JD28" s="164"/>
      <c r="JE28" s="164"/>
      <c r="JF28" s="164"/>
      <c r="JG28" s="164"/>
      <c r="JH28" s="164"/>
      <c r="JI28" s="164"/>
      <c r="KA28" s="163"/>
      <c r="KB28" s="163"/>
      <c r="KC28" s="163"/>
      <c r="KD28" s="163"/>
      <c r="KE28" s="163"/>
      <c r="KF28" s="163"/>
      <c r="KG28" s="163"/>
      <c r="KH28" s="163"/>
      <c r="KI28" s="163"/>
      <c r="KJ28" s="163"/>
      <c r="KK28" s="163"/>
      <c r="KL28" s="163"/>
      <c r="KM28" s="163"/>
      <c r="KN28" s="163"/>
      <c r="KO28" s="163"/>
      <c r="LC28" s="163"/>
      <c r="LD28" s="163"/>
      <c r="LE28" s="163"/>
      <c r="LF28" s="163"/>
      <c r="LG28" s="163"/>
      <c r="LH28" s="163"/>
      <c r="LI28" s="163"/>
      <c r="LJ28" s="163"/>
      <c r="LK28" s="163"/>
      <c r="LL28" s="163"/>
      <c r="LM28" s="163"/>
      <c r="LN28" s="163"/>
      <c r="LO28" s="163"/>
      <c r="LP28" s="163"/>
      <c r="LQ28" s="163"/>
      <c r="LR28" s="163"/>
      <c r="LS28" s="163"/>
      <c r="LT28" s="163"/>
      <c r="LU28" s="163"/>
      <c r="LV28" s="163"/>
      <c r="LW28" s="163"/>
      <c r="LX28" s="163"/>
      <c r="QK28" s="163"/>
      <c r="QL28" s="163"/>
      <c r="QM28" s="163"/>
      <c r="QN28" s="163"/>
      <c r="QO28" s="163"/>
      <c r="QP28" s="163"/>
      <c r="QQ28" s="165"/>
      <c r="QR28" s="166"/>
    </row>
    <row r="29" spans="3:460" ht="5.15" customHeight="1" x14ac:dyDescent="0.35">
      <c r="C29" s="161"/>
      <c r="D29" s="162"/>
      <c r="E29" s="164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3"/>
      <c r="BL29" s="163"/>
      <c r="BM29" s="163"/>
      <c r="BN29" s="163"/>
      <c r="BO29" s="163"/>
      <c r="BP29" s="163"/>
      <c r="BQ29" s="163"/>
      <c r="BR29" s="163"/>
      <c r="BS29" s="163"/>
      <c r="BT29" s="163"/>
      <c r="BU29" s="163"/>
      <c r="BV29" s="163"/>
      <c r="BW29" s="163"/>
      <c r="BX29" s="163"/>
      <c r="BY29" s="163"/>
      <c r="BZ29" s="163"/>
      <c r="CA29" s="163"/>
      <c r="CB29" s="163"/>
      <c r="CC29" s="163"/>
      <c r="CD29" s="163"/>
      <c r="CE29" s="163"/>
      <c r="CF29" s="163"/>
      <c r="CG29" s="163"/>
      <c r="CH29" s="163"/>
      <c r="CI29" s="163"/>
      <c r="CJ29" s="163"/>
      <c r="CK29" s="163"/>
      <c r="CL29" s="163"/>
      <c r="CM29" s="163"/>
      <c r="CN29" s="163"/>
      <c r="CO29" s="163"/>
      <c r="CP29" s="163"/>
      <c r="CQ29" s="163"/>
      <c r="CR29" s="163"/>
      <c r="CS29" s="163"/>
      <c r="CT29" s="163"/>
      <c r="CU29" s="163"/>
      <c r="CV29" s="163"/>
      <c r="CW29" s="163"/>
      <c r="CX29" s="163"/>
      <c r="CY29" s="163"/>
      <c r="CZ29" s="163"/>
      <c r="DA29" s="163"/>
      <c r="DB29" s="163"/>
      <c r="DC29" s="163"/>
      <c r="DD29" s="163"/>
      <c r="DE29" s="163"/>
      <c r="DF29" s="163"/>
      <c r="DG29" s="163"/>
      <c r="DH29" s="163"/>
      <c r="DI29" s="163"/>
      <c r="DJ29" s="163"/>
      <c r="DK29" s="163"/>
      <c r="DL29" s="163"/>
      <c r="DM29" s="163"/>
      <c r="DN29" s="163"/>
      <c r="DO29" s="163"/>
      <c r="DP29" s="163"/>
      <c r="DQ29" s="163"/>
      <c r="DR29" s="163"/>
      <c r="DS29" s="163"/>
      <c r="DT29" s="163"/>
      <c r="DU29" s="163"/>
      <c r="DV29" s="163"/>
      <c r="DW29" s="163"/>
      <c r="DX29" s="163"/>
      <c r="DY29" s="163"/>
      <c r="DZ29" s="163"/>
      <c r="EA29" s="163"/>
      <c r="EB29" s="163"/>
      <c r="EC29" s="163"/>
      <c r="ED29" s="163"/>
      <c r="EE29" s="163"/>
      <c r="EF29" s="163"/>
      <c r="EG29" s="163"/>
      <c r="EH29" s="163"/>
      <c r="EI29" s="163"/>
      <c r="EJ29" s="163"/>
      <c r="EK29" s="163"/>
      <c r="EL29" s="163"/>
      <c r="EM29" s="163"/>
      <c r="EN29" s="163"/>
      <c r="EO29" s="163"/>
      <c r="EP29" s="163"/>
      <c r="EQ29" s="163"/>
      <c r="ER29" s="163"/>
      <c r="ES29" s="163"/>
      <c r="ET29" s="163"/>
      <c r="EU29" s="163"/>
      <c r="EV29" s="163"/>
      <c r="HA29" s="167"/>
      <c r="HK29" s="163"/>
      <c r="HL29" s="163"/>
      <c r="HM29" s="163"/>
      <c r="HN29" s="163"/>
      <c r="HO29" s="163"/>
      <c r="HP29" s="163"/>
      <c r="HQ29" s="163"/>
      <c r="HR29" s="163"/>
      <c r="HS29" s="163"/>
      <c r="HT29" s="163"/>
      <c r="HU29" s="163"/>
      <c r="HV29" s="163"/>
      <c r="HW29" s="168"/>
      <c r="HX29" s="163"/>
      <c r="HY29" s="163"/>
      <c r="HZ29" s="163"/>
      <c r="IA29" s="163"/>
      <c r="IB29" s="163"/>
      <c r="IC29" s="163"/>
      <c r="ID29" s="163"/>
      <c r="IE29" s="163"/>
      <c r="IF29" s="163"/>
      <c r="IG29" s="163"/>
      <c r="IH29" s="163"/>
      <c r="II29" s="163"/>
      <c r="JB29" s="164"/>
      <c r="JC29" s="164"/>
      <c r="JD29" s="164"/>
      <c r="JE29" s="164"/>
      <c r="JF29" s="164"/>
      <c r="JG29" s="164"/>
      <c r="JH29" s="164"/>
      <c r="JI29" s="164"/>
      <c r="KA29" s="163"/>
      <c r="KB29" s="163"/>
      <c r="KC29" s="163"/>
      <c r="KD29" s="163"/>
      <c r="KE29" s="163"/>
      <c r="KF29" s="163"/>
      <c r="KG29" s="163"/>
      <c r="KH29" s="163"/>
      <c r="KI29" s="163"/>
      <c r="KJ29" s="163"/>
      <c r="KK29" s="163"/>
      <c r="KL29" s="163"/>
      <c r="KM29" s="163"/>
      <c r="KN29" s="163"/>
      <c r="KO29" s="163"/>
      <c r="LC29" s="163"/>
      <c r="LD29" s="163"/>
      <c r="LE29" s="163"/>
      <c r="LF29" s="163"/>
      <c r="LG29" s="163"/>
      <c r="LH29" s="163"/>
      <c r="LI29" s="163"/>
      <c r="LJ29" s="163"/>
      <c r="LK29" s="163"/>
      <c r="LL29" s="163"/>
      <c r="LM29" s="163"/>
      <c r="LN29" s="163"/>
      <c r="LO29" s="163"/>
      <c r="LP29" s="163"/>
      <c r="LQ29" s="163"/>
      <c r="LR29" s="163"/>
      <c r="LS29" s="163"/>
      <c r="LT29" s="163"/>
      <c r="LU29" s="163"/>
      <c r="LV29" s="163"/>
      <c r="LW29" s="163"/>
      <c r="LX29" s="163"/>
      <c r="QQ29" s="165"/>
      <c r="QR29" s="166"/>
    </row>
    <row r="30" spans="3:460" ht="5.15" customHeight="1" x14ac:dyDescent="0.35">
      <c r="C30" s="161"/>
      <c r="D30" s="162"/>
      <c r="E30" s="164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  <c r="AO30" s="164"/>
      <c r="AP30" s="164"/>
      <c r="AQ30" s="164"/>
      <c r="AR30" s="164"/>
      <c r="AS30" s="164"/>
      <c r="AT30" s="164"/>
      <c r="AU30" s="164"/>
      <c r="AV30" s="164"/>
      <c r="AW30" s="164"/>
      <c r="AX30" s="164"/>
      <c r="AY30" s="164"/>
      <c r="AZ30" s="164"/>
      <c r="BA30" s="164"/>
      <c r="BB30" s="164"/>
      <c r="BC30" s="164"/>
      <c r="BD30" s="164"/>
      <c r="BE30" s="164"/>
      <c r="BF30" s="164"/>
      <c r="BG30" s="164"/>
      <c r="BH30" s="164"/>
      <c r="BI30" s="164"/>
      <c r="BJ30" s="164"/>
      <c r="BK30" s="164"/>
      <c r="BL30" s="164"/>
      <c r="BM30" s="164"/>
      <c r="BN30" s="164"/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  <c r="DQ30" s="164"/>
      <c r="DR30" s="164"/>
      <c r="DS30" s="164"/>
      <c r="DT30" s="164"/>
      <c r="DU30" s="164"/>
      <c r="DV30" s="164"/>
      <c r="DW30" s="164"/>
      <c r="DX30" s="164"/>
      <c r="DY30" s="164"/>
      <c r="DZ30" s="164"/>
      <c r="EA30" s="164"/>
      <c r="EB30" s="164"/>
      <c r="EC30" s="164"/>
      <c r="ED30" s="164"/>
      <c r="EE30" s="164"/>
      <c r="EF30" s="164"/>
      <c r="EG30" s="164"/>
      <c r="EH30" s="164"/>
      <c r="EI30" s="164"/>
      <c r="EJ30" s="164"/>
      <c r="EK30" s="164"/>
      <c r="EL30" s="164"/>
      <c r="EM30" s="164"/>
      <c r="EN30" s="164"/>
      <c r="EO30" s="164"/>
      <c r="EP30" s="164"/>
      <c r="EQ30" s="164"/>
      <c r="ER30" s="164"/>
      <c r="ES30" s="164"/>
      <c r="ET30" s="164"/>
      <c r="EU30" s="164"/>
      <c r="EV30" s="164"/>
      <c r="EW30" s="164"/>
      <c r="EX30" s="164"/>
      <c r="EY30" s="164"/>
      <c r="EZ30" s="164"/>
      <c r="FA30" s="164"/>
      <c r="FB30" s="164"/>
      <c r="FC30" s="164"/>
      <c r="FD30" s="164"/>
      <c r="FE30" s="164"/>
      <c r="FF30" s="164"/>
      <c r="FG30" s="164"/>
      <c r="FH30" s="164"/>
      <c r="FI30" s="164"/>
      <c r="FJ30" s="164"/>
      <c r="FK30" s="164"/>
      <c r="FL30" s="164"/>
      <c r="FM30" s="164"/>
      <c r="FN30" s="164"/>
      <c r="FO30" s="164"/>
      <c r="FP30" s="164"/>
      <c r="FQ30" s="164"/>
      <c r="FR30" s="164"/>
      <c r="FS30" s="164"/>
      <c r="FT30" s="164"/>
      <c r="FU30" s="164"/>
      <c r="FV30" s="164"/>
      <c r="FW30" s="164"/>
      <c r="FX30" s="164"/>
      <c r="FY30" s="164"/>
      <c r="FZ30" s="164"/>
      <c r="GA30" s="164"/>
      <c r="GB30" s="164"/>
      <c r="GC30" s="164"/>
      <c r="GD30" s="164"/>
      <c r="GE30" s="164"/>
      <c r="GF30" s="164"/>
      <c r="GG30" s="164"/>
      <c r="GH30" s="164"/>
      <c r="GI30" s="164"/>
      <c r="GJ30" s="164"/>
      <c r="GK30" s="164"/>
      <c r="GL30" s="164"/>
      <c r="GM30" s="164"/>
      <c r="GN30" s="164"/>
      <c r="GO30" s="164"/>
      <c r="GP30" s="164"/>
      <c r="GQ30" s="164"/>
      <c r="GR30" s="164"/>
      <c r="GS30" s="164"/>
      <c r="GT30" s="164"/>
      <c r="GU30" s="164"/>
      <c r="GV30" s="164"/>
      <c r="GW30" s="164"/>
      <c r="GX30" s="164"/>
      <c r="GY30" s="164"/>
      <c r="GZ30" s="164"/>
      <c r="HA30" s="164"/>
      <c r="HB30" s="164"/>
      <c r="HC30" s="164"/>
      <c r="HD30" s="164"/>
      <c r="HE30" s="164"/>
      <c r="HF30" s="164"/>
      <c r="HG30" s="164"/>
      <c r="HH30" s="164"/>
      <c r="HI30" s="164"/>
      <c r="HJ30" s="164"/>
      <c r="HK30" s="164"/>
      <c r="HL30" s="164"/>
      <c r="HM30" s="164"/>
      <c r="HN30" s="164"/>
      <c r="HO30" s="164"/>
      <c r="HP30" s="164"/>
      <c r="HQ30" s="164"/>
      <c r="HR30" s="164"/>
      <c r="HS30" s="164"/>
      <c r="HT30" s="164"/>
      <c r="HU30" s="164"/>
      <c r="HV30" s="164"/>
      <c r="HW30" s="169"/>
      <c r="HX30" s="164"/>
      <c r="HY30" s="164"/>
      <c r="HZ30" s="164"/>
      <c r="IA30" s="164"/>
      <c r="IB30" s="164"/>
      <c r="IC30" s="164"/>
      <c r="ID30" s="164"/>
      <c r="IE30" s="164"/>
      <c r="IF30" s="164"/>
      <c r="IG30" s="164"/>
      <c r="IH30" s="164"/>
      <c r="II30" s="164"/>
      <c r="IJ30" s="170"/>
      <c r="IK30" s="170"/>
      <c r="IL30" s="170"/>
      <c r="IM30" s="170"/>
      <c r="IN30" s="170"/>
      <c r="IO30" s="170"/>
      <c r="IP30" s="170"/>
      <c r="IQ30" s="170"/>
      <c r="IR30" s="170"/>
      <c r="IS30" s="170"/>
      <c r="IT30" s="170"/>
      <c r="IU30" s="170"/>
      <c r="IV30" s="170"/>
      <c r="IW30" s="170"/>
      <c r="IX30" s="170"/>
      <c r="IY30" s="170"/>
      <c r="IZ30" s="170"/>
      <c r="JA30" s="164"/>
      <c r="JB30" s="164"/>
      <c r="JC30" s="164"/>
      <c r="JD30" s="164"/>
      <c r="JE30" s="164"/>
      <c r="JF30" s="164"/>
      <c r="JG30" s="164"/>
      <c r="JH30" s="164"/>
      <c r="JI30" s="164"/>
      <c r="JJ30" s="170"/>
      <c r="JK30" s="170"/>
      <c r="JL30" s="164"/>
      <c r="JM30" s="164"/>
      <c r="JN30" s="164"/>
      <c r="JO30" s="164"/>
      <c r="JP30" s="164"/>
      <c r="JQ30" s="164"/>
      <c r="JR30" s="164"/>
      <c r="JS30" s="164"/>
      <c r="JT30" s="164"/>
      <c r="JU30" s="164"/>
      <c r="JV30" s="164"/>
      <c r="JW30" s="164"/>
      <c r="JX30" s="164"/>
      <c r="JY30" s="164"/>
      <c r="JZ30" s="164"/>
      <c r="KA30" s="164"/>
      <c r="KB30" s="164"/>
      <c r="KC30" s="164"/>
      <c r="OI30" s="164"/>
      <c r="OJ30" s="164"/>
      <c r="OK30" s="164"/>
      <c r="OL30" s="164"/>
      <c r="OM30" s="164"/>
      <c r="ON30" s="164"/>
      <c r="OO30" s="164"/>
      <c r="OP30" s="164"/>
      <c r="OQ30" s="164"/>
      <c r="OR30" s="164"/>
      <c r="OS30" s="164"/>
      <c r="OT30" s="164"/>
      <c r="OU30" s="164"/>
      <c r="OV30" s="164"/>
      <c r="OW30" s="164"/>
      <c r="OX30" s="164"/>
      <c r="OY30" s="164"/>
      <c r="OZ30" s="164"/>
      <c r="PA30" s="164"/>
      <c r="PB30" s="164"/>
      <c r="PC30" s="164"/>
      <c r="PD30" s="164"/>
      <c r="PE30" s="164"/>
      <c r="PF30" s="164"/>
      <c r="PG30" s="164"/>
      <c r="PH30" s="164"/>
      <c r="PI30" s="164"/>
      <c r="PJ30" s="164"/>
      <c r="PK30" s="164"/>
      <c r="PL30" s="164"/>
      <c r="PM30" s="164"/>
      <c r="PN30" s="164"/>
      <c r="PO30" s="164"/>
      <c r="PP30" s="164"/>
      <c r="QQ30" s="165"/>
      <c r="QR30" s="166"/>
    </row>
    <row r="31" spans="3:460" ht="5.15" customHeight="1" x14ac:dyDescent="0.35">
      <c r="C31" s="161"/>
      <c r="D31" s="162"/>
      <c r="E31" s="164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  <c r="AO31" s="164"/>
      <c r="AP31" s="164"/>
      <c r="AQ31" s="164"/>
      <c r="AR31" s="164"/>
      <c r="AS31" s="164"/>
      <c r="AT31" s="164"/>
      <c r="AU31" s="164"/>
      <c r="AV31" s="164"/>
      <c r="AW31" s="164"/>
      <c r="AX31" s="164"/>
      <c r="AY31" s="164"/>
      <c r="AZ31" s="164"/>
      <c r="BA31" s="164"/>
      <c r="BB31" s="164"/>
      <c r="BC31" s="164"/>
      <c r="BD31" s="164"/>
      <c r="BE31" s="164"/>
      <c r="BF31" s="164"/>
      <c r="BG31" s="164"/>
      <c r="BH31" s="164"/>
      <c r="BI31" s="164"/>
      <c r="BJ31" s="164"/>
      <c r="BK31" s="164"/>
      <c r="BL31" s="164"/>
      <c r="BM31" s="164"/>
      <c r="BN31" s="164"/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4"/>
      <c r="DS31" s="164"/>
      <c r="DT31" s="164"/>
      <c r="DU31" s="164"/>
      <c r="DV31" s="164"/>
      <c r="DW31" s="164"/>
      <c r="DX31" s="164"/>
      <c r="DY31" s="164"/>
      <c r="DZ31" s="164"/>
      <c r="EA31" s="164"/>
      <c r="EB31" s="164"/>
      <c r="EC31" s="164"/>
      <c r="ED31" s="164"/>
      <c r="EE31" s="164"/>
      <c r="EF31" s="164"/>
      <c r="EG31" s="164"/>
      <c r="EH31" s="164"/>
      <c r="EI31" s="164"/>
      <c r="EJ31" s="164"/>
      <c r="EK31" s="164"/>
      <c r="EL31" s="164"/>
      <c r="EM31" s="164"/>
      <c r="EN31" s="164"/>
      <c r="EO31" s="164"/>
      <c r="EP31" s="164"/>
      <c r="EQ31" s="164"/>
      <c r="ER31" s="164"/>
      <c r="ES31" s="164"/>
      <c r="ET31" s="164"/>
      <c r="EU31" s="164"/>
      <c r="EV31" s="164"/>
      <c r="EW31" s="164"/>
      <c r="EX31" s="164"/>
      <c r="EY31" s="164"/>
      <c r="EZ31" s="164"/>
      <c r="FA31" s="164"/>
      <c r="FB31" s="164"/>
      <c r="FC31" s="164"/>
      <c r="FD31" s="164"/>
      <c r="FE31" s="164"/>
      <c r="FF31" s="164"/>
      <c r="FG31" s="164"/>
      <c r="FH31" s="164"/>
      <c r="FI31" s="164"/>
      <c r="FJ31" s="164"/>
      <c r="FK31" s="164"/>
      <c r="FL31" s="164"/>
      <c r="FM31" s="164"/>
      <c r="FN31" s="164"/>
      <c r="FO31" s="164"/>
      <c r="FP31" s="164"/>
      <c r="FQ31" s="164"/>
      <c r="FR31" s="164"/>
      <c r="FS31" s="164"/>
      <c r="FT31" s="164"/>
      <c r="FU31" s="164"/>
      <c r="FV31" s="164"/>
      <c r="FW31" s="164"/>
      <c r="FX31" s="164"/>
      <c r="FY31" s="164"/>
      <c r="FZ31" s="164"/>
      <c r="GA31" s="164"/>
      <c r="GB31" s="164"/>
      <c r="GC31" s="164"/>
      <c r="GD31" s="164"/>
      <c r="GE31" s="164"/>
      <c r="GF31" s="164"/>
      <c r="GG31" s="164"/>
      <c r="GH31" s="164"/>
      <c r="GI31" s="164"/>
      <c r="GJ31" s="164"/>
      <c r="GK31" s="164"/>
      <c r="GL31" s="164"/>
      <c r="GM31" s="164"/>
      <c r="GN31" s="164"/>
      <c r="GO31" s="164"/>
      <c r="GP31" s="164"/>
      <c r="GQ31" s="164"/>
      <c r="GR31" s="164"/>
      <c r="GS31" s="164"/>
      <c r="GT31" s="164"/>
      <c r="GU31" s="164"/>
      <c r="GV31" s="164"/>
      <c r="GW31" s="164"/>
      <c r="GX31" s="164"/>
      <c r="GY31" s="164"/>
      <c r="GZ31" s="164"/>
      <c r="HA31" s="164"/>
      <c r="HB31" s="164"/>
      <c r="HC31" s="164"/>
      <c r="HD31" s="164"/>
      <c r="HE31" s="164"/>
      <c r="HF31" s="164"/>
      <c r="HG31" s="164"/>
      <c r="HH31" s="164"/>
      <c r="HI31" s="164"/>
      <c r="HJ31" s="164"/>
      <c r="HK31" s="164"/>
      <c r="HL31" s="164"/>
      <c r="HM31" s="164"/>
      <c r="HN31" s="164"/>
      <c r="HO31" s="164"/>
      <c r="HP31" s="164"/>
      <c r="HQ31" s="164"/>
      <c r="HR31" s="164"/>
      <c r="HS31" s="164"/>
      <c r="HT31" s="164"/>
      <c r="HU31" s="164"/>
      <c r="HV31" s="164"/>
      <c r="HW31" s="169"/>
      <c r="HX31" s="164"/>
      <c r="HY31" s="164"/>
      <c r="HZ31" s="164"/>
      <c r="IA31" s="164"/>
      <c r="IB31" s="164"/>
      <c r="IC31" s="164"/>
      <c r="ID31" s="164"/>
      <c r="IE31" s="164"/>
      <c r="IF31" s="164"/>
      <c r="IG31" s="164"/>
      <c r="IH31" s="164"/>
      <c r="II31" s="164"/>
      <c r="IJ31" s="170"/>
      <c r="IK31" s="170"/>
      <c r="IL31" s="170"/>
      <c r="IM31" s="170"/>
      <c r="IN31" s="170"/>
      <c r="IO31" s="170"/>
      <c r="IP31" s="170"/>
      <c r="IQ31" s="170"/>
      <c r="IR31" s="170"/>
      <c r="IS31" s="170"/>
      <c r="IT31" s="170"/>
      <c r="IU31" s="170"/>
      <c r="IV31" s="170"/>
      <c r="IW31" s="170"/>
      <c r="IX31" s="170"/>
      <c r="IY31" s="170"/>
      <c r="IZ31" s="170"/>
      <c r="JA31" s="164"/>
      <c r="JB31" s="164"/>
      <c r="JC31" s="164"/>
      <c r="JD31" s="164"/>
      <c r="JE31" s="164"/>
      <c r="JF31" s="164"/>
      <c r="JG31" s="164"/>
      <c r="JH31" s="164"/>
      <c r="JI31" s="164"/>
      <c r="JJ31" s="170"/>
      <c r="JK31" s="170"/>
      <c r="JL31" s="164"/>
      <c r="JM31" s="164"/>
      <c r="JN31" s="164"/>
      <c r="JO31" s="164"/>
      <c r="JP31" s="164"/>
      <c r="JQ31" s="164"/>
      <c r="JR31" s="164"/>
      <c r="JS31" s="164"/>
      <c r="JT31" s="164"/>
      <c r="JU31" s="164"/>
      <c r="JV31" s="164"/>
      <c r="JW31" s="164"/>
      <c r="JX31" s="164"/>
      <c r="JY31" s="164"/>
      <c r="JZ31" s="164"/>
      <c r="KA31" s="164"/>
      <c r="KB31" s="164"/>
      <c r="KC31" s="164"/>
      <c r="OI31" s="164"/>
      <c r="OJ31" s="164"/>
      <c r="OK31" s="164"/>
      <c r="OL31" s="164"/>
      <c r="OM31" s="164"/>
      <c r="ON31" s="164"/>
      <c r="OO31" s="164"/>
      <c r="OP31" s="164"/>
      <c r="OQ31" s="164"/>
      <c r="OR31" s="164"/>
      <c r="OS31" s="164"/>
      <c r="OT31" s="164"/>
      <c r="OU31" s="164"/>
      <c r="OV31" s="164"/>
      <c r="OW31" s="164"/>
      <c r="OX31" s="164"/>
      <c r="OY31" s="164"/>
      <c r="OZ31" s="164"/>
      <c r="PA31" s="164"/>
      <c r="PB31" s="164"/>
      <c r="PC31" s="164"/>
      <c r="PD31" s="164"/>
      <c r="PE31" s="164"/>
      <c r="PF31" s="164"/>
      <c r="PG31" s="164"/>
      <c r="PH31" s="164"/>
      <c r="PI31" s="164"/>
      <c r="PJ31" s="164"/>
      <c r="PK31" s="164"/>
      <c r="PL31" s="164"/>
      <c r="PM31" s="164"/>
      <c r="PN31" s="164"/>
      <c r="PO31" s="164"/>
      <c r="PP31" s="164"/>
      <c r="QQ31" s="165"/>
      <c r="QR31" s="166"/>
    </row>
    <row r="32" spans="3:460" ht="5.15" customHeight="1" x14ac:dyDescent="0.35">
      <c r="C32" s="161"/>
      <c r="D32" s="162"/>
      <c r="E32" s="164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4"/>
      <c r="AQ32" s="164"/>
      <c r="AR32" s="164"/>
      <c r="AS32" s="164"/>
      <c r="AT32" s="164"/>
      <c r="AU32" s="164"/>
      <c r="AV32" s="164"/>
      <c r="AW32" s="164"/>
      <c r="AX32" s="164"/>
      <c r="AY32" s="164"/>
      <c r="AZ32" s="164"/>
      <c r="BA32" s="164"/>
      <c r="BB32" s="164"/>
      <c r="BC32" s="164"/>
      <c r="BD32" s="164"/>
      <c r="BE32" s="164"/>
      <c r="BF32" s="164"/>
      <c r="BG32" s="164"/>
      <c r="BH32" s="164"/>
      <c r="BI32" s="164"/>
      <c r="BJ32" s="164"/>
      <c r="BK32" s="164"/>
      <c r="BL32" s="164"/>
      <c r="BM32" s="164"/>
      <c r="BN32" s="164"/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  <c r="DQ32" s="164"/>
      <c r="DR32" s="164"/>
      <c r="DS32" s="164"/>
      <c r="DT32" s="164"/>
      <c r="DU32" s="164"/>
      <c r="DV32" s="164"/>
      <c r="DW32" s="164"/>
      <c r="DX32" s="164"/>
      <c r="DY32" s="164"/>
      <c r="DZ32" s="164"/>
      <c r="EA32" s="164"/>
      <c r="EB32" s="164"/>
      <c r="EC32" s="164"/>
      <c r="ED32" s="164"/>
      <c r="EE32" s="164"/>
      <c r="EF32" s="164"/>
      <c r="EG32" s="164"/>
      <c r="EH32" s="164"/>
      <c r="EI32" s="164"/>
      <c r="EJ32" s="164"/>
      <c r="EK32" s="164"/>
      <c r="EL32" s="164"/>
      <c r="EM32" s="164"/>
      <c r="EN32" s="164"/>
      <c r="EO32" s="164"/>
      <c r="EP32" s="164"/>
      <c r="EQ32" s="164"/>
      <c r="ER32" s="164"/>
      <c r="ES32" s="164"/>
      <c r="ET32" s="164"/>
      <c r="EU32" s="164"/>
      <c r="EV32" s="164"/>
      <c r="EW32" s="164"/>
      <c r="EX32" s="164"/>
      <c r="EY32" s="164"/>
      <c r="EZ32" s="164"/>
      <c r="FA32" s="164"/>
      <c r="FB32" s="164"/>
      <c r="FC32" s="164"/>
      <c r="FD32" s="164"/>
      <c r="FE32" s="164"/>
      <c r="FF32" s="164"/>
      <c r="FG32" s="164"/>
      <c r="FH32" s="164"/>
      <c r="FI32" s="164"/>
      <c r="FJ32" s="164"/>
      <c r="FK32" s="164"/>
      <c r="FL32" s="164"/>
      <c r="FM32" s="164"/>
      <c r="FN32" s="164"/>
      <c r="FO32" s="164"/>
      <c r="FP32" s="164"/>
      <c r="FQ32" s="164"/>
      <c r="FR32" s="164"/>
      <c r="FS32" s="164"/>
      <c r="FT32" s="164"/>
      <c r="FU32" s="164"/>
      <c r="FV32" s="164"/>
      <c r="FW32" s="164"/>
      <c r="FX32" s="164"/>
      <c r="FY32" s="164"/>
      <c r="FZ32" s="164"/>
      <c r="GA32" s="164"/>
      <c r="GB32" s="164"/>
      <c r="GC32" s="164"/>
      <c r="GD32" s="164"/>
      <c r="GE32" s="164"/>
      <c r="GF32" s="164"/>
      <c r="GG32" s="164"/>
      <c r="GH32" s="164"/>
      <c r="GI32" s="164"/>
      <c r="GJ32" s="164"/>
      <c r="GK32" s="164"/>
      <c r="GL32" s="164"/>
      <c r="GM32" s="164"/>
      <c r="GN32" s="164"/>
      <c r="GO32" s="164"/>
      <c r="GP32" s="164"/>
      <c r="GQ32" s="164"/>
      <c r="GR32" s="164"/>
      <c r="GS32" s="164"/>
      <c r="GT32" s="164"/>
      <c r="GU32" s="164"/>
      <c r="GV32" s="164"/>
      <c r="GW32" s="164"/>
      <c r="GX32" s="164"/>
      <c r="GY32" s="164"/>
      <c r="GZ32" s="164"/>
      <c r="HA32" s="164"/>
      <c r="HB32" s="164"/>
      <c r="HC32" s="164"/>
      <c r="HD32" s="164"/>
      <c r="HE32" s="164"/>
      <c r="HF32" s="164"/>
      <c r="HG32" s="164"/>
      <c r="HH32" s="164"/>
      <c r="HI32" s="164"/>
      <c r="HJ32" s="164"/>
      <c r="HK32" s="164"/>
      <c r="HL32" s="164"/>
      <c r="HM32" s="164"/>
      <c r="HN32" s="164"/>
      <c r="HO32" s="164"/>
      <c r="HP32" s="164"/>
      <c r="HQ32" s="164"/>
      <c r="HR32" s="164"/>
      <c r="HS32" s="164"/>
      <c r="HT32" s="164"/>
      <c r="HU32" s="164"/>
      <c r="HV32" s="164"/>
      <c r="HW32" s="169"/>
      <c r="HX32" s="164"/>
      <c r="HY32" s="164"/>
      <c r="HZ32" s="164"/>
      <c r="IA32" s="164"/>
      <c r="IB32" s="164"/>
      <c r="IC32" s="164"/>
      <c r="ID32" s="164"/>
      <c r="IE32" s="164"/>
      <c r="IF32" s="164"/>
      <c r="IG32" s="164"/>
      <c r="IH32" s="164"/>
      <c r="II32" s="164"/>
      <c r="IJ32" s="164"/>
      <c r="IK32" s="164"/>
      <c r="IL32" s="164"/>
      <c r="IM32" s="164"/>
      <c r="IN32" s="164"/>
      <c r="IO32" s="164"/>
      <c r="IP32" s="164"/>
      <c r="IQ32" s="164"/>
      <c r="IR32" s="164"/>
      <c r="IS32" s="164"/>
      <c r="IT32" s="164"/>
      <c r="IU32" s="164"/>
      <c r="IV32" s="164"/>
      <c r="IW32" s="164"/>
      <c r="IX32" s="164"/>
      <c r="IY32" s="164"/>
      <c r="IZ32" s="164"/>
      <c r="JA32" s="164"/>
      <c r="JB32" s="164"/>
      <c r="JC32" s="164"/>
      <c r="JD32" s="164"/>
      <c r="JE32" s="164"/>
      <c r="JF32" s="164"/>
      <c r="JG32" s="164"/>
      <c r="JH32" s="164"/>
      <c r="JI32" s="164"/>
      <c r="JL32" s="164"/>
      <c r="JM32" s="164"/>
      <c r="JN32" s="164"/>
      <c r="JO32" s="164"/>
      <c r="JP32" s="164"/>
      <c r="JQ32" s="164"/>
      <c r="JR32" s="164"/>
      <c r="JS32" s="164"/>
      <c r="JT32" s="164"/>
      <c r="JU32" s="164"/>
      <c r="JV32" s="164"/>
      <c r="JW32" s="164"/>
      <c r="JX32" s="164"/>
      <c r="JY32" s="164"/>
      <c r="JZ32" s="164"/>
      <c r="KA32" s="164"/>
      <c r="KB32" s="164"/>
      <c r="KC32" s="164"/>
      <c r="OI32" s="164"/>
      <c r="OJ32" s="164"/>
      <c r="OK32" s="164"/>
      <c r="OL32" s="164"/>
      <c r="OM32" s="164"/>
      <c r="ON32" s="164"/>
      <c r="OO32" s="164"/>
      <c r="OP32" s="164"/>
      <c r="OQ32" s="164"/>
      <c r="OR32" s="164"/>
      <c r="OS32" s="164"/>
      <c r="OT32" s="164"/>
      <c r="OU32" s="164"/>
      <c r="OV32" s="164"/>
      <c r="OW32" s="164"/>
      <c r="OX32" s="164"/>
      <c r="OY32" s="164"/>
      <c r="OZ32" s="164"/>
      <c r="PA32" s="164"/>
      <c r="PB32" s="164"/>
      <c r="PC32" s="164"/>
      <c r="PD32" s="164"/>
      <c r="PE32" s="164"/>
      <c r="PF32" s="164"/>
      <c r="PG32" s="164"/>
      <c r="PH32" s="164"/>
      <c r="PI32" s="164"/>
      <c r="PJ32" s="164"/>
      <c r="PK32" s="164"/>
      <c r="PL32" s="164"/>
      <c r="PM32" s="164"/>
      <c r="PN32" s="164"/>
      <c r="PO32" s="164"/>
      <c r="PP32" s="164"/>
      <c r="QM32" s="164"/>
      <c r="QO32" s="164"/>
      <c r="QP32" s="164"/>
      <c r="QQ32" s="165"/>
      <c r="QR32" s="166"/>
    </row>
    <row r="33" spans="3:460" ht="5.15" customHeight="1" thickBot="1" x14ac:dyDescent="0.4">
      <c r="C33" s="161"/>
      <c r="D33" s="162"/>
      <c r="E33" s="164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  <c r="CA33" s="171"/>
      <c r="CB33" s="171"/>
      <c r="CC33" s="171"/>
      <c r="CD33" s="171"/>
      <c r="CE33" s="171"/>
      <c r="CF33" s="171"/>
      <c r="CG33" s="171"/>
      <c r="CH33" s="171"/>
      <c r="CI33" s="171"/>
      <c r="CJ33" s="171"/>
      <c r="CK33" s="171"/>
      <c r="CL33" s="171"/>
      <c r="CM33" s="171"/>
      <c r="CN33" s="171"/>
      <c r="CO33" s="171"/>
      <c r="CP33" s="171"/>
      <c r="CQ33" s="171"/>
      <c r="CR33" s="171"/>
      <c r="CS33" s="171"/>
      <c r="CT33" s="171"/>
      <c r="CU33" s="171"/>
      <c r="CV33" s="171"/>
      <c r="CW33" s="171"/>
      <c r="CX33" s="171"/>
      <c r="CY33" s="164"/>
      <c r="CZ33" s="164"/>
      <c r="DA33" s="164"/>
      <c r="DB33" s="164"/>
      <c r="DC33" s="164"/>
      <c r="DD33" s="164"/>
      <c r="DE33" s="164"/>
      <c r="DF33" s="164"/>
      <c r="DG33" s="164"/>
      <c r="DH33" s="164"/>
      <c r="DI33" s="164"/>
      <c r="DJ33" s="164"/>
      <c r="DK33" s="164"/>
      <c r="DL33" s="164"/>
      <c r="DM33" s="164"/>
      <c r="DN33" s="164"/>
      <c r="DO33" s="164"/>
      <c r="DP33" s="164"/>
      <c r="DQ33" s="164"/>
      <c r="DR33" s="171"/>
      <c r="DS33" s="171"/>
      <c r="DT33" s="171"/>
      <c r="DU33" s="171"/>
      <c r="DV33" s="171"/>
      <c r="DW33" s="171"/>
      <c r="DX33" s="171"/>
      <c r="DY33" s="171"/>
      <c r="DZ33" s="171"/>
      <c r="EA33" s="171"/>
      <c r="EB33" s="171"/>
      <c r="EC33" s="171"/>
      <c r="ED33" s="171"/>
      <c r="EE33" s="171"/>
      <c r="EF33" s="171"/>
      <c r="EG33" s="171"/>
      <c r="EH33" s="171"/>
      <c r="EI33" s="171"/>
      <c r="EJ33" s="171"/>
      <c r="EK33" s="171"/>
      <c r="EL33" s="171"/>
      <c r="EM33" s="171"/>
      <c r="EN33" s="171"/>
      <c r="EO33" s="171"/>
      <c r="EP33" s="171"/>
      <c r="EQ33" s="171"/>
      <c r="ER33" s="171"/>
      <c r="ES33" s="171"/>
      <c r="ET33" s="171"/>
      <c r="EU33" s="171"/>
      <c r="EV33" s="171"/>
      <c r="EW33" s="171"/>
      <c r="EX33" s="171"/>
      <c r="EY33" s="171"/>
      <c r="EZ33" s="171"/>
      <c r="FA33" s="171"/>
      <c r="FB33" s="171"/>
      <c r="FC33" s="171"/>
      <c r="FD33" s="171"/>
      <c r="FE33" s="171"/>
      <c r="FF33" s="171"/>
      <c r="FG33" s="171"/>
      <c r="FH33" s="171"/>
      <c r="FI33" s="171"/>
      <c r="FJ33" s="171"/>
      <c r="FK33" s="171"/>
      <c r="FL33" s="171"/>
      <c r="FM33" s="171"/>
      <c r="FN33" s="171"/>
      <c r="FO33" s="171"/>
      <c r="FP33" s="171"/>
      <c r="FQ33" s="171"/>
      <c r="FR33" s="171"/>
      <c r="FS33" s="171"/>
      <c r="FT33" s="171"/>
      <c r="FU33" s="171"/>
      <c r="FV33" s="171"/>
      <c r="FW33" s="171"/>
      <c r="FX33" s="171"/>
      <c r="FY33" s="171"/>
      <c r="FZ33" s="171"/>
      <c r="GA33" s="171"/>
      <c r="GB33" s="171"/>
      <c r="GC33" s="171"/>
      <c r="GD33" s="171"/>
      <c r="GE33" s="171"/>
      <c r="GF33" s="171"/>
      <c r="GG33" s="171"/>
      <c r="GH33" s="171"/>
      <c r="GI33" s="171"/>
      <c r="GJ33" s="171"/>
      <c r="GK33" s="171"/>
      <c r="GL33" s="171"/>
      <c r="GM33" s="171"/>
      <c r="GN33" s="171"/>
      <c r="GO33" s="171"/>
      <c r="GP33" s="171"/>
      <c r="GQ33" s="171"/>
      <c r="GR33" s="171"/>
      <c r="GS33" s="171"/>
      <c r="GT33" s="171"/>
      <c r="GU33" s="171"/>
      <c r="GV33" s="171"/>
      <c r="GW33" s="171"/>
      <c r="GX33" s="171"/>
      <c r="GY33" s="171"/>
      <c r="GZ33" s="171"/>
      <c r="HA33" s="171"/>
      <c r="HB33" s="171"/>
      <c r="HC33" s="171"/>
      <c r="HD33" s="171"/>
      <c r="HE33" s="171"/>
      <c r="HF33" s="171"/>
      <c r="HG33" s="171"/>
      <c r="HH33" s="171"/>
      <c r="HI33" s="171"/>
      <c r="HJ33" s="171"/>
      <c r="HK33" s="171"/>
      <c r="HL33" s="171"/>
      <c r="HM33" s="171"/>
      <c r="HN33" s="171"/>
      <c r="HO33" s="164"/>
      <c r="HP33" s="164"/>
      <c r="HQ33" s="164"/>
      <c r="HR33" s="164"/>
      <c r="HS33" s="164"/>
      <c r="HT33" s="164"/>
      <c r="HU33" s="164"/>
      <c r="HV33" s="172"/>
      <c r="HW33" s="169"/>
      <c r="HX33" s="164"/>
      <c r="HY33" s="164"/>
      <c r="HZ33" s="164"/>
      <c r="IA33" s="164"/>
      <c r="IB33" s="164"/>
      <c r="IC33" s="164"/>
      <c r="ID33" s="164"/>
      <c r="IE33" s="164"/>
      <c r="IF33" s="164"/>
      <c r="IG33" s="164"/>
      <c r="IH33" s="164"/>
      <c r="II33" s="171"/>
      <c r="IJ33" s="171"/>
      <c r="IK33" s="171"/>
      <c r="IL33" s="171"/>
      <c r="IM33" s="171"/>
      <c r="IN33" s="171"/>
      <c r="IO33" s="171"/>
      <c r="IP33" s="171"/>
      <c r="IQ33" s="171"/>
      <c r="IR33" s="171"/>
      <c r="IS33" s="171"/>
      <c r="IT33" s="171"/>
      <c r="IU33" s="171"/>
      <c r="IV33" s="164"/>
      <c r="IW33" s="164"/>
      <c r="IX33" s="164"/>
      <c r="IY33" s="164"/>
      <c r="IZ33" s="164"/>
      <c r="JA33" s="164"/>
      <c r="JB33" s="164"/>
      <c r="JC33" s="164"/>
      <c r="JD33" s="164"/>
      <c r="JE33" s="164"/>
      <c r="JF33" s="164"/>
      <c r="JG33" s="164"/>
      <c r="JH33" s="164"/>
      <c r="JI33" s="164"/>
      <c r="JJ33" s="164"/>
      <c r="JK33" s="164"/>
      <c r="JL33" s="164"/>
      <c r="JM33" s="164"/>
      <c r="JN33" s="164"/>
      <c r="JO33" s="164"/>
      <c r="JP33" s="164"/>
      <c r="JQ33" s="164"/>
      <c r="JR33" s="164"/>
      <c r="JS33" s="164"/>
      <c r="JT33" s="164"/>
      <c r="JU33" s="164"/>
      <c r="JV33" s="164"/>
      <c r="JW33" s="164"/>
      <c r="JX33" s="164"/>
      <c r="JY33" s="164"/>
      <c r="JZ33" s="164"/>
      <c r="KA33" s="164"/>
      <c r="KB33" s="164"/>
      <c r="KC33" s="164"/>
      <c r="KN33" s="164"/>
      <c r="KO33" s="164"/>
      <c r="LL33" s="164"/>
      <c r="LM33" s="164"/>
      <c r="LN33" s="164"/>
      <c r="LO33" s="164"/>
      <c r="LP33" s="164"/>
      <c r="LQ33" s="164"/>
      <c r="LR33" s="164"/>
      <c r="LS33" s="164"/>
      <c r="LT33" s="164"/>
      <c r="LU33" s="164"/>
      <c r="LV33" s="164"/>
      <c r="LW33" s="164"/>
      <c r="LX33" s="164"/>
      <c r="OI33" s="164"/>
      <c r="OJ33" s="164"/>
      <c r="OK33" s="164"/>
      <c r="OL33" s="164"/>
      <c r="OM33" s="164"/>
      <c r="ON33" s="164"/>
      <c r="OO33" s="164"/>
      <c r="OP33" s="164"/>
      <c r="OQ33" s="164"/>
      <c r="OR33" s="164"/>
      <c r="OS33" s="164"/>
      <c r="OT33" s="164"/>
      <c r="OU33" s="164"/>
      <c r="OV33" s="164"/>
      <c r="OW33" s="164"/>
      <c r="OX33" s="164"/>
      <c r="OY33" s="164"/>
      <c r="OZ33" s="164"/>
      <c r="PA33" s="164"/>
      <c r="PB33" s="164"/>
      <c r="PC33" s="164"/>
      <c r="PD33" s="164"/>
      <c r="PE33" s="164"/>
      <c r="PF33" s="164"/>
      <c r="PG33" s="164"/>
      <c r="PH33" s="164"/>
      <c r="PI33" s="164"/>
      <c r="PJ33" s="164"/>
      <c r="PK33" s="164"/>
      <c r="PL33" s="164"/>
      <c r="PM33" s="164"/>
      <c r="PN33" s="164"/>
      <c r="PO33" s="164"/>
      <c r="PP33" s="164"/>
      <c r="QM33" s="164"/>
      <c r="QO33" s="164"/>
      <c r="QP33" s="164"/>
      <c r="QQ33" s="165"/>
      <c r="QR33" s="166"/>
    </row>
    <row r="34" spans="3:460" ht="5.15" customHeight="1" x14ac:dyDescent="0.35">
      <c r="C34" s="161"/>
      <c r="D34" s="162"/>
      <c r="E34" s="164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73"/>
      <c r="AG34" s="164"/>
      <c r="AH34" s="164"/>
      <c r="AI34" s="164"/>
      <c r="AJ34" s="164"/>
      <c r="AK34" s="164"/>
      <c r="AL34" s="164"/>
      <c r="AM34" s="164"/>
      <c r="AN34" s="164"/>
      <c r="AO34" s="164"/>
      <c r="AP34" s="164"/>
      <c r="AQ34" s="164"/>
      <c r="AR34" s="164"/>
      <c r="AS34" s="164"/>
      <c r="AT34" s="164"/>
      <c r="AU34" s="164"/>
      <c r="AV34" s="164"/>
      <c r="AW34" s="164"/>
      <c r="AX34" s="164"/>
      <c r="AY34" s="164"/>
      <c r="AZ34" s="164"/>
      <c r="BA34" s="164"/>
      <c r="BB34" s="164"/>
      <c r="BC34" s="164"/>
      <c r="BD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64"/>
      <c r="CG34" s="164"/>
      <c r="CH34" s="164"/>
      <c r="CI34" s="164"/>
      <c r="CJ34" s="164"/>
      <c r="CK34" s="164"/>
      <c r="CL34" s="164"/>
      <c r="CM34" s="164"/>
      <c r="CN34" s="164"/>
      <c r="CO34" s="164"/>
      <c r="CP34" s="164"/>
      <c r="CQ34" s="164"/>
      <c r="CR34" s="164"/>
      <c r="CS34" s="164"/>
      <c r="CT34" s="164"/>
      <c r="CU34" s="164"/>
      <c r="CV34" s="164"/>
      <c r="CW34" s="164"/>
      <c r="CX34" s="164"/>
      <c r="CY34" s="174"/>
      <c r="CZ34" s="174"/>
      <c r="DA34" s="174"/>
      <c r="DB34" s="174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174"/>
      <c r="DO34" s="174"/>
      <c r="DP34" s="174"/>
      <c r="DQ34" s="174"/>
      <c r="DR34" s="164"/>
      <c r="DS34" s="164"/>
      <c r="DT34" s="164"/>
      <c r="DU34" s="164"/>
      <c r="DV34" s="164"/>
      <c r="DW34" s="164"/>
      <c r="DX34" s="164"/>
      <c r="DY34" s="164"/>
      <c r="DZ34" s="164"/>
      <c r="EA34" s="164"/>
      <c r="EB34" s="164"/>
      <c r="EC34" s="164"/>
      <c r="ED34" s="173"/>
      <c r="EE34" s="174"/>
      <c r="EF34" s="174"/>
      <c r="EG34" s="164"/>
      <c r="EH34" s="164"/>
      <c r="EI34" s="164"/>
      <c r="EJ34" s="164"/>
      <c r="EK34" s="164"/>
      <c r="EL34" s="164"/>
      <c r="EM34" s="164"/>
      <c r="EN34" s="164"/>
      <c r="EO34" s="164"/>
      <c r="EP34" s="164"/>
      <c r="EQ34" s="164"/>
      <c r="ER34" s="164"/>
      <c r="ES34" s="164"/>
      <c r="ET34" s="164"/>
      <c r="EU34" s="164"/>
      <c r="EV34" s="164"/>
      <c r="EW34" s="164"/>
      <c r="EX34" s="164"/>
      <c r="EY34" s="164"/>
      <c r="EZ34" s="164"/>
      <c r="FA34" s="164"/>
      <c r="FB34" s="164"/>
      <c r="FC34" s="164"/>
      <c r="FD34" s="164"/>
      <c r="FE34" s="164"/>
      <c r="FF34" s="164"/>
      <c r="FG34" s="164"/>
      <c r="FH34" s="164"/>
      <c r="FI34" s="164"/>
      <c r="FJ34" s="164"/>
      <c r="FK34" s="164"/>
      <c r="FL34" s="164"/>
      <c r="FM34" s="164"/>
      <c r="FN34" s="164"/>
      <c r="FO34" s="164"/>
      <c r="FP34" s="164"/>
      <c r="FQ34" s="164"/>
      <c r="FR34" s="164"/>
      <c r="FS34" s="164"/>
      <c r="FT34" s="164"/>
      <c r="FU34" s="164"/>
      <c r="FV34" s="164"/>
      <c r="FW34" s="164"/>
      <c r="FX34" s="164"/>
      <c r="FY34" s="164"/>
      <c r="FZ34" s="164"/>
      <c r="GA34" s="164"/>
      <c r="GB34" s="164"/>
      <c r="GC34" s="164"/>
      <c r="GD34" s="164"/>
      <c r="GE34" s="164"/>
      <c r="GF34" s="164"/>
      <c r="GG34" s="164"/>
      <c r="GH34" s="164"/>
      <c r="GI34" s="164"/>
      <c r="GJ34" s="164"/>
      <c r="GK34" s="164"/>
      <c r="GL34" s="164"/>
      <c r="GM34" s="164"/>
      <c r="GN34" s="164"/>
      <c r="GO34" s="164"/>
      <c r="GP34" s="164"/>
      <c r="GQ34" s="164"/>
      <c r="GR34" s="164"/>
      <c r="GS34" s="164"/>
      <c r="GT34" s="164"/>
      <c r="GU34" s="164"/>
      <c r="GV34" s="164"/>
      <c r="GW34" s="164"/>
      <c r="GX34" s="164"/>
      <c r="GY34" s="164"/>
      <c r="GZ34" s="164"/>
      <c r="HA34" s="164"/>
      <c r="HB34" s="164"/>
      <c r="HC34" s="164"/>
      <c r="HD34" s="164"/>
      <c r="HE34" s="164"/>
      <c r="HF34" s="164"/>
      <c r="HG34" s="164"/>
      <c r="HH34" s="164"/>
      <c r="HI34" s="164"/>
      <c r="HJ34" s="164"/>
      <c r="HK34" s="164"/>
      <c r="HL34" s="164"/>
      <c r="HM34" s="164"/>
      <c r="HN34" s="164"/>
      <c r="HO34" s="174"/>
      <c r="HP34" s="174"/>
      <c r="HQ34" s="174"/>
      <c r="HR34" s="174"/>
      <c r="HS34" s="174"/>
      <c r="HT34" s="174"/>
      <c r="HU34" s="174"/>
      <c r="HV34" s="174"/>
      <c r="HW34" s="174"/>
      <c r="HX34" s="174"/>
      <c r="HY34" s="174"/>
      <c r="HZ34" s="174"/>
      <c r="IA34" s="174"/>
      <c r="IB34" s="174"/>
      <c r="IC34" s="174"/>
      <c r="ID34" s="174"/>
      <c r="IE34" s="174"/>
      <c r="IF34" s="174"/>
      <c r="IG34" s="174"/>
      <c r="IH34" s="174"/>
      <c r="II34" s="174"/>
      <c r="IV34" s="174"/>
      <c r="IW34" s="174"/>
      <c r="IX34" s="174"/>
      <c r="IY34" s="174"/>
      <c r="IZ34" s="174"/>
      <c r="JA34" s="174"/>
      <c r="JB34" s="174"/>
      <c r="JC34" s="174"/>
      <c r="JD34" s="174"/>
      <c r="JE34" s="174"/>
      <c r="JF34" s="174"/>
      <c r="JG34" s="174"/>
      <c r="JH34" s="174"/>
      <c r="JI34" s="174"/>
      <c r="JJ34" s="174"/>
      <c r="JK34" s="174"/>
      <c r="JL34" s="174"/>
      <c r="JM34" s="174"/>
      <c r="JN34" s="174"/>
      <c r="JO34" s="174"/>
      <c r="JP34" s="174"/>
      <c r="JQ34" s="174"/>
      <c r="JR34" s="174"/>
      <c r="JS34" s="174"/>
      <c r="JT34" s="174"/>
      <c r="JU34" s="174"/>
      <c r="JV34" s="174"/>
      <c r="JW34" s="174"/>
      <c r="JX34" s="174"/>
      <c r="JY34" s="174"/>
      <c r="JZ34" s="174"/>
      <c r="KA34" s="174"/>
      <c r="KB34" s="174"/>
      <c r="KC34" s="174"/>
      <c r="KD34" s="174"/>
      <c r="KE34" s="174"/>
      <c r="KF34" s="174"/>
      <c r="KG34" s="174"/>
      <c r="KH34" s="174"/>
      <c r="KI34" s="174"/>
      <c r="KJ34" s="174"/>
      <c r="KK34" s="174"/>
      <c r="KL34" s="174"/>
      <c r="KM34" s="174"/>
      <c r="KN34" s="174"/>
      <c r="KO34" s="174"/>
      <c r="KP34" s="174"/>
      <c r="KQ34" s="174"/>
      <c r="KR34" s="174"/>
      <c r="KS34" s="174"/>
      <c r="KT34" s="174"/>
      <c r="KU34" s="174"/>
      <c r="KV34" s="174"/>
      <c r="KW34" s="174"/>
      <c r="KX34" s="174"/>
      <c r="KY34" s="174"/>
      <c r="KZ34" s="174"/>
      <c r="LA34" s="174"/>
      <c r="LB34" s="174"/>
      <c r="LC34" s="174"/>
      <c r="LD34" s="174"/>
      <c r="LE34" s="174"/>
      <c r="LF34" s="173"/>
      <c r="LG34" s="174"/>
      <c r="LH34" s="174"/>
      <c r="LI34" s="174"/>
      <c r="LJ34" s="174"/>
      <c r="LK34" s="174"/>
      <c r="LL34" s="174"/>
      <c r="LM34" s="174"/>
      <c r="LN34" s="174"/>
      <c r="LO34" s="174"/>
      <c r="LP34" s="174"/>
      <c r="LQ34" s="174"/>
      <c r="LR34" s="174"/>
      <c r="LS34" s="174"/>
      <c r="LT34" s="174"/>
      <c r="LU34" s="174"/>
      <c r="LV34" s="174"/>
      <c r="LW34" s="174"/>
      <c r="LX34" s="175"/>
      <c r="LY34" s="175"/>
      <c r="LZ34" s="175"/>
      <c r="MA34" s="175"/>
      <c r="MB34" s="175"/>
      <c r="MC34" s="175"/>
      <c r="MD34" s="174"/>
      <c r="ME34" s="174"/>
      <c r="MF34" s="174"/>
      <c r="MG34" s="174"/>
      <c r="MH34" s="174"/>
      <c r="MI34" s="174"/>
      <c r="MJ34" s="174"/>
      <c r="MK34" s="174"/>
      <c r="ML34" s="174"/>
      <c r="MM34" s="174"/>
      <c r="MN34" s="174"/>
      <c r="MO34" s="174"/>
      <c r="MP34" s="174"/>
      <c r="MQ34" s="174"/>
      <c r="MR34" s="174"/>
      <c r="MS34" s="174"/>
      <c r="MT34" s="174"/>
      <c r="MU34" s="174"/>
      <c r="MV34" s="174"/>
      <c r="MW34" s="174"/>
      <c r="MX34" s="174"/>
      <c r="MY34" s="174"/>
      <c r="MZ34" s="174"/>
      <c r="NA34" s="174"/>
      <c r="NB34" s="174"/>
      <c r="NC34" s="174"/>
      <c r="ND34" s="174"/>
      <c r="NE34" s="174"/>
      <c r="NF34" s="174"/>
      <c r="NG34" s="174"/>
      <c r="NH34" s="174"/>
      <c r="NI34" s="174"/>
      <c r="NJ34" s="174"/>
      <c r="NK34" s="174"/>
      <c r="NL34" s="174"/>
      <c r="NM34" s="174"/>
      <c r="NN34" s="174"/>
      <c r="NO34" s="174"/>
      <c r="NP34" s="174"/>
      <c r="NQ34" s="174"/>
      <c r="NR34" s="174"/>
      <c r="NS34" s="174"/>
      <c r="NT34" s="174"/>
      <c r="NU34" s="174"/>
      <c r="NV34" s="174"/>
      <c r="NW34" s="174"/>
      <c r="NX34" s="174"/>
      <c r="NY34" s="174"/>
      <c r="NZ34" s="174"/>
      <c r="OA34" s="174"/>
      <c r="OB34" s="174"/>
      <c r="OC34" s="174"/>
      <c r="OD34" s="174"/>
      <c r="OE34" s="174"/>
      <c r="OF34" s="174"/>
      <c r="OG34" s="174"/>
      <c r="OH34" s="176"/>
      <c r="OI34" s="164"/>
      <c r="OJ34" s="164"/>
      <c r="OK34" s="164"/>
      <c r="OL34" s="164"/>
      <c r="OM34" s="164"/>
      <c r="ON34" s="164"/>
      <c r="OO34" s="164"/>
      <c r="OP34" s="164"/>
      <c r="OQ34" s="164"/>
      <c r="OR34" s="164"/>
      <c r="OS34" s="164"/>
      <c r="OT34" s="164"/>
      <c r="OU34" s="164"/>
      <c r="OV34" s="164"/>
      <c r="OW34" s="164"/>
      <c r="OX34" s="164"/>
      <c r="OY34" s="164"/>
      <c r="OZ34" s="164"/>
      <c r="PA34" s="164"/>
      <c r="PB34" s="164"/>
      <c r="PC34" s="164"/>
      <c r="PD34" s="164"/>
      <c r="PE34" s="164"/>
      <c r="PF34" s="164"/>
      <c r="PG34" s="164"/>
      <c r="PH34" s="164"/>
      <c r="PI34" s="164"/>
      <c r="PJ34" s="164"/>
      <c r="PK34" s="164"/>
      <c r="PL34" s="164"/>
      <c r="PM34" s="164"/>
      <c r="PN34" s="164"/>
      <c r="PO34" s="164"/>
      <c r="PP34" s="164"/>
      <c r="QM34" s="164"/>
      <c r="QO34" s="164"/>
      <c r="QP34" s="164"/>
      <c r="QQ34" s="165"/>
      <c r="QR34" s="166"/>
    </row>
    <row r="35" spans="3:460" ht="5.15" customHeight="1" x14ac:dyDescent="0.35">
      <c r="C35" s="161"/>
      <c r="D35" s="162"/>
      <c r="E35" s="164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4"/>
      <c r="Q35" s="164"/>
      <c r="R35" s="164"/>
      <c r="S35" s="164"/>
      <c r="T35" s="164"/>
      <c r="U35" s="164"/>
      <c r="V35" s="164"/>
      <c r="W35" s="163"/>
      <c r="AC35" s="163"/>
      <c r="AD35" s="163"/>
      <c r="AE35" s="164"/>
      <c r="AF35" s="169"/>
      <c r="AG35" s="164"/>
      <c r="AH35" s="164"/>
      <c r="AI35" s="164"/>
      <c r="AJ35" s="164"/>
      <c r="AK35" s="164"/>
      <c r="AL35" s="164"/>
      <c r="AM35" s="164"/>
      <c r="AN35" s="164"/>
      <c r="AO35" s="164"/>
      <c r="AP35" s="164"/>
      <c r="AQ35" s="164"/>
      <c r="AR35" s="164"/>
      <c r="AS35" s="164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64"/>
      <c r="CF35" s="164"/>
      <c r="CG35" s="164"/>
      <c r="CH35" s="164"/>
      <c r="CI35" s="164"/>
      <c r="CJ35" s="164"/>
      <c r="CK35" s="164"/>
      <c r="CL35" s="164"/>
      <c r="CM35" s="164"/>
      <c r="CN35" s="164"/>
      <c r="CO35" s="164"/>
      <c r="CP35" s="164"/>
      <c r="CQ35" s="164"/>
      <c r="CR35" s="164"/>
      <c r="CS35" s="164"/>
      <c r="CT35" s="164"/>
      <c r="CU35" s="164"/>
      <c r="CV35" s="164"/>
      <c r="CW35" s="164"/>
      <c r="CX35" s="164"/>
      <c r="CY35" s="164"/>
      <c r="CZ35" s="164"/>
      <c r="DA35" s="164"/>
      <c r="DB35" s="164"/>
      <c r="DC35" s="164"/>
      <c r="DD35" s="164"/>
      <c r="DE35" s="164"/>
      <c r="DF35" s="164"/>
      <c r="DG35" s="164"/>
      <c r="DH35" s="164"/>
      <c r="DI35" s="164"/>
      <c r="DJ35" s="164"/>
      <c r="DK35" s="164"/>
      <c r="DL35" s="164"/>
      <c r="DM35" s="164"/>
      <c r="DN35" s="164"/>
      <c r="DO35" s="164"/>
      <c r="DP35" s="164"/>
      <c r="DQ35" s="164"/>
      <c r="DR35" s="164"/>
      <c r="DS35" s="164"/>
      <c r="DT35" s="164"/>
      <c r="DU35" s="164"/>
      <c r="DV35" s="164"/>
      <c r="DW35" s="164"/>
      <c r="DX35" s="164"/>
      <c r="DY35" s="164"/>
      <c r="DZ35" s="164"/>
      <c r="EA35" s="164"/>
      <c r="EB35" s="164"/>
      <c r="EC35" s="164"/>
      <c r="ED35" s="169"/>
      <c r="EE35" s="164"/>
      <c r="EF35" s="164"/>
      <c r="EG35" s="164"/>
      <c r="EH35" s="164"/>
      <c r="EI35" s="164"/>
      <c r="EJ35" s="164"/>
      <c r="EK35" s="164"/>
      <c r="EL35" s="164"/>
      <c r="EM35" s="164"/>
      <c r="EN35" s="164"/>
      <c r="EO35" s="164"/>
      <c r="EP35" s="164"/>
      <c r="EQ35" s="164"/>
      <c r="ER35" s="164"/>
      <c r="ES35" s="164"/>
      <c r="ET35" s="164"/>
      <c r="EU35" s="164"/>
      <c r="EV35" s="164"/>
      <c r="EW35" s="164"/>
      <c r="EX35" s="164"/>
      <c r="EY35" s="164"/>
      <c r="EZ35" s="164"/>
      <c r="FA35" s="164"/>
      <c r="FB35" s="164"/>
      <c r="FC35" s="164"/>
      <c r="FD35" s="164"/>
      <c r="FE35" s="164"/>
      <c r="FF35" s="164"/>
      <c r="FG35" s="164"/>
      <c r="FH35" s="164"/>
      <c r="FI35" s="164"/>
      <c r="FJ35" s="164"/>
      <c r="FK35" s="164"/>
      <c r="FL35" s="164"/>
      <c r="FM35" s="164"/>
      <c r="FN35" s="164"/>
      <c r="FO35" s="164"/>
      <c r="FP35" s="164"/>
      <c r="FQ35" s="164"/>
      <c r="FR35" s="164"/>
      <c r="FS35" s="164"/>
      <c r="FT35" s="164"/>
      <c r="FU35" s="164"/>
      <c r="FV35" s="164"/>
      <c r="FW35" s="164"/>
      <c r="FX35" s="164"/>
      <c r="FY35" s="164"/>
      <c r="FZ35" s="164"/>
      <c r="GA35" s="164"/>
      <c r="GB35" s="164"/>
      <c r="GC35" s="164"/>
      <c r="GD35" s="164"/>
      <c r="GE35" s="164"/>
      <c r="GF35" s="164"/>
      <c r="GG35" s="164"/>
      <c r="GH35" s="164"/>
      <c r="GI35" s="164"/>
      <c r="GJ35" s="164"/>
      <c r="GK35" s="164"/>
      <c r="GL35" s="164"/>
      <c r="GM35" s="164"/>
      <c r="GN35" s="164"/>
      <c r="GO35" s="164"/>
      <c r="GP35" s="164"/>
      <c r="GQ35" s="164"/>
      <c r="GR35" s="164"/>
      <c r="GS35" s="164"/>
      <c r="GT35" s="164"/>
      <c r="GU35" s="164"/>
      <c r="GV35" s="164"/>
      <c r="GW35" s="164"/>
      <c r="GX35" s="164"/>
      <c r="GY35" s="164"/>
      <c r="GZ35" s="164"/>
      <c r="HA35" s="164"/>
      <c r="HB35" s="164"/>
      <c r="HC35" s="164"/>
      <c r="HD35" s="164"/>
      <c r="HE35" s="164"/>
      <c r="HF35" s="164"/>
      <c r="HG35" s="164"/>
      <c r="HH35" s="164"/>
      <c r="HI35" s="164"/>
      <c r="HJ35" s="164"/>
      <c r="HK35" s="164"/>
      <c r="HL35" s="164"/>
      <c r="HM35" s="164"/>
      <c r="HN35" s="164"/>
      <c r="HO35" s="164"/>
      <c r="HP35" s="164"/>
      <c r="HQ35" s="164"/>
      <c r="HR35" s="164"/>
      <c r="HS35" s="164"/>
      <c r="HT35" s="164"/>
      <c r="HU35" s="164"/>
      <c r="HV35" s="164"/>
      <c r="HW35" s="164"/>
      <c r="HX35" s="164"/>
      <c r="HY35" s="164"/>
      <c r="HZ35" s="164"/>
      <c r="IA35" s="164"/>
      <c r="IB35" s="164"/>
      <c r="IC35" s="164"/>
      <c r="ID35" s="164"/>
      <c r="IE35" s="164"/>
      <c r="IF35" s="164"/>
      <c r="IG35" s="164"/>
      <c r="IH35" s="164"/>
      <c r="II35" s="164"/>
      <c r="IV35" s="164"/>
      <c r="IW35" s="164"/>
      <c r="IX35" s="164"/>
      <c r="IY35" s="164"/>
      <c r="IZ35" s="164"/>
      <c r="JA35" s="164"/>
      <c r="JB35" s="164"/>
      <c r="JC35" s="164"/>
      <c r="JD35" s="164"/>
      <c r="JE35" s="164"/>
      <c r="JF35" s="164"/>
      <c r="JG35" s="164"/>
      <c r="JH35" s="164"/>
      <c r="JI35" s="164"/>
      <c r="JJ35" s="164"/>
      <c r="JK35" s="164"/>
      <c r="JL35" s="164"/>
      <c r="JM35" s="164"/>
      <c r="JN35" s="164"/>
      <c r="JO35" s="164"/>
      <c r="JP35" s="164"/>
      <c r="JQ35" s="164"/>
      <c r="JR35" s="164"/>
      <c r="JS35" s="164"/>
      <c r="JT35" s="164"/>
      <c r="JU35" s="164"/>
      <c r="JV35" s="164"/>
      <c r="JW35" s="164"/>
      <c r="JX35" s="164"/>
      <c r="JY35" s="164"/>
      <c r="JZ35" s="164"/>
      <c r="KA35" s="164"/>
      <c r="KB35" s="164"/>
      <c r="KC35" s="164"/>
      <c r="KD35" s="164"/>
      <c r="KE35" s="164"/>
      <c r="KF35" s="164"/>
      <c r="KG35" s="164"/>
      <c r="KH35" s="164"/>
      <c r="KI35" s="164"/>
      <c r="KJ35" s="164"/>
      <c r="KK35" s="164"/>
      <c r="KL35" s="164"/>
      <c r="KM35" s="164"/>
      <c r="KN35" s="164"/>
      <c r="KO35" s="164"/>
      <c r="KP35" s="164"/>
      <c r="KQ35" s="164"/>
      <c r="KR35" s="164"/>
      <c r="KS35" s="164"/>
      <c r="KT35" s="164"/>
      <c r="KU35" s="164"/>
      <c r="KV35" s="164"/>
      <c r="KW35" s="164"/>
      <c r="KX35" s="164"/>
      <c r="KY35" s="164"/>
      <c r="KZ35" s="164"/>
      <c r="LA35" s="164"/>
      <c r="LB35" s="164"/>
      <c r="LC35" s="164"/>
      <c r="LD35" s="164"/>
      <c r="LE35" s="164"/>
      <c r="LF35" s="169"/>
      <c r="LG35" s="164"/>
      <c r="LH35" s="164"/>
      <c r="LI35" s="164"/>
      <c r="LJ35" s="164"/>
      <c r="LK35" s="164"/>
      <c r="LL35" s="164"/>
      <c r="LM35" s="164"/>
      <c r="LN35" s="164"/>
      <c r="LO35" s="164"/>
      <c r="LP35" s="164"/>
      <c r="LQ35" s="164"/>
      <c r="LR35" s="164"/>
      <c r="LS35" s="164"/>
      <c r="LT35" s="164"/>
      <c r="LU35" s="164"/>
      <c r="LV35" s="164"/>
      <c r="LW35" s="164"/>
      <c r="LX35" s="164"/>
      <c r="LY35" s="164"/>
      <c r="LZ35" s="164"/>
      <c r="MA35" s="164"/>
      <c r="MB35" s="164"/>
      <c r="MC35" s="164"/>
      <c r="MD35" s="164"/>
      <c r="ME35" s="164"/>
      <c r="MF35" s="164"/>
      <c r="MG35" s="164"/>
      <c r="MH35" s="164"/>
      <c r="MI35" s="164"/>
      <c r="MJ35" s="164"/>
      <c r="MK35" s="164"/>
      <c r="ML35" s="164"/>
      <c r="MM35" s="164"/>
      <c r="MN35" s="164"/>
      <c r="MO35" s="164"/>
      <c r="MP35" s="164"/>
      <c r="MQ35" s="164"/>
      <c r="MR35" s="164"/>
      <c r="MS35" s="164"/>
      <c r="MT35" s="164"/>
      <c r="MU35" s="164"/>
      <c r="MV35" s="164"/>
      <c r="MW35" s="164"/>
      <c r="MX35" s="164"/>
      <c r="MY35" s="164"/>
      <c r="MZ35" s="164"/>
      <c r="NA35" s="164"/>
      <c r="NB35" s="164"/>
      <c r="NC35" s="164"/>
      <c r="ND35" s="164"/>
      <c r="NE35" s="164"/>
      <c r="NF35" s="164"/>
      <c r="NG35" s="164"/>
      <c r="NH35" s="164"/>
      <c r="NI35" s="164"/>
      <c r="NJ35" s="164"/>
      <c r="NK35" s="164"/>
      <c r="NL35" s="164"/>
      <c r="NM35" s="164"/>
      <c r="NN35" s="164"/>
      <c r="NO35" s="164"/>
      <c r="NP35" s="164"/>
      <c r="NQ35" s="164"/>
      <c r="NR35" s="164"/>
      <c r="NS35" s="164"/>
      <c r="NT35" s="164"/>
      <c r="NU35" s="164"/>
      <c r="NV35" s="164"/>
      <c r="NW35" s="164"/>
      <c r="NX35" s="164"/>
      <c r="NY35" s="164"/>
      <c r="NZ35" s="164"/>
      <c r="OA35" s="164"/>
      <c r="OB35" s="164"/>
      <c r="OC35" s="164"/>
      <c r="OD35" s="164"/>
      <c r="OE35" s="164"/>
      <c r="OF35" s="164"/>
      <c r="OG35" s="164"/>
      <c r="OH35" s="172"/>
      <c r="OI35" s="164"/>
      <c r="OJ35" s="164"/>
      <c r="OK35" s="164"/>
      <c r="OL35" s="164"/>
      <c r="OM35" s="164"/>
      <c r="ON35" s="164"/>
      <c r="OO35" s="164"/>
      <c r="OP35" s="164"/>
      <c r="OQ35" s="164"/>
      <c r="OR35" s="164"/>
      <c r="OS35" s="164"/>
      <c r="OT35" s="164"/>
      <c r="OU35" s="164"/>
      <c r="OV35" s="164"/>
      <c r="OW35" s="164"/>
      <c r="OX35" s="164"/>
      <c r="OY35" s="164"/>
      <c r="OZ35" s="164"/>
      <c r="PA35" s="164"/>
      <c r="PB35" s="164"/>
      <c r="PC35" s="164"/>
      <c r="PD35" s="164"/>
      <c r="PE35" s="164"/>
      <c r="PF35" s="164"/>
      <c r="PG35" s="164"/>
      <c r="PH35" s="164"/>
      <c r="PI35" s="164"/>
      <c r="PJ35" s="164"/>
      <c r="PK35" s="164"/>
      <c r="PL35" s="164"/>
      <c r="PM35" s="164"/>
      <c r="PN35" s="164"/>
      <c r="QM35" s="164"/>
      <c r="QO35" s="164"/>
      <c r="QP35" s="164"/>
      <c r="QQ35" s="165"/>
      <c r="QR35" s="166"/>
    </row>
    <row r="36" spans="3:460" ht="5.15" customHeight="1" x14ac:dyDescent="0.35">
      <c r="C36" s="161"/>
      <c r="D36" s="162"/>
      <c r="E36" s="164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AC36" s="163"/>
      <c r="AD36" s="163"/>
      <c r="AE36" s="163"/>
      <c r="AF36" s="177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I36" s="163"/>
      <c r="BJ36" s="163"/>
      <c r="BK36" s="164"/>
      <c r="BL36" s="164"/>
      <c r="BM36" s="164"/>
      <c r="BN36" s="164"/>
      <c r="BO36" s="164"/>
      <c r="BP36" s="164"/>
      <c r="BQ36" s="164"/>
      <c r="BR36" s="164"/>
      <c r="BS36" s="164"/>
      <c r="BT36" s="164"/>
      <c r="BU36" s="164"/>
      <c r="BV36" s="164"/>
      <c r="BW36" s="164"/>
      <c r="BX36" s="164"/>
      <c r="BY36" s="164"/>
      <c r="BZ36" s="164"/>
      <c r="CA36" s="164"/>
      <c r="CB36" s="164"/>
      <c r="CC36" s="164"/>
      <c r="CD36" s="164"/>
      <c r="CE36" s="164"/>
      <c r="CF36" s="164"/>
      <c r="CG36" s="164"/>
      <c r="CH36" s="164"/>
      <c r="CI36" s="164"/>
      <c r="CJ36" s="164"/>
      <c r="CK36" s="164"/>
      <c r="CL36" s="164"/>
      <c r="CM36" s="164"/>
      <c r="CN36" s="164"/>
      <c r="CO36" s="164"/>
      <c r="CP36" s="164"/>
      <c r="CQ36" s="164"/>
      <c r="CR36" s="164"/>
      <c r="CS36" s="164"/>
      <c r="CT36" s="164"/>
      <c r="CU36" s="164"/>
      <c r="CV36" s="164"/>
      <c r="CW36" s="164"/>
      <c r="CX36" s="164"/>
      <c r="CY36" s="164"/>
      <c r="CZ36" s="164"/>
      <c r="DA36" s="164"/>
      <c r="DB36" s="164"/>
      <c r="DC36" s="164"/>
      <c r="DD36" s="164"/>
      <c r="DE36" s="164"/>
      <c r="DF36" s="164"/>
      <c r="DG36" s="164"/>
      <c r="DH36" s="164"/>
      <c r="DI36" s="164"/>
      <c r="DJ36" s="164"/>
      <c r="DK36" s="164"/>
      <c r="DL36" s="164"/>
      <c r="DM36" s="164"/>
      <c r="DN36" s="164"/>
      <c r="DO36" s="164"/>
      <c r="DP36" s="164"/>
      <c r="DQ36" s="164"/>
      <c r="DR36" s="164"/>
      <c r="DS36" s="164"/>
      <c r="DT36" s="164"/>
      <c r="DU36" s="164"/>
      <c r="DV36" s="164"/>
      <c r="DW36" s="164"/>
      <c r="DX36" s="164"/>
      <c r="DY36" s="164"/>
      <c r="DZ36" s="164"/>
      <c r="EA36" s="164"/>
      <c r="EB36" s="164"/>
      <c r="EC36" s="164"/>
      <c r="ED36" s="169"/>
      <c r="EE36" s="164"/>
      <c r="EF36" s="164"/>
      <c r="EG36" s="164"/>
      <c r="EH36" s="164"/>
      <c r="EI36" s="164"/>
      <c r="EJ36" s="164"/>
      <c r="EK36" s="164"/>
      <c r="EL36" s="164"/>
      <c r="EM36" s="164"/>
      <c r="EN36" s="164"/>
      <c r="EO36" s="164"/>
      <c r="EP36" s="164"/>
      <c r="EQ36" s="164"/>
      <c r="ER36" s="164"/>
      <c r="ES36" s="164"/>
      <c r="ET36" s="164"/>
      <c r="EU36" s="164"/>
      <c r="EV36" s="164"/>
      <c r="EX36" s="164"/>
      <c r="EY36" s="164"/>
      <c r="EZ36" s="164"/>
      <c r="FA36" s="164"/>
      <c r="FB36" s="164"/>
      <c r="FC36" s="164"/>
      <c r="FD36" s="164"/>
      <c r="FE36" s="164"/>
      <c r="FF36" s="164"/>
      <c r="FG36" s="164"/>
      <c r="FH36" s="164"/>
      <c r="FI36" s="164"/>
      <c r="FJ36" s="164"/>
      <c r="FK36" s="164"/>
      <c r="FL36" s="164"/>
      <c r="FM36" s="164"/>
      <c r="FN36" s="164"/>
      <c r="FO36" s="164"/>
      <c r="FP36" s="164"/>
      <c r="FQ36" s="164"/>
      <c r="FR36" s="164"/>
      <c r="FS36" s="164"/>
      <c r="FT36" s="164"/>
      <c r="FU36" s="164"/>
      <c r="FV36" s="164"/>
      <c r="FW36" s="164"/>
      <c r="FX36" s="164"/>
      <c r="FY36" s="164"/>
      <c r="FZ36" s="164"/>
      <c r="GA36" s="164"/>
      <c r="GB36" s="164"/>
      <c r="GC36" s="164"/>
      <c r="GD36" s="164"/>
      <c r="GE36" s="164"/>
      <c r="GF36" s="164"/>
      <c r="GG36" s="164"/>
      <c r="GH36" s="164"/>
      <c r="GI36" s="164"/>
      <c r="GJ36" s="164"/>
      <c r="GK36" s="164"/>
      <c r="GL36" s="164"/>
      <c r="GM36" s="164"/>
      <c r="GN36" s="164"/>
      <c r="GO36" s="164"/>
      <c r="GP36" s="164"/>
      <c r="GQ36" s="164"/>
      <c r="GR36" s="164"/>
      <c r="GS36" s="164"/>
      <c r="GT36" s="164"/>
      <c r="GU36" s="164"/>
      <c r="GV36" s="164"/>
      <c r="GW36" s="164"/>
      <c r="GX36" s="164"/>
      <c r="GY36" s="164"/>
      <c r="GZ36" s="164"/>
      <c r="HA36" s="178"/>
      <c r="HF36" s="164"/>
      <c r="HG36" s="164"/>
      <c r="HH36" s="164"/>
      <c r="HI36" s="164"/>
      <c r="HJ36" s="164"/>
      <c r="HK36" s="164"/>
      <c r="HL36" s="164"/>
      <c r="HM36" s="164"/>
      <c r="HN36" s="164"/>
      <c r="HO36" s="164"/>
      <c r="HP36" s="164"/>
      <c r="HQ36" s="164"/>
      <c r="HR36" s="164"/>
      <c r="HS36" s="164"/>
      <c r="HT36" s="164"/>
      <c r="HU36" s="164"/>
      <c r="HV36" s="164"/>
      <c r="HW36" s="164"/>
      <c r="HX36" s="164"/>
      <c r="HY36" s="164"/>
      <c r="HZ36" s="164"/>
      <c r="IA36" s="164"/>
      <c r="IB36" s="164"/>
      <c r="IC36" s="164"/>
      <c r="ID36" s="164"/>
      <c r="IE36" s="164"/>
      <c r="IF36" s="164"/>
      <c r="IG36" s="164"/>
      <c r="IH36" s="164"/>
      <c r="II36" s="164"/>
      <c r="IV36" s="164"/>
      <c r="IW36" s="164"/>
      <c r="IX36" s="164"/>
      <c r="IY36" s="164"/>
      <c r="IZ36" s="164"/>
      <c r="JA36" s="164"/>
      <c r="JB36" s="164"/>
      <c r="JC36" s="164"/>
      <c r="JD36" s="164"/>
      <c r="JE36" s="164"/>
      <c r="JF36" s="164"/>
      <c r="JG36" s="164"/>
      <c r="JH36" s="164"/>
      <c r="JI36" s="164"/>
      <c r="JJ36" s="164"/>
      <c r="JK36" s="164"/>
      <c r="JL36" s="164"/>
      <c r="JM36" s="164"/>
      <c r="JZ36" s="164"/>
      <c r="KA36" s="164"/>
      <c r="KB36" s="164"/>
      <c r="KC36" s="164"/>
      <c r="KD36" s="164"/>
      <c r="KE36" s="164"/>
      <c r="KF36" s="164"/>
      <c r="KG36" s="164"/>
      <c r="KH36" s="164"/>
      <c r="KI36" s="164"/>
      <c r="KJ36" s="164"/>
      <c r="KK36" s="164"/>
      <c r="KL36" s="164"/>
      <c r="KM36" s="164"/>
      <c r="LF36" s="169"/>
      <c r="LR36" s="164"/>
      <c r="LS36" s="164"/>
      <c r="LT36" s="164"/>
      <c r="LU36" s="164"/>
      <c r="LV36" s="164"/>
      <c r="LW36" s="164"/>
      <c r="LX36" s="164"/>
      <c r="LY36" s="164"/>
      <c r="LZ36" s="164"/>
      <c r="MA36" s="164"/>
      <c r="MB36" s="164"/>
      <c r="MC36" s="164"/>
      <c r="MD36" s="164"/>
      <c r="ME36" s="164"/>
      <c r="MF36" s="164"/>
      <c r="MG36" s="164"/>
      <c r="MH36" s="164"/>
      <c r="MI36" s="164"/>
      <c r="MJ36" s="164"/>
      <c r="MK36" s="164"/>
      <c r="ML36" s="164"/>
      <c r="MM36" s="164"/>
      <c r="MN36" s="164"/>
      <c r="MO36" s="164"/>
      <c r="MP36" s="164"/>
      <c r="MQ36" s="164"/>
      <c r="MR36" s="164"/>
      <c r="MS36" s="164"/>
      <c r="MT36" s="164"/>
      <c r="MU36" s="164"/>
      <c r="MV36" s="164"/>
      <c r="MW36" s="164"/>
      <c r="MX36" s="164"/>
      <c r="MY36" s="164"/>
      <c r="MZ36" s="164"/>
      <c r="NA36" s="164"/>
      <c r="NB36" s="164"/>
      <c r="NC36" s="164"/>
      <c r="ND36" s="164"/>
      <c r="NE36" s="164"/>
      <c r="NF36" s="164"/>
      <c r="NG36" s="164"/>
      <c r="NH36" s="164"/>
      <c r="NI36" s="164"/>
      <c r="NJ36" s="164"/>
      <c r="NK36" s="164"/>
      <c r="NL36" s="164"/>
      <c r="NM36" s="164"/>
      <c r="NN36" s="164"/>
      <c r="NO36" s="164"/>
      <c r="NP36" s="164"/>
      <c r="NQ36" s="164"/>
      <c r="NR36" s="164"/>
      <c r="NS36" s="164"/>
      <c r="NT36" s="164"/>
      <c r="NU36" s="164"/>
      <c r="NV36" s="164"/>
      <c r="NW36" s="164"/>
      <c r="NX36" s="164"/>
      <c r="NY36" s="164"/>
      <c r="NZ36" s="164"/>
      <c r="OA36" s="164"/>
      <c r="OB36" s="164"/>
      <c r="OC36" s="164"/>
      <c r="OD36" s="164"/>
      <c r="OE36" s="164"/>
      <c r="OF36" s="164"/>
      <c r="OG36" s="164"/>
      <c r="OH36" s="179"/>
      <c r="OI36" s="164"/>
      <c r="OJ36" s="164"/>
      <c r="OK36" s="164"/>
      <c r="OL36" s="164"/>
      <c r="OM36" s="164"/>
      <c r="ON36" s="164"/>
      <c r="OO36" s="164"/>
      <c r="OP36" s="164"/>
      <c r="OQ36" s="164"/>
      <c r="OR36" s="164"/>
      <c r="OS36" s="164"/>
      <c r="OT36" s="164"/>
      <c r="OU36" s="164"/>
      <c r="OV36" s="164"/>
      <c r="OW36" s="164"/>
      <c r="OX36" s="164"/>
      <c r="OY36" s="164"/>
      <c r="OZ36" s="164"/>
      <c r="PA36" s="164"/>
      <c r="PB36" s="164"/>
      <c r="PC36" s="164"/>
      <c r="PD36" s="164"/>
      <c r="PE36" s="164"/>
      <c r="PF36" s="164"/>
      <c r="PG36" s="164"/>
      <c r="PH36" s="164"/>
      <c r="PI36" s="164"/>
      <c r="PJ36" s="164"/>
      <c r="PK36" s="164"/>
      <c r="PL36" s="164"/>
      <c r="PM36" s="164"/>
      <c r="PN36" s="164"/>
      <c r="QM36" s="164"/>
      <c r="QO36" s="164"/>
      <c r="QP36" s="164"/>
      <c r="QQ36" s="165"/>
      <c r="QR36" s="166"/>
    </row>
    <row r="37" spans="3:460" ht="5.15" customHeight="1" x14ac:dyDescent="0.35">
      <c r="C37" s="161"/>
      <c r="D37" s="162"/>
      <c r="E37" s="164"/>
      <c r="F37" s="163"/>
      <c r="G37" s="163"/>
      <c r="H37" s="163"/>
      <c r="I37" s="309" t="s">
        <v>266</v>
      </c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  <c r="AA37" s="309"/>
      <c r="AB37" s="309"/>
      <c r="AC37" s="309"/>
      <c r="AD37" s="309"/>
      <c r="AE37" s="309"/>
      <c r="AF37" s="309"/>
      <c r="AG37" s="309"/>
      <c r="AH37" s="309"/>
      <c r="AI37" s="309"/>
      <c r="AJ37" s="309"/>
      <c r="AK37" s="309"/>
      <c r="AL37" s="309"/>
      <c r="AM37" s="309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>
        <f>SUM(AX48:BB87)</f>
        <v>10</v>
      </c>
      <c r="AY37" s="309"/>
      <c r="AZ37" s="309"/>
      <c r="BA37" s="309"/>
      <c r="BB37" s="309"/>
      <c r="BC37" s="163"/>
      <c r="BD37" s="163"/>
      <c r="CY37" s="164"/>
      <c r="CZ37" s="164"/>
      <c r="DA37" s="164"/>
      <c r="DB37" s="164"/>
      <c r="DC37" s="164"/>
      <c r="DD37" s="164"/>
      <c r="DE37" s="164"/>
      <c r="DF37" s="164"/>
      <c r="DG37" s="164"/>
      <c r="DH37" s="164"/>
      <c r="DI37" s="164"/>
      <c r="DJ37" s="164"/>
      <c r="DK37" s="164"/>
      <c r="DL37" s="164"/>
      <c r="DM37" s="164"/>
      <c r="DN37" s="164"/>
      <c r="DO37" s="164"/>
      <c r="DP37" s="164"/>
      <c r="DQ37" s="164"/>
      <c r="ED37" s="169"/>
      <c r="EE37" s="164"/>
      <c r="EF37" s="164"/>
      <c r="FU37" s="164"/>
      <c r="FV37" s="164"/>
      <c r="FW37" s="164"/>
      <c r="FX37" s="164"/>
      <c r="FY37" s="164"/>
      <c r="FZ37" s="164"/>
      <c r="GA37" s="164"/>
      <c r="GB37" s="164"/>
      <c r="GC37" s="164"/>
      <c r="GD37" s="164"/>
      <c r="GE37" s="164"/>
      <c r="GF37" s="164"/>
      <c r="GG37" s="164"/>
      <c r="GH37" s="164"/>
      <c r="GI37" s="164"/>
      <c r="GJ37" s="164"/>
      <c r="GK37" s="164"/>
      <c r="GL37" s="164"/>
      <c r="GM37" s="164"/>
      <c r="GN37" s="164"/>
      <c r="GO37" s="164"/>
      <c r="GP37" s="164"/>
      <c r="GQ37" s="164"/>
      <c r="GR37" s="164"/>
      <c r="GS37" s="164"/>
      <c r="GT37" s="164"/>
      <c r="GU37" s="164"/>
      <c r="GV37" s="164"/>
      <c r="GW37" s="164"/>
      <c r="GX37" s="164"/>
      <c r="GY37" s="164"/>
      <c r="GZ37" s="164"/>
      <c r="HA37" s="178"/>
      <c r="HO37" s="164"/>
      <c r="HP37" s="164"/>
      <c r="HQ37" s="164"/>
      <c r="HR37" s="164"/>
      <c r="HS37" s="164"/>
      <c r="HT37" s="164"/>
      <c r="HU37" s="164"/>
      <c r="HV37" s="164"/>
      <c r="HW37" s="164"/>
      <c r="HX37" s="164"/>
      <c r="HY37" s="164"/>
      <c r="HZ37" s="164"/>
      <c r="IA37" s="164"/>
      <c r="IB37" s="164"/>
      <c r="IC37" s="164"/>
      <c r="ID37" s="164"/>
      <c r="IE37" s="164"/>
      <c r="IF37" s="164"/>
      <c r="IG37" s="164"/>
      <c r="IH37" s="164"/>
      <c r="IV37" s="164"/>
      <c r="IW37" s="164"/>
      <c r="IX37" s="164"/>
      <c r="IY37" s="164"/>
      <c r="IZ37" s="164"/>
      <c r="JA37" s="164"/>
      <c r="JB37" s="164"/>
      <c r="JC37" s="164"/>
      <c r="JD37" s="164"/>
      <c r="JE37" s="164"/>
      <c r="JF37" s="164"/>
      <c r="JG37" s="164"/>
      <c r="JH37" s="164"/>
      <c r="JI37" s="164"/>
      <c r="JJ37" s="164"/>
      <c r="JK37" s="164"/>
      <c r="JL37" s="164"/>
      <c r="JM37" s="164"/>
      <c r="JZ37" s="164"/>
      <c r="KA37" s="164"/>
      <c r="KB37" s="164"/>
      <c r="KC37" s="164"/>
      <c r="KD37" s="164"/>
      <c r="KE37" s="164"/>
      <c r="KF37" s="164"/>
      <c r="KG37" s="164"/>
      <c r="KH37" s="164"/>
      <c r="KI37" s="164"/>
      <c r="KJ37" s="164"/>
      <c r="KK37" s="164"/>
      <c r="KL37" s="164"/>
      <c r="KM37" s="164"/>
      <c r="LF37" s="169"/>
      <c r="LR37" s="164"/>
      <c r="LS37" s="164"/>
      <c r="LT37" s="164"/>
      <c r="LU37" s="164"/>
      <c r="LV37" s="164"/>
      <c r="LW37" s="164"/>
      <c r="LX37" s="164"/>
      <c r="LY37" s="164"/>
      <c r="LZ37" s="164"/>
      <c r="MA37" s="164"/>
      <c r="MB37" s="164"/>
      <c r="MC37" s="164"/>
      <c r="MD37" s="164"/>
      <c r="ME37" s="164"/>
      <c r="MF37" s="164"/>
      <c r="MG37" s="164"/>
      <c r="MH37" s="164"/>
      <c r="MI37" s="164"/>
      <c r="MJ37" s="164"/>
      <c r="MK37" s="164"/>
      <c r="ML37" s="164"/>
      <c r="MM37" s="164"/>
      <c r="NN37" s="313" t="s">
        <v>267</v>
      </c>
      <c r="NO37" s="314"/>
      <c r="NP37" s="314"/>
      <c r="NQ37" s="314"/>
      <c r="NR37" s="314"/>
      <c r="NS37" s="314"/>
      <c r="NT37" s="314"/>
      <c r="NU37" s="314"/>
      <c r="NV37" s="314"/>
      <c r="NW37" s="314"/>
      <c r="NX37" s="314"/>
      <c r="NY37" s="314"/>
      <c r="NZ37" s="314"/>
      <c r="OA37" s="314"/>
      <c r="OB37" s="314"/>
      <c r="OC37" s="314"/>
      <c r="OD37" s="314"/>
      <c r="OE37" s="314"/>
      <c r="OF37" s="314"/>
      <c r="OG37" s="314"/>
      <c r="OH37" s="314"/>
      <c r="OI37" s="314"/>
      <c r="OJ37" s="314"/>
      <c r="OK37" s="314"/>
      <c r="OL37" s="314"/>
      <c r="OM37" s="314"/>
      <c r="ON37" s="314"/>
      <c r="OO37" s="314"/>
      <c r="OP37" s="314"/>
      <c r="OQ37" s="314"/>
      <c r="OR37" s="314"/>
      <c r="OS37" s="314"/>
      <c r="OT37" s="314"/>
      <c r="OU37" s="314"/>
      <c r="OV37" s="314"/>
      <c r="OW37" s="314"/>
      <c r="OX37" s="314"/>
      <c r="OY37" s="314"/>
      <c r="OZ37" s="314"/>
      <c r="PA37" s="314"/>
      <c r="PB37" s="315"/>
      <c r="PC37" s="313">
        <f>SUM(OD51,QF51,OE65)</f>
        <v>2</v>
      </c>
      <c r="PD37" s="314"/>
      <c r="PE37" s="314"/>
      <c r="PF37" s="314"/>
      <c r="PG37" s="314"/>
      <c r="PH37" s="315"/>
      <c r="PI37" s="164"/>
      <c r="PJ37" s="164"/>
      <c r="PK37" s="164"/>
      <c r="PL37" s="164"/>
      <c r="PM37" s="164"/>
      <c r="PN37" s="164"/>
      <c r="PO37" s="164"/>
      <c r="PP37" s="164"/>
      <c r="PQ37" s="164"/>
      <c r="PR37" s="164"/>
      <c r="PS37" s="164"/>
      <c r="PT37" s="164"/>
      <c r="PU37" s="164"/>
      <c r="PV37" s="164"/>
      <c r="PW37" s="164"/>
      <c r="PX37" s="164"/>
      <c r="PY37" s="164"/>
      <c r="PZ37" s="164"/>
      <c r="QA37" s="164"/>
      <c r="QB37" s="164"/>
      <c r="QC37" s="164"/>
      <c r="QD37" s="164"/>
      <c r="QE37" s="164"/>
      <c r="QF37" s="164"/>
      <c r="QG37" s="164"/>
      <c r="QH37" s="164"/>
      <c r="QI37" s="164"/>
      <c r="QM37" s="164"/>
      <c r="QO37" s="164"/>
      <c r="QP37" s="164"/>
      <c r="QQ37" s="165"/>
      <c r="QR37" s="166"/>
    </row>
    <row r="38" spans="3:460" ht="5.15" customHeight="1" x14ac:dyDescent="0.35">
      <c r="C38" s="161"/>
      <c r="D38" s="162"/>
      <c r="E38" s="164"/>
      <c r="F38" s="163"/>
      <c r="G38" s="163"/>
      <c r="H38" s="163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309"/>
      <c r="AB38" s="309"/>
      <c r="AC38" s="309"/>
      <c r="AD38" s="309"/>
      <c r="AE38" s="309"/>
      <c r="AF38" s="309"/>
      <c r="AG38" s="309"/>
      <c r="AH38" s="309"/>
      <c r="AI38" s="309"/>
      <c r="AJ38" s="309"/>
      <c r="AK38" s="309"/>
      <c r="AL38" s="309"/>
      <c r="AM38" s="309"/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163"/>
      <c r="BD38" s="163"/>
      <c r="ED38" s="169"/>
      <c r="EE38" s="164"/>
      <c r="EF38" s="164"/>
      <c r="FU38" s="164"/>
      <c r="FV38" s="164"/>
      <c r="FW38" s="164"/>
      <c r="FX38" s="164"/>
      <c r="FY38" s="164"/>
      <c r="FZ38" s="164"/>
      <c r="GA38" s="164"/>
      <c r="GB38" s="164"/>
      <c r="GC38" s="164"/>
      <c r="GD38" s="164"/>
      <c r="GE38" s="164"/>
      <c r="GF38" s="164"/>
      <c r="GG38" s="164"/>
      <c r="GH38" s="164"/>
      <c r="GI38" s="164"/>
      <c r="GJ38" s="164"/>
      <c r="GK38" s="164"/>
      <c r="GL38" s="164"/>
      <c r="GM38" s="164"/>
      <c r="GN38" s="164"/>
      <c r="GO38" s="164"/>
      <c r="GP38" s="164"/>
      <c r="GQ38" s="164"/>
      <c r="GR38" s="164"/>
      <c r="GS38" s="164"/>
      <c r="GT38" s="164"/>
      <c r="GU38" s="164"/>
      <c r="GV38" s="164"/>
      <c r="GW38" s="164"/>
      <c r="GX38" s="164"/>
      <c r="GY38" s="164"/>
      <c r="GZ38" s="164"/>
      <c r="HA38" s="178"/>
      <c r="HO38" s="164"/>
      <c r="HP38" s="164"/>
      <c r="HQ38" s="164"/>
      <c r="HR38" s="164"/>
      <c r="HS38" s="164"/>
      <c r="HT38" s="164"/>
      <c r="HU38" s="164"/>
      <c r="HV38" s="164"/>
      <c r="HW38" s="164"/>
      <c r="HX38" s="164"/>
      <c r="HY38" s="164"/>
      <c r="HZ38" s="164"/>
      <c r="IA38" s="164"/>
      <c r="IB38" s="164"/>
      <c r="IC38" s="164"/>
      <c r="ID38" s="164"/>
      <c r="IE38" s="164"/>
      <c r="IF38" s="164"/>
      <c r="IG38" s="164"/>
      <c r="IH38" s="164"/>
      <c r="JA38" s="164"/>
      <c r="JB38" s="164"/>
      <c r="JC38" s="164"/>
      <c r="JD38" s="164"/>
      <c r="JE38" s="164"/>
      <c r="JF38" s="164"/>
      <c r="JG38" s="164"/>
      <c r="JH38" s="164"/>
      <c r="JI38" s="164"/>
      <c r="JJ38" s="164"/>
      <c r="JK38" s="164"/>
      <c r="JL38" s="164"/>
      <c r="JM38" s="164"/>
      <c r="JN38" s="164"/>
      <c r="JO38" s="164"/>
      <c r="JP38" s="164"/>
      <c r="JQ38" s="164"/>
      <c r="JR38" s="164"/>
      <c r="JS38" s="164"/>
      <c r="JT38" s="164"/>
      <c r="JZ38" s="164"/>
      <c r="KA38" s="164"/>
      <c r="KB38" s="164"/>
      <c r="KC38" s="164"/>
      <c r="KD38" s="164"/>
      <c r="KE38" s="164"/>
      <c r="KF38" s="164"/>
      <c r="KG38" s="164"/>
      <c r="KH38" s="164"/>
      <c r="KI38" s="164"/>
      <c r="KJ38" s="164"/>
      <c r="KK38" s="164"/>
      <c r="KL38" s="164"/>
      <c r="KM38" s="164"/>
      <c r="LF38" s="169"/>
      <c r="LR38" s="164"/>
      <c r="LS38" s="164"/>
      <c r="LT38" s="164"/>
      <c r="LU38" s="164"/>
      <c r="LV38" s="164"/>
      <c r="LW38" s="164"/>
      <c r="LX38" s="164"/>
      <c r="LY38" s="164"/>
      <c r="LZ38" s="164"/>
      <c r="MA38" s="164"/>
      <c r="MB38" s="164"/>
      <c r="MC38" s="164"/>
      <c r="MD38" s="164"/>
      <c r="ME38" s="164"/>
      <c r="MF38" s="164"/>
      <c r="MG38" s="164"/>
      <c r="MH38" s="164"/>
      <c r="MI38" s="164"/>
      <c r="MJ38" s="164"/>
      <c r="MK38" s="164"/>
      <c r="ML38" s="164"/>
      <c r="MM38" s="164"/>
      <c r="NN38" s="316"/>
      <c r="NO38" s="304"/>
      <c r="NP38" s="304"/>
      <c r="NQ38" s="304"/>
      <c r="NR38" s="304"/>
      <c r="NS38" s="304"/>
      <c r="NT38" s="304"/>
      <c r="NU38" s="304"/>
      <c r="NV38" s="304"/>
      <c r="NW38" s="304"/>
      <c r="NX38" s="304"/>
      <c r="NY38" s="304"/>
      <c r="NZ38" s="304"/>
      <c r="OA38" s="304"/>
      <c r="OB38" s="304"/>
      <c r="OC38" s="304"/>
      <c r="OD38" s="304"/>
      <c r="OE38" s="304"/>
      <c r="OF38" s="304"/>
      <c r="OG38" s="304"/>
      <c r="OH38" s="304"/>
      <c r="OI38" s="304"/>
      <c r="OJ38" s="304"/>
      <c r="OK38" s="304"/>
      <c r="OL38" s="304"/>
      <c r="OM38" s="304"/>
      <c r="ON38" s="304"/>
      <c r="OO38" s="304"/>
      <c r="OP38" s="304"/>
      <c r="OQ38" s="304"/>
      <c r="OR38" s="304"/>
      <c r="OS38" s="304"/>
      <c r="OT38" s="304"/>
      <c r="OU38" s="304"/>
      <c r="OV38" s="304"/>
      <c r="OW38" s="304"/>
      <c r="OX38" s="304"/>
      <c r="OY38" s="304"/>
      <c r="OZ38" s="304"/>
      <c r="PA38" s="304"/>
      <c r="PB38" s="305"/>
      <c r="PC38" s="316"/>
      <c r="PD38" s="304"/>
      <c r="PE38" s="304"/>
      <c r="PF38" s="304"/>
      <c r="PG38" s="304"/>
      <c r="PH38" s="305"/>
      <c r="PM38" s="164"/>
      <c r="PN38" s="164"/>
      <c r="QM38" s="164"/>
      <c r="QO38" s="164"/>
      <c r="QP38" s="164"/>
      <c r="QQ38" s="165"/>
      <c r="QR38" s="166"/>
    </row>
    <row r="39" spans="3:460" ht="5.15" customHeight="1" x14ac:dyDescent="0.35">
      <c r="C39" s="161"/>
      <c r="D39" s="162"/>
      <c r="E39" s="164"/>
      <c r="F39" s="163"/>
      <c r="G39" s="163"/>
      <c r="H39" s="163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  <c r="AA39" s="309"/>
      <c r="AB39" s="309"/>
      <c r="AC39" s="309"/>
      <c r="AD39" s="309"/>
      <c r="AE39" s="309"/>
      <c r="AF39" s="309"/>
      <c r="AG39" s="309"/>
      <c r="AH39" s="309"/>
      <c r="AI39" s="309"/>
      <c r="AJ39" s="309"/>
      <c r="AK39" s="309"/>
      <c r="AL39" s="309"/>
      <c r="AM39" s="309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163"/>
      <c r="BD39" s="163"/>
      <c r="ED39" s="169"/>
      <c r="EE39" s="164"/>
      <c r="EF39" s="164"/>
      <c r="FU39" s="164"/>
      <c r="FV39" s="164"/>
      <c r="FW39" s="164"/>
      <c r="FX39" s="164"/>
      <c r="FY39" s="164"/>
      <c r="FZ39" s="164"/>
      <c r="GA39" s="164"/>
      <c r="GB39" s="164"/>
      <c r="GC39" s="164"/>
      <c r="GD39" s="164"/>
      <c r="GE39" s="164"/>
      <c r="GF39" s="164"/>
      <c r="GG39" s="164"/>
      <c r="GH39" s="164"/>
      <c r="GI39" s="164"/>
      <c r="GJ39" s="164"/>
      <c r="GK39" s="164"/>
      <c r="GL39" s="164"/>
      <c r="GM39" s="164"/>
      <c r="GN39" s="164"/>
      <c r="GO39" s="164"/>
      <c r="GP39" s="164"/>
      <c r="GQ39" s="164"/>
      <c r="GR39" s="164"/>
      <c r="GS39" s="164"/>
      <c r="GT39" s="164"/>
      <c r="GU39" s="164"/>
      <c r="GV39" s="164"/>
      <c r="GW39" s="164"/>
      <c r="GX39" s="164"/>
      <c r="GY39" s="164"/>
      <c r="GZ39" s="164"/>
      <c r="HA39" s="178"/>
      <c r="HB39" s="164"/>
      <c r="HO39" s="164"/>
      <c r="HP39" s="164"/>
      <c r="HQ39" s="164"/>
      <c r="HR39" s="164"/>
      <c r="HS39" s="164"/>
      <c r="HT39" s="164"/>
      <c r="HU39" s="164"/>
      <c r="HV39" s="164"/>
      <c r="HW39" s="164"/>
      <c r="HX39" s="164"/>
      <c r="HY39" s="164"/>
      <c r="HZ39" s="164"/>
      <c r="IA39" s="164"/>
      <c r="IB39" s="164"/>
      <c r="IC39" s="164"/>
      <c r="ID39" s="164"/>
      <c r="IE39" s="164"/>
      <c r="IF39" s="164"/>
      <c r="IG39" s="164"/>
      <c r="IH39" s="164"/>
      <c r="IV39" s="164"/>
      <c r="IW39" s="164"/>
      <c r="IX39" s="164"/>
      <c r="IY39" s="164"/>
      <c r="IZ39" s="164"/>
      <c r="JA39" s="164"/>
      <c r="JB39" s="164"/>
      <c r="JC39" s="164"/>
      <c r="JD39" s="164"/>
      <c r="JE39" s="164"/>
      <c r="JF39" s="164"/>
      <c r="JG39" s="164"/>
      <c r="JH39" s="164"/>
      <c r="JI39" s="164"/>
      <c r="JJ39" s="164"/>
      <c r="JK39" s="164"/>
      <c r="JL39" s="164"/>
      <c r="JM39" s="164"/>
      <c r="JN39" s="164"/>
      <c r="JO39" s="164"/>
      <c r="JP39" s="164"/>
      <c r="JQ39" s="164"/>
      <c r="JR39" s="164"/>
      <c r="JS39" s="164"/>
      <c r="JT39" s="164"/>
      <c r="JU39" s="164"/>
      <c r="JV39" s="164"/>
      <c r="JW39" s="164"/>
      <c r="JX39" s="164"/>
      <c r="JY39" s="164"/>
      <c r="JZ39" s="164"/>
      <c r="KA39" s="164"/>
      <c r="KB39" s="164"/>
      <c r="KC39" s="164"/>
      <c r="KD39" s="164"/>
      <c r="KE39" s="164"/>
      <c r="KF39" s="164"/>
      <c r="KG39" s="164"/>
      <c r="KH39" s="164"/>
      <c r="KI39" s="164"/>
      <c r="KJ39" s="164"/>
      <c r="KK39" s="164"/>
      <c r="KL39" s="164"/>
      <c r="KM39" s="164"/>
      <c r="LF39" s="180"/>
      <c r="LR39" s="164"/>
      <c r="LS39" s="164"/>
      <c r="LT39" s="164"/>
      <c r="LU39" s="164"/>
      <c r="LV39" s="164"/>
      <c r="LW39" s="164"/>
      <c r="LX39" s="164"/>
      <c r="LY39" s="164"/>
      <c r="LZ39" s="164"/>
      <c r="MA39" s="164"/>
      <c r="MB39" s="164"/>
      <c r="MC39" s="164"/>
      <c r="MD39" s="164"/>
      <c r="ME39" s="164"/>
      <c r="MF39" s="164"/>
      <c r="MG39" s="164"/>
      <c r="MH39" s="164"/>
      <c r="MI39" s="164"/>
      <c r="MJ39" s="164"/>
      <c r="MK39" s="164"/>
      <c r="ML39" s="164"/>
      <c r="MM39" s="164"/>
      <c r="NN39" s="316"/>
      <c r="NO39" s="304"/>
      <c r="NP39" s="304"/>
      <c r="NQ39" s="304"/>
      <c r="NR39" s="304"/>
      <c r="NS39" s="304"/>
      <c r="NT39" s="304"/>
      <c r="NU39" s="304"/>
      <c r="NV39" s="304"/>
      <c r="NW39" s="304"/>
      <c r="NX39" s="304"/>
      <c r="NY39" s="304"/>
      <c r="NZ39" s="304"/>
      <c r="OA39" s="304"/>
      <c r="OB39" s="304"/>
      <c r="OC39" s="304"/>
      <c r="OD39" s="304"/>
      <c r="OE39" s="304"/>
      <c r="OF39" s="304"/>
      <c r="OG39" s="304"/>
      <c r="OH39" s="304"/>
      <c r="OI39" s="304"/>
      <c r="OJ39" s="304"/>
      <c r="OK39" s="304"/>
      <c r="OL39" s="304"/>
      <c r="OM39" s="304"/>
      <c r="ON39" s="304"/>
      <c r="OO39" s="304"/>
      <c r="OP39" s="304"/>
      <c r="OQ39" s="304"/>
      <c r="OR39" s="304"/>
      <c r="OS39" s="304"/>
      <c r="OT39" s="304"/>
      <c r="OU39" s="304"/>
      <c r="OV39" s="304"/>
      <c r="OW39" s="304"/>
      <c r="OX39" s="304"/>
      <c r="OY39" s="304"/>
      <c r="OZ39" s="304"/>
      <c r="PA39" s="304"/>
      <c r="PB39" s="305"/>
      <c r="PC39" s="316"/>
      <c r="PD39" s="304"/>
      <c r="PE39" s="304"/>
      <c r="PF39" s="304"/>
      <c r="PG39" s="304"/>
      <c r="PH39" s="305"/>
      <c r="PM39" s="164"/>
      <c r="PN39" s="164"/>
      <c r="QM39" s="164"/>
      <c r="QO39" s="164"/>
      <c r="QP39" s="164"/>
      <c r="QQ39" s="165"/>
      <c r="QR39" s="166"/>
    </row>
    <row r="40" spans="3:460" ht="5.15" customHeight="1" x14ac:dyDescent="0.35">
      <c r="C40" s="161"/>
      <c r="D40" s="162"/>
      <c r="E40" s="164"/>
      <c r="F40" s="163"/>
      <c r="G40" s="163"/>
      <c r="H40" s="163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  <c r="AA40" s="309"/>
      <c r="AB40" s="309"/>
      <c r="AC40" s="309"/>
      <c r="AD40" s="309"/>
      <c r="AE40" s="309"/>
      <c r="AF40" s="309"/>
      <c r="AG40" s="309"/>
      <c r="AH40" s="309"/>
      <c r="AI40" s="309"/>
      <c r="AJ40" s="309"/>
      <c r="AK40" s="309"/>
      <c r="AL40" s="309"/>
      <c r="AM40" s="309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163"/>
      <c r="BD40" s="163"/>
      <c r="ED40" s="169"/>
      <c r="EE40" s="164"/>
      <c r="EF40" s="164"/>
      <c r="FU40" s="164"/>
      <c r="FV40" s="164"/>
      <c r="FW40" s="164"/>
      <c r="FX40" s="164"/>
      <c r="FY40" s="164"/>
      <c r="FZ40" s="164"/>
      <c r="GA40" s="164"/>
      <c r="GB40" s="164"/>
      <c r="GC40" s="164"/>
      <c r="GD40" s="164"/>
      <c r="GE40" s="164"/>
      <c r="GF40" s="164"/>
      <c r="GG40" s="164"/>
      <c r="GH40" s="164"/>
      <c r="GI40" s="164"/>
      <c r="GJ40" s="164"/>
      <c r="GK40" s="164"/>
      <c r="GL40" s="164"/>
      <c r="GM40" s="164"/>
      <c r="GN40" s="164"/>
      <c r="GO40" s="164"/>
      <c r="GP40" s="164"/>
      <c r="GQ40" s="164"/>
      <c r="GR40" s="164"/>
      <c r="GS40" s="164"/>
      <c r="GT40" s="164"/>
      <c r="GU40" s="164"/>
      <c r="GV40" s="164"/>
      <c r="GW40" s="164"/>
      <c r="GX40" s="164"/>
      <c r="GY40" s="164"/>
      <c r="GZ40" s="164"/>
      <c r="HA40" s="178"/>
      <c r="HO40" s="164"/>
      <c r="HP40" s="164"/>
      <c r="HQ40" s="164"/>
      <c r="HR40" s="164"/>
      <c r="HS40" s="164"/>
      <c r="HT40" s="164"/>
      <c r="HU40" s="164"/>
      <c r="HV40" s="164"/>
      <c r="HW40" s="164"/>
      <c r="HX40" s="164"/>
      <c r="HY40" s="164"/>
      <c r="HZ40" s="164"/>
      <c r="IA40" s="164"/>
      <c r="IB40" s="164"/>
      <c r="IC40" s="164"/>
      <c r="ID40" s="164"/>
      <c r="IE40" s="164"/>
      <c r="IF40" s="164"/>
      <c r="IG40" s="164"/>
      <c r="IH40" s="164"/>
      <c r="KC40" s="164"/>
      <c r="KD40" s="164"/>
      <c r="KE40" s="164"/>
      <c r="KF40" s="164"/>
      <c r="KG40" s="164"/>
      <c r="KH40" s="164"/>
      <c r="KI40" s="320" t="s">
        <v>268</v>
      </c>
      <c r="KJ40" s="320"/>
      <c r="KK40" s="320"/>
      <c r="KL40" s="320"/>
      <c r="KM40" s="320"/>
      <c r="KN40" s="320"/>
      <c r="KO40" s="320"/>
      <c r="KP40" s="320"/>
      <c r="KQ40" s="320"/>
      <c r="KR40" s="320"/>
      <c r="KS40" s="320"/>
      <c r="KT40" s="320"/>
      <c r="KU40" s="320"/>
      <c r="KV40" s="320"/>
      <c r="KW40" s="320"/>
      <c r="KX40" s="320"/>
      <c r="KY40" s="320"/>
      <c r="KZ40" s="320"/>
      <c r="LA40" s="320"/>
      <c r="LB40" s="320"/>
      <c r="LC40" s="320"/>
      <c r="LD40" s="320"/>
      <c r="LE40" s="320"/>
      <c r="LF40" s="320"/>
      <c r="LG40" s="320"/>
      <c r="LH40" s="320"/>
      <c r="LI40" s="320"/>
      <c r="LJ40" s="320"/>
      <c r="LK40" s="320"/>
      <c r="LL40" s="320"/>
      <c r="LM40" s="320"/>
      <c r="LN40" s="320"/>
      <c r="LO40" s="320"/>
      <c r="LP40" s="320"/>
      <c r="LQ40" s="320"/>
      <c r="LR40" s="320"/>
      <c r="LS40" s="320"/>
      <c r="LT40" s="320"/>
      <c r="LU40" s="320"/>
      <c r="LV40" s="321">
        <f>JD79+LV52+LB79+MY79+OV79</f>
        <v>55</v>
      </c>
      <c r="LW40" s="322"/>
      <c r="LX40" s="322"/>
      <c r="LY40" s="322"/>
      <c r="LZ40" s="323"/>
      <c r="MA40" s="164"/>
      <c r="MB40" s="164"/>
      <c r="MC40" s="164"/>
      <c r="MD40" s="164"/>
      <c r="ME40" s="164"/>
      <c r="MF40" s="164"/>
      <c r="MG40" s="164"/>
      <c r="MH40" s="164"/>
      <c r="MI40" s="164"/>
      <c r="MJ40" s="164"/>
      <c r="MK40" s="164"/>
      <c r="ML40" s="164"/>
      <c r="MM40" s="164"/>
      <c r="NN40" s="316"/>
      <c r="NO40" s="304"/>
      <c r="NP40" s="304"/>
      <c r="NQ40" s="304"/>
      <c r="NR40" s="304"/>
      <c r="NS40" s="304"/>
      <c r="NT40" s="304"/>
      <c r="NU40" s="304"/>
      <c r="NV40" s="304"/>
      <c r="NW40" s="304"/>
      <c r="NX40" s="304"/>
      <c r="NY40" s="304"/>
      <c r="NZ40" s="304"/>
      <c r="OA40" s="304"/>
      <c r="OB40" s="304"/>
      <c r="OC40" s="304"/>
      <c r="OD40" s="304"/>
      <c r="OE40" s="304"/>
      <c r="OF40" s="304"/>
      <c r="OG40" s="304"/>
      <c r="OH40" s="304"/>
      <c r="OI40" s="304"/>
      <c r="OJ40" s="304"/>
      <c r="OK40" s="304"/>
      <c r="OL40" s="304"/>
      <c r="OM40" s="304"/>
      <c r="ON40" s="304"/>
      <c r="OO40" s="304"/>
      <c r="OP40" s="304"/>
      <c r="OQ40" s="304"/>
      <c r="OR40" s="304"/>
      <c r="OS40" s="304"/>
      <c r="OT40" s="304"/>
      <c r="OU40" s="304"/>
      <c r="OV40" s="304"/>
      <c r="OW40" s="304"/>
      <c r="OX40" s="304"/>
      <c r="OY40" s="304"/>
      <c r="OZ40" s="304"/>
      <c r="PA40" s="304"/>
      <c r="PB40" s="305"/>
      <c r="PC40" s="316"/>
      <c r="PD40" s="304"/>
      <c r="PE40" s="304"/>
      <c r="PF40" s="304"/>
      <c r="PG40" s="304"/>
      <c r="PH40" s="305"/>
      <c r="PM40" s="164"/>
      <c r="PN40" s="164"/>
      <c r="QM40" s="164"/>
      <c r="QO40" s="164"/>
      <c r="QP40" s="164"/>
      <c r="QQ40" s="165"/>
      <c r="QR40" s="166"/>
    </row>
    <row r="41" spans="3:460" ht="5.15" customHeight="1" x14ac:dyDescent="0.35">
      <c r="C41" s="161"/>
      <c r="D41" s="162"/>
      <c r="E41" s="164"/>
      <c r="F41" s="163"/>
      <c r="G41" s="163"/>
      <c r="H41" s="163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  <c r="AA41" s="309"/>
      <c r="AB41" s="309"/>
      <c r="AC41" s="309"/>
      <c r="AD41" s="309"/>
      <c r="AE41" s="309"/>
      <c r="AF41" s="309"/>
      <c r="AG41" s="309"/>
      <c r="AH41" s="309"/>
      <c r="AI41" s="309"/>
      <c r="AJ41" s="309"/>
      <c r="AK41" s="309"/>
      <c r="AL41" s="309"/>
      <c r="AM41" s="309"/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163"/>
      <c r="BD41" s="163"/>
      <c r="ED41" s="169"/>
      <c r="EE41" s="164"/>
      <c r="EF41" s="164"/>
      <c r="FU41" s="164"/>
      <c r="FV41" s="164"/>
      <c r="FW41" s="164"/>
      <c r="FX41" s="164"/>
      <c r="FY41" s="164"/>
      <c r="FZ41" s="164"/>
      <c r="GA41" s="164"/>
      <c r="GB41" s="164"/>
      <c r="GC41" s="164"/>
      <c r="GD41" s="164"/>
      <c r="GE41" s="164"/>
      <c r="GF41" s="164"/>
      <c r="GG41" s="164"/>
      <c r="GH41" s="164"/>
      <c r="GI41" s="164"/>
      <c r="GJ41" s="164"/>
      <c r="GK41" s="164"/>
      <c r="GL41" s="164"/>
      <c r="GM41" s="164"/>
      <c r="GN41" s="164"/>
      <c r="GO41" s="164"/>
      <c r="GP41" s="164"/>
      <c r="GQ41" s="164"/>
      <c r="GR41" s="164"/>
      <c r="GS41" s="164"/>
      <c r="GT41" s="164"/>
      <c r="GU41" s="164"/>
      <c r="GV41" s="164"/>
      <c r="GW41" s="164"/>
      <c r="GX41" s="164"/>
      <c r="GY41" s="164"/>
      <c r="GZ41" s="164"/>
      <c r="HA41" s="178"/>
      <c r="HO41" s="164"/>
      <c r="HP41" s="164"/>
      <c r="HQ41" s="164"/>
      <c r="HR41" s="164"/>
      <c r="HS41" s="164"/>
      <c r="HT41" s="164"/>
      <c r="HU41" s="164"/>
      <c r="HV41" s="164"/>
      <c r="HW41" s="164"/>
      <c r="HX41" s="164"/>
      <c r="HY41" s="164"/>
      <c r="HZ41" s="164"/>
      <c r="IA41" s="164"/>
      <c r="IB41" s="164"/>
      <c r="IC41" s="164"/>
      <c r="ID41" s="164"/>
      <c r="IE41" s="164"/>
      <c r="IF41" s="164"/>
      <c r="IG41" s="164"/>
      <c r="IH41" s="164"/>
      <c r="KI41" s="320"/>
      <c r="KJ41" s="320"/>
      <c r="KK41" s="320"/>
      <c r="KL41" s="320"/>
      <c r="KM41" s="320"/>
      <c r="KN41" s="320"/>
      <c r="KO41" s="320"/>
      <c r="KP41" s="320"/>
      <c r="KQ41" s="320"/>
      <c r="KR41" s="320"/>
      <c r="KS41" s="320"/>
      <c r="KT41" s="320"/>
      <c r="KU41" s="320"/>
      <c r="KV41" s="320"/>
      <c r="KW41" s="320"/>
      <c r="KX41" s="320"/>
      <c r="KY41" s="320"/>
      <c r="KZ41" s="320"/>
      <c r="LA41" s="320"/>
      <c r="LB41" s="320"/>
      <c r="LC41" s="320"/>
      <c r="LD41" s="320"/>
      <c r="LE41" s="320"/>
      <c r="LF41" s="320"/>
      <c r="LG41" s="320"/>
      <c r="LH41" s="320"/>
      <c r="LI41" s="320"/>
      <c r="LJ41" s="320"/>
      <c r="LK41" s="320"/>
      <c r="LL41" s="320"/>
      <c r="LM41" s="320"/>
      <c r="LN41" s="320"/>
      <c r="LO41" s="320"/>
      <c r="LP41" s="320"/>
      <c r="LQ41" s="320"/>
      <c r="LR41" s="320"/>
      <c r="LS41" s="320"/>
      <c r="LT41" s="320"/>
      <c r="LU41" s="320"/>
      <c r="LV41" s="324"/>
      <c r="LW41" s="325"/>
      <c r="LX41" s="325"/>
      <c r="LY41" s="325"/>
      <c r="LZ41" s="326"/>
      <c r="MA41" s="164"/>
      <c r="MB41" s="164"/>
      <c r="MC41" s="164"/>
      <c r="MD41" s="164"/>
      <c r="ME41" s="164"/>
      <c r="MF41" s="164"/>
      <c r="MG41" s="164"/>
      <c r="MH41" s="164"/>
      <c r="MI41" s="164"/>
      <c r="MJ41" s="164"/>
      <c r="MK41" s="164"/>
      <c r="ML41" s="164"/>
      <c r="MM41" s="164"/>
      <c r="NN41" s="316"/>
      <c r="NO41" s="304"/>
      <c r="NP41" s="304"/>
      <c r="NQ41" s="304"/>
      <c r="NR41" s="304"/>
      <c r="NS41" s="304"/>
      <c r="NT41" s="304"/>
      <c r="NU41" s="304"/>
      <c r="NV41" s="304"/>
      <c r="NW41" s="304"/>
      <c r="NX41" s="304"/>
      <c r="NY41" s="304"/>
      <c r="NZ41" s="304"/>
      <c r="OA41" s="304"/>
      <c r="OB41" s="304"/>
      <c r="OC41" s="304"/>
      <c r="OD41" s="304"/>
      <c r="OE41" s="304"/>
      <c r="OF41" s="304"/>
      <c r="OG41" s="304"/>
      <c r="OH41" s="304"/>
      <c r="OI41" s="304"/>
      <c r="OJ41" s="304"/>
      <c r="OK41" s="304"/>
      <c r="OL41" s="304"/>
      <c r="OM41" s="304"/>
      <c r="ON41" s="304"/>
      <c r="OO41" s="304"/>
      <c r="OP41" s="304"/>
      <c r="OQ41" s="304"/>
      <c r="OR41" s="304"/>
      <c r="OS41" s="304"/>
      <c r="OT41" s="304"/>
      <c r="OU41" s="304"/>
      <c r="OV41" s="304"/>
      <c r="OW41" s="304"/>
      <c r="OX41" s="304"/>
      <c r="OY41" s="304"/>
      <c r="OZ41" s="304"/>
      <c r="PA41" s="304"/>
      <c r="PB41" s="305"/>
      <c r="PC41" s="316"/>
      <c r="PD41" s="304"/>
      <c r="PE41" s="304"/>
      <c r="PF41" s="304"/>
      <c r="PG41" s="304"/>
      <c r="PH41" s="305"/>
      <c r="PM41" s="164"/>
      <c r="PN41" s="164"/>
      <c r="QM41" s="164"/>
      <c r="QO41" s="164"/>
      <c r="QP41" s="164"/>
      <c r="QQ41" s="165"/>
      <c r="QR41" s="166"/>
    </row>
    <row r="42" spans="3:460" ht="5.15" customHeight="1" x14ac:dyDescent="0.35">
      <c r="C42" s="161"/>
      <c r="D42" s="162"/>
      <c r="E42" s="164"/>
      <c r="F42" s="163"/>
      <c r="G42" s="163"/>
      <c r="H42" s="163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  <c r="AA42" s="309"/>
      <c r="AB42" s="309"/>
      <c r="AC42" s="309"/>
      <c r="AD42" s="309"/>
      <c r="AE42" s="309"/>
      <c r="AF42" s="309"/>
      <c r="AG42" s="309"/>
      <c r="AH42" s="309"/>
      <c r="AI42" s="309"/>
      <c r="AJ42" s="309"/>
      <c r="AK42" s="309"/>
      <c r="AL42" s="309"/>
      <c r="AM42" s="309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163"/>
      <c r="BD42" s="163"/>
      <c r="ED42" s="169"/>
      <c r="EE42" s="164"/>
      <c r="EF42" s="164"/>
      <c r="GO42" s="164"/>
      <c r="GP42" s="164"/>
      <c r="GQ42" s="164"/>
      <c r="GR42" s="164"/>
      <c r="GS42" s="164"/>
      <c r="GT42" s="164"/>
      <c r="GU42" s="164"/>
      <c r="GV42" s="164"/>
      <c r="GW42" s="164"/>
      <c r="GX42" s="164"/>
      <c r="GY42" s="164"/>
      <c r="GZ42" s="164"/>
      <c r="HA42" s="178"/>
      <c r="HO42" s="164"/>
      <c r="HP42" s="164"/>
      <c r="HQ42" s="164"/>
      <c r="HR42" s="164"/>
      <c r="HS42" s="164"/>
      <c r="HT42" s="164"/>
      <c r="HU42" s="164"/>
      <c r="HV42" s="164"/>
      <c r="HW42" s="164"/>
      <c r="HX42" s="164"/>
      <c r="HY42" s="164"/>
      <c r="HZ42" s="164"/>
      <c r="IA42" s="164"/>
      <c r="IB42" s="164"/>
      <c r="IC42" s="164"/>
      <c r="ID42" s="164"/>
      <c r="IE42" s="164"/>
      <c r="IF42" s="164"/>
      <c r="IG42" s="164"/>
      <c r="IH42" s="164"/>
      <c r="KI42" s="320"/>
      <c r="KJ42" s="320"/>
      <c r="KK42" s="320"/>
      <c r="KL42" s="320"/>
      <c r="KM42" s="320"/>
      <c r="KN42" s="320"/>
      <c r="KO42" s="320"/>
      <c r="KP42" s="320"/>
      <c r="KQ42" s="320"/>
      <c r="KR42" s="320"/>
      <c r="KS42" s="320"/>
      <c r="KT42" s="320"/>
      <c r="KU42" s="320"/>
      <c r="KV42" s="320"/>
      <c r="KW42" s="320"/>
      <c r="KX42" s="320"/>
      <c r="KY42" s="320"/>
      <c r="KZ42" s="320"/>
      <c r="LA42" s="320"/>
      <c r="LB42" s="320"/>
      <c r="LC42" s="320"/>
      <c r="LD42" s="320"/>
      <c r="LE42" s="320"/>
      <c r="LF42" s="320"/>
      <c r="LG42" s="320"/>
      <c r="LH42" s="320"/>
      <c r="LI42" s="320"/>
      <c r="LJ42" s="320"/>
      <c r="LK42" s="320"/>
      <c r="LL42" s="320"/>
      <c r="LM42" s="320"/>
      <c r="LN42" s="320"/>
      <c r="LO42" s="320"/>
      <c r="LP42" s="320"/>
      <c r="LQ42" s="320"/>
      <c r="LR42" s="320"/>
      <c r="LS42" s="320"/>
      <c r="LT42" s="320"/>
      <c r="LU42" s="320"/>
      <c r="LV42" s="324"/>
      <c r="LW42" s="325"/>
      <c r="LX42" s="325"/>
      <c r="LY42" s="325"/>
      <c r="LZ42" s="326"/>
      <c r="MA42" s="164"/>
      <c r="MB42" s="164"/>
      <c r="MC42" s="164"/>
      <c r="MD42" s="164"/>
      <c r="ME42" s="164"/>
      <c r="MF42" s="164"/>
      <c r="MG42" s="164"/>
      <c r="MH42" s="164"/>
      <c r="MI42" s="164"/>
      <c r="MJ42" s="164"/>
      <c r="MK42" s="164"/>
      <c r="ML42" s="164"/>
      <c r="MM42" s="164"/>
      <c r="NN42" s="316"/>
      <c r="NO42" s="304"/>
      <c r="NP42" s="304"/>
      <c r="NQ42" s="304"/>
      <c r="NR42" s="304"/>
      <c r="NS42" s="304"/>
      <c r="NT42" s="304"/>
      <c r="NU42" s="304"/>
      <c r="NV42" s="304"/>
      <c r="NW42" s="304"/>
      <c r="NX42" s="304"/>
      <c r="NY42" s="304"/>
      <c r="NZ42" s="304"/>
      <c r="OA42" s="304"/>
      <c r="OB42" s="304"/>
      <c r="OC42" s="304"/>
      <c r="OD42" s="304"/>
      <c r="OE42" s="304"/>
      <c r="OF42" s="304"/>
      <c r="OG42" s="304"/>
      <c r="OH42" s="304"/>
      <c r="OI42" s="304"/>
      <c r="OJ42" s="304"/>
      <c r="OK42" s="304"/>
      <c r="OL42" s="304"/>
      <c r="OM42" s="304"/>
      <c r="ON42" s="304"/>
      <c r="OO42" s="304"/>
      <c r="OP42" s="304"/>
      <c r="OQ42" s="304"/>
      <c r="OR42" s="304"/>
      <c r="OS42" s="304"/>
      <c r="OT42" s="304"/>
      <c r="OU42" s="304"/>
      <c r="OV42" s="304"/>
      <c r="OW42" s="304"/>
      <c r="OX42" s="304"/>
      <c r="OY42" s="304"/>
      <c r="OZ42" s="304"/>
      <c r="PA42" s="304"/>
      <c r="PB42" s="305"/>
      <c r="PC42" s="316"/>
      <c r="PD42" s="304"/>
      <c r="PE42" s="304"/>
      <c r="PF42" s="304"/>
      <c r="PG42" s="304"/>
      <c r="PH42" s="305"/>
      <c r="PM42" s="164"/>
      <c r="PN42" s="164"/>
      <c r="QM42" s="164"/>
      <c r="QO42" s="164"/>
      <c r="QP42" s="164"/>
      <c r="QQ42" s="165"/>
      <c r="QR42" s="166"/>
    </row>
    <row r="43" spans="3:460" ht="5.15" customHeight="1" x14ac:dyDescent="0.35">
      <c r="C43" s="161"/>
      <c r="D43" s="162"/>
      <c r="E43" s="164"/>
      <c r="F43" s="163"/>
      <c r="G43" s="163"/>
      <c r="H43" s="163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  <c r="AA43" s="309"/>
      <c r="AB43" s="309"/>
      <c r="AC43" s="309"/>
      <c r="AD43" s="309"/>
      <c r="AE43" s="309"/>
      <c r="AF43" s="309"/>
      <c r="AG43" s="309"/>
      <c r="AH43" s="309"/>
      <c r="AI43" s="309"/>
      <c r="AJ43" s="309"/>
      <c r="AK43" s="309"/>
      <c r="AL43" s="309"/>
      <c r="AM43" s="309"/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163"/>
      <c r="BD43" s="163"/>
      <c r="CB43" s="163"/>
      <c r="CC43" s="163"/>
      <c r="CD43" s="163"/>
      <c r="CE43" s="163"/>
      <c r="CF43" s="163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 t="s">
        <v>269</v>
      </c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64"/>
      <c r="DQ43" s="164"/>
      <c r="DR43" s="164"/>
      <c r="DS43" s="164"/>
      <c r="DT43" s="164"/>
      <c r="DU43" s="164"/>
      <c r="DV43" s="164"/>
      <c r="DW43" s="164"/>
      <c r="DX43" s="164"/>
      <c r="DY43" s="164"/>
      <c r="DZ43" s="164"/>
      <c r="EA43" s="164"/>
      <c r="EB43" s="164"/>
      <c r="EC43" s="164"/>
      <c r="ED43" s="169"/>
      <c r="EE43" s="164"/>
      <c r="EF43" s="164"/>
      <c r="EG43" s="164"/>
      <c r="EH43" s="164"/>
      <c r="EI43" s="164">
        <v>2</v>
      </c>
      <c r="EJ43" s="164"/>
      <c r="EK43" s="164"/>
      <c r="EL43" s="164"/>
      <c r="EM43" s="164"/>
      <c r="EN43" s="164"/>
      <c r="EO43" s="164"/>
      <c r="EP43" s="164"/>
      <c r="EQ43" s="164"/>
      <c r="ER43" s="164"/>
      <c r="ES43" s="164"/>
      <c r="ET43" s="164"/>
      <c r="EU43" s="164"/>
      <c r="EV43" s="164"/>
      <c r="EW43" s="164"/>
      <c r="EX43" s="164"/>
      <c r="EY43" s="164"/>
      <c r="EZ43" s="164"/>
      <c r="FA43" s="164"/>
      <c r="FB43" s="164"/>
      <c r="FC43" s="164"/>
      <c r="FD43" s="164"/>
      <c r="FE43" s="164"/>
      <c r="FF43" s="164"/>
      <c r="FG43" s="164"/>
      <c r="FH43" s="164"/>
      <c r="FI43" s="164"/>
      <c r="FJ43" s="164"/>
      <c r="FK43" s="164"/>
      <c r="FL43" s="164"/>
      <c r="FM43" s="164"/>
      <c r="FN43" s="164"/>
      <c r="FO43" s="164"/>
      <c r="FQ43" s="164"/>
      <c r="FR43" s="164"/>
      <c r="FS43" s="164"/>
      <c r="FT43" s="164"/>
      <c r="FU43" s="164"/>
      <c r="FV43" s="164"/>
      <c r="FW43" s="164"/>
      <c r="FX43" s="164"/>
      <c r="FY43" s="164"/>
      <c r="FZ43" s="164"/>
      <c r="GA43" s="164"/>
      <c r="GB43" s="164"/>
      <c r="GC43" s="164"/>
      <c r="GD43" s="164"/>
      <c r="GE43" s="164"/>
      <c r="GF43" s="164"/>
      <c r="GG43" s="164"/>
      <c r="GH43" s="164"/>
      <c r="GI43" s="164"/>
      <c r="GJ43" s="164"/>
      <c r="GK43" s="164"/>
      <c r="GL43" s="164"/>
      <c r="GM43" s="164"/>
      <c r="GO43" s="164"/>
      <c r="GP43" s="164"/>
      <c r="GQ43" s="164"/>
      <c r="GR43" s="164"/>
      <c r="GS43" s="164"/>
      <c r="GT43" s="164"/>
      <c r="GU43" s="164"/>
      <c r="GV43" s="164"/>
      <c r="GW43" s="164"/>
      <c r="GX43" s="164"/>
      <c r="GY43" s="164"/>
      <c r="GZ43" s="164"/>
      <c r="HA43" s="178"/>
      <c r="HO43" s="164"/>
      <c r="HP43" s="164"/>
      <c r="HQ43" s="164"/>
      <c r="HR43" s="164"/>
      <c r="HS43" s="164"/>
      <c r="HT43" s="164"/>
      <c r="HU43" s="164"/>
      <c r="HV43" s="164"/>
      <c r="HW43" s="164"/>
      <c r="HX43" s="164"/>
      <c r="HY43" s="164"/>
      <c r="HZ43" s="164"/>
      <c r="IA43" s="164"/>
      <c r="IB43" s="164"/>
      <c r="IC43" s="164"/>
      <c r="ID43" s="164"/>
      <c r="IE43" s="164"/>
      <c r="IF43" s="164"/>
      <c r="IG43" s="164"/>
      <c r="IH43" s="164"/>
      <c r="KI43" s="320"/>
      <c r="KJ43" s="320"/>
      <c r="KK43" s="320"/>
      <c r="KL43" s="320"/>
      <c r="KM43" s="320"/>
      <c r="KN43" s="320"/>
      <c r="KO43" s="320"/>
      <c r="KP43" s="320"/>
      <c r="KQ43" s="320"/>
      <c r="KR43" s="320"/>
      <c r="KS43" s="320"/>
      <c r="KT43" s="320"/>
      <c r="KU43" s="320"/>
      <c r="KV43" s="320"/>
      <c r="KW43" s="320"/>
      <c r="KX43" s="320"/>
      <c r="KY43" s="320"/>
      <c r="KZ43" s="320"/>
      <c r="LA43" s="320"/>
      <c r="LB43" s="320"/>
      <c r="LC43" s="320"/>
      <c r="LD43" s="320"/>
      <c r="LE43" s="320"/>
      <c r="LF43" s="320"/>
      <c r="LG43" s="320"/>
      <c r="LH43" s="320"/>
      <c r="LI43" s="320"/>
      <c r="LJ43" s="320"/>
      <c r="LK43" s="320"/>
      <c r="LL43" s="320"/>
      <c r="LM43" s="320"/>
      <c r="LN43" s="320"/>
      <c r="LO43" s="320"/>
      <c r="LP43" s="320"/>
      <c r="LQ43" s="320"/>
      <c r="LR43" s="320"/>
      <c r="LS43" s="320"/>
      <c r="LT43" s="320"/>
      <c r="LU43" s="320"/>
      <c r="LV43" s="324"/>
      <c r="LW43" s="325"/>
      <c r="LX43" s="325"/>
      <c r="LY43" s="325"/>
      <c r="LZ43" s="326"/>
      <c r="MA43" s="164"/>
      <c r="MB43" s="164"/>
      <c r="MC43" s="164"/>
      <c r="MD43" s="164"/>
      <c r="ME43" s="164"/>
      <c r="MF43" s="164"/>
      <c r="MG43" s="164"/>
      <c r="MH43" s="164"/>
      <c r="MI43" s="164"/>
      <c r="MJ43" s="164"/>
      <c r="MK43" s="164"/>
      <c r="ML43" s="164"/>
      <c r="MM43" s="164"/>
      <c r="NN43" s="316"/>
      <c r="NO43" s="304"/>
      <c r="NP43" s="304"/>
      <c r="NQ43" s="304"/>
      <c r="NR43" s="304"/>
      <c r="NS43" s="304"/>
      <c r="NT43" s="304"/>
      <c r="NU43" s="304"/>
      <c r="NV43" s="304"/>
      <c r="NW43" s="304"/>
      <c r="NX43" s="304"/>
      <c r="NY43" s="304"/>
      <c r="NZ43" s="304"/>
      <c r="OA43" s="304"/>
      <c r="OB43" s="304"/>
      <c r="OC43" s="304"/>
      <c r="OD43" s="304"/>
      <c r="OE43" s="304"/>
      <c r="OF43" s="304"/>
      <c r="OG43" s="304"/>
      <c r="OH43" s="304"/>
      <c r="OI43" s="304"/>
      <c r="OJ43" s="304"/>
      <c r="OK43" s="304"/>
      <c r="OL43" s="304"/>
      <c r="OM43" s="304"/>
      <c r="ON43" s="304"/>
      <c r="OO43" s="304"/>
      <c r="OP43" s="304"/>
      <c r="OQ43" s="304"/>
      <c r="OR43" s="304"/>
      <c r="OS43" s="304"/>
      <c r="OT43" s="304"/>
      <c r="OU43" s="304"/>
      <c r="OV43" s="304"/>
      <c r="OW43" s="304"/>
      <c r="OX43" s="304"/>
      <c r="OY43" s="304"/>
      <c r="OZ43" s="304"/>
      <c r="PA43" s="304"/>
      <c r="PB43" s="305"/>
      <c r="PC43" s="316"/>
      <c r="PD43" s="304"/>
      <c r="PE43" s="304"/>
      <c r="PF43" s="304"/>
      <c r="PG43" s="304"/>
      <c r="PH43" s="305"/>
      <c r="PM43" s="164"/>
      <c r="PN43" s="164"/>
      <c r="QM43" s="164"/>
      <c r="QO43" s="164"/>
      <c r="QP43" s="164"/>
      <c r="QQ43" s="165"/>
      <c r="QR43" s="166"/>
    </row>
    <row r="44" spans="3:460" ht="5.15" customHeight="1" x14ac:dyDescent="0.35">
      <c r="C44" s="161"/>
      <c r="D44" s="162"/>
      <c r="E44" s="164"/>
      <c r="F44" s="163"/>
      <c r="G44" s="163"/>
      <c r="H44" s="163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09"/>
      <c r="AC44" s="309"/>
      <c r="AD44" s="309"/>
      <c r="AE44" s="309"/>
      <c r="AF44" s="309"/>
      <c r="AG44" s="309"/>
      <c r="AH44" s="309"/>
      <c r="AI44" s="309"/>
      <c r="AJ44" s="309"/>
      <c r="AK44" s="309"/>
      <c r="AL44" s="309"/>
      <c r="AM44" s="309"/>
      <c r="AN44" s="309"/>
      <c r="AO44" s="309"/>
      <c r="AP44" s="309"/>
      <c r="AQ44" s="309"/>
      <c r="AR44" s="309"/>
      <c r="AS44" s="309"/>
      <c r="AT44" s="309"/>
      <c r="AU44" s="309"/>
      <c r="AV44" s="309"/>
      <c r="AW44" s="309"/>
      <c r="AX44" s="309"/>
      <c r="AY44" s="309"/>
      <c r="AZ44" s="309"/>
      <c r="BA44" s="309"/>
      <c r="BB44" s="309"/>
      <c r="BC44" s="163"/>
      <c r="BD44" s="163"/>
      <c r="CB44" s="163"/>
      <c r="CC44" s="163"/>
      <c r="CD44" s="163"/>
      <c r="CE44" s="163"/>
      <c r="CF44" s="163"/>
      <c r="CG44" s="164"/>
      <c r="CH44" s="164"/>
      <c r="CI44" s="164"/>
      <c r="CJ44" s="164"/>
      <c r="CK44" s="164"/>
      <c r="CL44" s="164"/>
      <c r="CM44" s="164"/>
      <c r="CN44" s="164"/>
      <c r="CO44" s="164"/>
      <c r="CP44" s="164"/>
      <c r="CQ44" s="164"/>
      <c r="CR44" s="164"/>
      <c r="CS44" s="164"/>
      <c r="CT44" s="164"/>
      <c r="CU44" s="164"/>
      <c r="CV44" s="164"/>
      <c r="CW44" s="164"/>
      <c r="CX44" s="164"/>
      <c r="CY44" s="164"/>
      <c r="CZ44" s="164"/>
      <c r="DA44" s="164"/>
      <c r="DB44" s="164"/>
      <c r="DC44" s="164"/>
      <c r="DD44" s="164"/>
      <c r="DE44" s="164"/>
      <c r="DF44" s="164"/>
      <c r="DG44" s="164"/>
      <c r="DH44" s="164"/>
      <c r="DI44" s="164"/>
      <c r="DJ44" s="164"/>
      <c r="DK44" s="164"/>
      <c r="DL44" s="164"/>
      <c r="DM44" s="164"/>
      <c r="DN44" s="164"/>
      <c r="DO44" s="164"/>
      <c r="DP44" s="164"/>
      <c r="DQ44" s="164"/>
      <c r="DR44" s="164"/>
      <c r="DS44" s="164"/>
      <c r="DT44" s="164"/>
      <c r="DU44" s="164"/>
      <c r="DV44" s="164"/>
      <c r="DW44" s="164"/>
      <c r="DX44" s="164"/>
      <c r="DY44" s="164"/>
      <c r="DZ44" s="164"/>
      <c r="EA44" s="164"/>
      <c r="EB44" s="164"/>
      <c r="EC44" s="164"/>
      <c r="ED44" s="169"/>
      <c r="EE44" s="164"/>
      <c r="EF44" s="164"/>
      <c r="EG44" s="164"/>
      <c r="EH44" s="164"/>
      <c r="EI44" s="164"/>
      <c r="EJ44" s="164"/>
      <c r="EK44" s="164"/>
      <c r="EL44" s="164"/>
      <c r="EM44" s="164"/>
      <c r="EN44" s="164"/>
      <c r="EO44" s="164"/>
      <c r="EP44" s="164"/>
      <c r="EQ44" s="164"/>
      <c r="ER44" s="164"/>
      <c r="ES44" s="164"/>
      <c r="ET44" s="164"/>
      <c r="EU44" s="164"/>
      <c r="EV44" s="164"/>
      <c r="EW44" s="164"/>
      <c r="EX44" s="164"/>
      <c r="EY44" s="164"/>
      <c r="EZ44" s="164"/>
      <c r="FA44" s="164"/>
      <c r="FB44" s="164"/>
      <c r="FC44" s="164"/>
      <c r="FD44" s="164"/>
      <c r="FE44" s="164"/>
      <c r="FF44" s="164"/>
      <c r="FG44" s="164"/>
      <c r="FH44" s="164"/>
      <c r="FI44" s="164"/>
      <c r="FJ44" s="164"/>
      <c r="FK44" s="164"/>
      <c r="FL44" s="164"/>
      <c r="FM44" s="164"/>
      <c r="FN44" s="164"/>
      <c r="FO44" s="164"/>
      <c r="FQ44" s="164"/>
      <c r="FR44" s="164"/>
      <c r="FS44" s="164"/>
      <c r="FT44" s="164"/>
      <c r="FU44" s="164"/>
      <c r="FV44" s="164"/>
      <c r="FW44" s="164"/>
      <c r="FX44" s="164"/>
      <c r="FY44" s="164"/>
      <c r="FZ44" s="164"/>
      <c r="GA44" s="164"/>
      <c r="GB44" s="164"/>
      <c r="GC44" s="164"/>
      <c r="GD44" s="164"/>
      <c r="GE44" s="164"/>
      <c r="GF44" s="164"/>
      <c r="GG44" s="164"/>
      <c r="GH44" s="164"/>
      <c r="GI44" s="164"/>
      <c r="GJ44" s="164"/>
      <c r="GK44" s="164"/>
      <c r="GL44" s="164"/>
      <c r="GM44" s="164"/>
      <c r="GO44" s="164"/>
      <c r="GP44" s="164"/>
      <c r="GQ44" s="164"/>
      <c r="GR44" s="164"/>
      <c r="GS44" s="164"/>
      <c r="GT44" s="164"/>
      <c r="GU44" s="164"/>
      <c r="GV44" s="164"/>
      <c r="GW44" s="164"/>
      <c r="GX44" s="164"/>
      <c r="GY44" s="164"/>
      <c r="GZ44" s="164"/>
      <c r="HA44" s="178"/>
      <c r="HO44" s="164"/>
      <c r="HP44" s="164"/>
      <c r="HQ44" s="164"/>
      <c r="HR44" s="164"/>
      <c r="HS44" s="164"/>
      <c r="HT44" s="164"/>
      <c r="HU44" s="164"/>
      <c r="HV44" s="164"/>
      <c r="HW44" s="164"/>
      <c r="HX44" s="164"/>
      <c r="HY44" s="164"/>
      <c r="HZ44" s="164"/>
      <c r="IA44" s="164"/>
      <c r="IB44" s="164"/>
      <c r="IC44" s="164"/>
      <c r="ID44" s="164"/>
      <c r="IE44" s="164"/>
      <c r="IF44" s="164"/>
      <c r="IG44" s="164"/>
      <c r="IH44" s="164"/>
      <c r="KI44" s="320"/>
      <c r="KJ44" s="320"/>
      <c r="KK44" s="320"/>
      <c r="KL44" s="320"/>
      <c r="KM44" s="320"/>
      <c r="KN44" s="320"/>
      <c r="KO44" s="320"/>
      <c r="KP44" s="320"/>
      <c r="KQ44" s="320"/>
      <c r="KR44" s="320"/>
      <c r="KS44" s="320"/>
      <c r="KT44" s="320"/>
      <c r="KU44" s="320"/>
      <c r="KV44" s="320"/>
      <c r="KW44" s="320"/>
      <c r="KX44" s="320"/>
      <c r="KY44" s="320"/>
      <c r="KZ44" s="320"/>
      <c r="LA44" s="320"/>
      <c r="LB44" s="320"/>
      <c r="LC44" s="320"/>
      <c r="LD44" s="320"/>
      <c r="LE44" s="320"/>
      <c r="LF44" s="320"/>
      <c r="LG44" s="320"/>
      <c r="LH44" s="320"/>
      <c r="LI44" s="320"/>
      <c r="LJ44" s="320"/>
      <c r="LK44" s="320"/>
      <c r="LL44" s="320"/>
      <c r="LM44" s="320"/>
      <c r="LN44" s="320"/>
      <c r="LO44" s="320"/>
      <c r="LP44" s="320"/>
      <c r="LQ44" s="320"/>
      <c r="LR44" s="320"/>
      <c r="LS44" s="320"/>
      <c r="LT44" s="320"/>
      <c r="LU44" s="320"/>
      <c r="LV44" s="324"/>
      <c r="LW44" s="325"/>
      <c r="LX44" s="325"/>
      <c r="LY44" s="325"/>
      <c r="LZ44" s="326"/>
      <c r="MA44" s="164"/>
      <c r="MB44" s="164"/>
      <c r="MC44" s="164"/>
      <c r="MD44" s="164"/>
      <c r="ME44" s="164"/>
      <c r="MF44" s="164"/>
      <c r="MG44" s="164"/>
      <c r="MH44" s="164"/>
      <c r="MI44" s="164"/>
      <c r="MJ44" s="164"/>
      <c r="MK44" s="164"/>
      <c r="ML44" s="164"/>
      <c r="MM44" s="164"/>
      <c r="NN44" s="316"/>
      <c r="NO44" s="304"/>
      <c r="NP44" s="304"/>
      <c r="NQ44" s="304"/>
      <c r="NR44" s="304"/>
      <c r="NS44" s="304"/>
      <c r="NT44" s="304"/>
      <c r="NU44" s="304"/>
      <c r="NV44" s="304"/>
      <c r="NW44" s="304"/>
      <c r="NX44" s="304"/>
      <c r="NY44" s="304"/>
      <c r="NZ44" s="304"/>
      <c r="OA44" s="304"/>
      <c r="OB44" s="304"/>
      <c r="OC44" s="304"/>
      <c r="OD44" s="304"/>
      <c r="OE44" s="304"/>
      <c r="OF44" s="304"/>
      <c r="OG44" s="304"/>
      <c r="OH44" s="304"/>
      <c r="OI44" s="304"/>
      <c r="OJ44" s="304"/>
      <c r="OK44" s="304"/>
      <c r="OL44" s="304"/>
      <c r="OM44" s="304"/>
      <c r="ON44" s="304"/>
      <c r="OO44" s="304"/>
      <c r="OP44" s="304"/>
      <c r="OQ44" s="304"/>
      <c r="OR44" s="304"/>
      <c r="OS44" s="304"/>
      <c r="OT44" s="304"/>
      <c r="OU44" s="304"/>
      <c r="OV44" s="304"/>
      <c r="OW44" s="304"/>
      <c r="OX44" s="304"/>
      <c r="OY44" s="304"/>
      <c r="OZ44" s="304"/>
      <c r="PA44" s="304"/>
      <c r="PB44" s="305"/>
      <c r="PC44" s="316"/>
      <c r="PD44" s="304"/>
      <c r="PE44" s="304"/>
      <c r="PF44" s="304"/>
      <c r="PG44" s="304"/>
      <c r="PH44" s="305"/>
      <c r="PM44" s="164"/>
      <c r="PN44" s="164"/>
      <c r="QM44" s="164"/>
      <c r="QO44" s="164"/>
      <c r="QP44" s="164"/>
      <c r="QQ44" s="165"/>
      <c r="QR44" s="166"/>
    </row>
    <row r="45" spans="3:460" ht="5.15" customHeight="1" x14ac:dyDescent="0.35">
      <c r="C45" s="161"/>
      <c r="D45" s="162"/>
      <c r="E45" s="164"/>
      <c r="F45" s="163"/>
      <c r="G45" s="163"/>
      <c r="H45" s="163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  <c r="AA45" s="309"/>
      <c r="AB45" s="309"/>
      <c r="AC45" s="309"/>
      <c r="AD45" s="309"/>
      <c r="AE45" s="309"/>
      <c r="AF45" s="309"/>
      <c r="AG45" s="309"/>
      <c r="AH45" s="309"/>
      <c r="AI45" s="309"/>
      <c r="AJ45" s="309"/>
      <c r="AK45" s="309"/>
      <c r="AL45" s="309"/>
      <c r="AM45" s="309"/>
      <c r="AN45" s="309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CB45" s="163"/>
      <c r="CC45" s="163"/>
      <c r="CD45" s="163"/>
      <c r="CE45" s="163"/>
      <c r="CF45" s="163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  <c r="CR45" s="164"/>
      <c r="CS45" s="164"/>
      <c r="CT45" s="164"/>
      <c r="CU45" s="164"/>
      <c r="CV45" s="164"/>
      <c r="CW45" s="164"/>
      <c r="CX45" s="164"/>
      <c r="CY45" s="164"/>
      <c r="CZ45" s="164"/>
      <c r="DA45" s="164"/>
      <c r="DB45" s="164"/>
      <c r="DC45" s="164"/>
      <c r="DD45" s="164"/>
      <c r="DE45" s="164"/>
      <c r="DF45" s="164"/>
      <c r="DG45" s="164"/>
      <c r="DH45" s="164"/>
      <c r="DI45" s="164"/>
      <c r="DJ45" s="164"/>
      <c r="DK45" s="164"/>
      <c r="DL45" s="164"/>
      <c r="DM45" s="164"/>
      <c r="DN45" s="164"/>
      <c r="DO45" s="164"/>
      <c r="DP45" s="164"/>
      <c r="DQ45" s="164"/>
      <c r="DR45" s="164"/>
      <c r="DS45" s="164"/>
      <c r="DT45" s="164"/>
      <c r="DU45" s="164"/>
      <c r="DV45" s="164"/>
      <c r="DW45" s="164"/>
      <c r="DX45" s="164"/>
      <c r="DY45" s="164"/>
      <c r="DZ45" s="164"/>
      <c r="EA45" s="164"/>
      <c r="EB45" s="164"/>
      <c r="EC45" s="164"/>
      <c r="ED45" s="180"/>
      <c r="EE45" s="181"/>
      <c r="EF45" s="181"/>
      <c r="EG45" s="164"/>
      <c r="EH45" s="164"/>
      <c r="EI45" s="164"/>
      <c r="EJ45" s="164"/>
      <c r="EK45" s="164"/>
      <c r="EL45" s="164"/>
      <c r="EM45" s="164"/>
      <c r="EN45" s="164"/>
      <c r="EO45" s="164"/>
      <c r="EP45" s="164"/>
      <c r="EQ45" s="164"/>
      <c r="ER45" s="164"/>
      <c r="ES45" s="164"/>
      <c r="ET45" s="164"/>
      <c r="EU45" s="164"/>
      <c r="EV45" s="164"/>
      <c r="EW45" s="164"/>
      <c r="EX45" s="164"/>
      <c r="EY45" s="164"/>
      <c r="EZ45" s="164"/>
      <c r="FA45" s="164"/>
      <c r="FB45" s="164"/>
      <c r="FC45" s="164"/>
      <c r="FD45" s="164"/>
      <c r="FE45" s="164"/>
      <c r="FF45" s="164"/>
      <c r="FG45" s="164"/>
      <c r="FH45" s="164"/>
      <c r="FI45" s="164"/>
      <c r="FJ45" s="164"/>
      <c r="FK45" s="164"/>
      <c r="FL45" s="164"/>
      <c r="FM45" s="164"/>
      <c r="FN45" s="164"/>
      <c r="FO45" s="164"/>
      <c r="FP45" s="164"/>
      <c r="FQ45" s="164"/>
      <c r="FR45" s="164"/>
      <c r="FS45" s="164"/>
      <c r="FT45" s="164"/>
      <c r="FU45" s="164"/>
      <c r="FV45" s="164"/>
      <c r="FW45" s="164"/>
      <c r="FX45" s="164"/>
      <c r="FY45" s="164"/>
      <c r="FZ45" s="164"/>
      <c r="GA45" s="164"/>
      <c r="GB45" s="164"/>
      <c r="GC45" s="164"/>
      <c r="GD45" s="164"/>
      <c r="GE45" s="164"/>
      <c r="GF45" s="164"/>
      <c r="GG45" s="164"/>
      <c r="GH45" s="164"/>
      <c r="GI45" s="164"/>
      <c r="GJ45" s="164"/>
      <c r="GK45" s="164"/>
      <c r="GL45" s="164"/>
      <c r="GM45" s="164"/>
      <c r="GX45" s="164"/>
      <c r="GY45" s="164"/>
      <c r="GZ45" s="164"/>
      <c r="HA45" s="178"/>
      <c r="HO45" s="164"/>
      <c r="HP45" s="164"/>
      <c r="HQ45" s="164"/>
      <c r="HR45" s="164"/>
      <c r="HS45" s="164"/>
      <c r="HT45" s="164"/>
      <c r="HU45" s="164"/>
      <c r="HV45" s="164"/>
      <c r="HW45" s="164"/>
      <c r="HX45" s="164"/>
      <c r="HY45" s="164"/>
      <c r="HZ45" s="164"/>
      <c r="IA45" s="164"/>
      <c r="IB45" s="164"/>
      <c r="IC45" s="164"/>
      <c r="ID45" s="164"/>
      <c r="IE45" s="164"/>
      <c r="IF45" s="164"/>
      <c r="IG45" s="164"/>
      <c r="IH45" s="164"/>
      <c r="KI45" s="320"/>
      <c r="KJ45" s="320"/>
      <c r="KK45" s="320"/>
      <c r="KL45" s="320"/>
      <c r="KM45" s="320"/>
      <c r="KN45" s="320"/>
      <c r="KO45" s="320"/>
      <c r="KP45" s="320"/>
      <c r="KQ45" s="320"/>
      <c r="KR45" s="320"/>
      <c r="KS45" s="320"/>
      <c r="KT45" s="320"/>
      <c r="KU45" s="320"/>
      <c r="KV45" s="320"/>
      <c r="KW45" s="320"/>
      <c r="KX45" s="320"/>
      <c r="KY45" s="320"/>
      <c r="KZ45" s="320"/>
      <c r="LA45" s="320"/>
      <c r="LB45" s="320"/>
      <c r="LC45" s="320"/>
      <c r="LD45" s="320"/>
      <c r="LE45" s="320"/>
      <c r="LF45" s="320"/>
      <c r="LG45" s="320"/>
      <c r="LH45" s="320"/>
      <c r="LI45" s="320"/>
      <c r="LJ45" s="320"/>
      <c r="LK45" s="320"/>
      <c r="LL45" s="320"/>
      <c r="LM45" s="320"/>
      <c r="LN45" s="320"/>
      <c r="LO45" s="320"/>
      <c r="LP45" s="320"/>
      <c r="LQ45" s="320"/>
      <c r="LR45" s="320"/>
      <c r="LS45" s="320"/>
      <c r="LT45" s="320"/>
      <c r="LU45" s="320"/>
      <c r="LV45" s="324"/>
      <c r="LW45" s="325"/>
      <c r="LX45" s="325"/>
      <c r="LY45" s="325"/>
      <c r="LZ45" s="326"/>
      <c r="MA45" s="164"/>
      <c r="MB45" s="164"/>
      <c r="MC45" s="164"/>
      <c r="MD45" s="164"/>
      <c r="ME45" s="164"/>
      <c r="MF45" s="164"/>
      <c r="MG45" s="164"/>
      <c r="MH45" s="164"/>
      <c r="MI45" s="164"/>
      <c r="MJ45" s="164"/>
      <c r="MK45" s="164"/>
      <c r="ML45" s="164"/>
      <c r="MM45" s="164"/>
      <c r="NN45" s="316"/>
      <c r="NO45" s="304"/>
      <c r="NP45" s="304"/>
      <c r="NQ45" s="304"/>
      <c r="NR45" s="304"/>
      <c r="NS45" s="304"/>
      <c r="NT45" s="304"/>
      <c r="NU45" s="304"/>
      <c r="NV45" s="304"/>
      <c r="NW45" s="304"/>
      <c r="NX45" s="304"/>
      <c r="NY45" s="304"/>
      <c r="NZ45" s="304"/>
      <c r="OA45" s="304"/>
      <c r="OB45" s="304"/>
      <c r="OC45" s="304"/>
      <c r="OD45" s="304"/>
      <c r="OE45" s="304"/>
      <c r="OF45" s="304"/>
      <c r="OG45" s="304"/>
      <c r="OH45" s="304"/>
      <c r="OI45" s="304"/>
      <c r="OJ45" s="304"/>
      <c r="OK45" s="304"/>
      <c r="OL45" s="304"/>
      <c r="OM45" s="304"/>
      <c r="ON45" s="304"/>
      <c r="OO45" s="304"/>
      <c r="OP45" s="304"/>
      <c r="OQ45" s="304"/>
      <c r="OR45" s="304"/>
      <c r="OS45" s="304"/>
      <c r="OT45" s="304"/>
      <c r="OU45" s="304"/>
      <c r="OV45" s="304"/>
      <c r="OW45" s="304"/>
      <c r="OX45" s="304"/>
      <c r="OY45" s="304"/>
      <c r="OZ45" s="304"/>
      <c r="PA45" s="304"/>
      <c r="PB45" s="305"/>
      <c r="PC45" s="316"/>
      <c r="PD45" s="304"/>
      <c r="PE45" s="304"/>
      <c r="PF45" s="304"/>
      <c r="PG45" s="304"/>
      <c r="PH45" s="305"/>
      <c r="PM45" s="164"/>
      <c r="PN45" s="164"/>
      <c r="QM45" s="164"/>
      <c r="QO45" s="164"/>
      <c r="QP45" s="164"/>
      <c r="QQ45" s="165"/>
      <c r="QR45" s="166"/>
    </row>
    <row r="46" spans="3:460" ht="5.15" customHeight="1" x14ac:dyDescent="0.35">
      <c r="C46" s="161"/>
      <c r="D46" s="162"/>
      <c r="E46" s="164"/>
      <c r="F46" s="163"/>
      <c r="G46" s="163"/>
      <c r="H46" s="163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  <c r="AB46" s="309"/>
      <c r="AC46" s="309"/>
      <c r="AD46" s="309"/>
      <c r="AE46" s="309"/>
      <c r="AF46" s="309"/>
      <c r="AG46" s="309"/>
      <c r="AH46" s="309"/>
      <c r="AI46" s="309"/>
      <c r="AJ46" s="309"/>
      <c r="AK46" s="309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CB46" s="163"/>
      <c r="CC46" s="163"/>
      <c r="CD46" s="163"/>
      <c r="CE46" s="163"/>
      <c r="CF46" s="163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  <c r="CR46" s="164"/>
      <c r="CS46" s="164"/>
      <c r="CT46" s="164"/>
      <c r="CU46" s="164"/>
      <c r="CV46" s="164"/>
      <c r="CW46" s="164"/>
      <c r="CX46" s="164"/>
      <c r="CY46" s="164"/>
      <c r="CZ46" s="164"/>
      <c r="DA46" s="164"/>
      <c r="DB46" s="164"/>
      <c r="DC46" s="164"/>
      <c r="DD46" s="164"/>
      <c r="DE46" s="164"/>
      <c r="DF46" s="164"/>
      <c r="DG46" s="164"/>
      <c r="DH46" s="164"/>
      <c r="DI46" s="330" t="s">
        <v>270</v>
      </c>
      <c r="DJ46" s="331"/>
      <c r="DK46" s="331"/>
      <c r="DL46" s="331"/>
      <c r="DM46" s="331"/>
      <c r="DN46" s="331"/>
      <c r="DO46" s="331"/>
      <c r="DP46" s="331"/>
      <c r="DQ46" s="331"/>
      <c r="DR46" s="331"/>
      <c r="DS46" s="331"/>
      <c r="DT46" s="331"/>
      <c r="DU46" s="331"/>
      <c r="DV46" s="331"/>
      <c r="DW46" s="331"/>
      <c r="DX46" s="331"/>
      <c r="DY46" s="331"/>
      <c r="DZ46" s="331"/>
      <c r="EA46" s="331"/>
      <c r="EB46" s="331"/>
      <c r="EC46" s="331"/>
      <c r="ED46" s="331"/>
      <c r="EE46" s="331"/>
      <c r="EF46" s="331"/>
      <c r="EG46" s="331"/>
      <c r="EH46" s="331"/>
      <c r="EI46" s="331"/>
      <c r="EJ46" s="331"/>
      <c r="EK46" s="331"/>
      <c r="EL46" s="331"/>
      <c r="EM46" s="331"/>
      <c r="EN46" s="331"/>
      <c r="EO46" s="331"/>
      <c r="EP46" s="331"/>
      <c r="EQ46" s="331"/>
      <c r="ER46" s="331"/>
      <c r="ES46" s="331"/>
      <c r="ET46" s="331"/>
      <c r="EU46" s="331"/>
      <c r="EV46" s="331"/>
      <c r="EW46" s="332"/>
      <c r="EX46" s="339">
        <v>1</v>
      </c>
      <c r="EY46" s="339"/>
      <c r="EZ46" s="339"/>
      <c r="FA46" s="339"/>
      <c r="FB46" s="164"/>
      <c r="FC46" s="164"/>
      <c r="FD46" s="164"/>
      <c r="FE46" s="164"/>
      <c r="FF46" s="164"/>
      <c r="FG46" s="164"/>
      <c r="FH46" s="164"/>
      <c r="FI46" s="164"/>
      <c r="FJ46" s="164"/>
      <c r="FK46" s="164"/>
      <c r="FL46" s="164"/>
      <c r="FM46" s="164"/>
      <c r="FN46" s="164"/>
      <c r="FO46" s="164"/>
      <c r="FP46" s="164"/>
      <c r="FQ46" s="164"/>
      <c r="FR46" s="164"/>
      <c r="FS46" s="164"/>
      <c r="FT46" s="164"/>
      <c r="FU46" s="164"/>
      <c r="FV46" s="164"/>
      <c r="FW46" s="164"/>
      <c r="FX46" s="164"/>
      <c r="FY46" s="164"/>
      <c r="FZ46" s="164"/>
      <c r="GA46" s="164"/>
      <c r="GB46" s="164"/>
      <c r="GC46" s="164"/>
      <c r="GD46" s="164"/>
      <c r="GE46" s="164"/>
      <c r="GF46" s="164"/>
      <c r="GG46" s="164"/>
      <c r="GH46" s="164"/>
      <c r="GI46" s="164"/>
      <c r="GJ46" s="164"/>
      <c r="GK46" s="164"/>
      <c r="GL46" s="164"/>
      <c r="GM46" s="164"/>
      <c r="GX46" s="164"/>
      <c r="GY46" s="164"/>
      <c r="GZ46" s="164"/>
      <c r="HA46" s="178"/>
      <c r="IV46" s="164"/>
      <c r="IW46" s="164"/>
      <c r="IX46" s="164"/>
      <c r="IY46" s="164"/>
      <c r="IZ46" s="164"/>
      <c r="JA46" s="164"/>
      <c r="JB46" s="164"/>
      <c r="JC46" s="164"/>
      <c r="JD46" s="164"/>
      <c r="JE46" s="164"/>
      <c r="JF46" s="164"/>
      <c r="JG46" s="164"/>
      <c r="JH46" s="164"/>
      <c r="JI46" s="164"/>
      <c r="JJ46" s="164"/>
      <c r="JK46" s="164"/>
      <c r="JL46" s="164"/>
      <c r="JM46" s="164"/>
      <c r="JN46" s="164"/>
      <c r="JO46" s="164"/>
      <c r="JP46" s="164"/>
      <c r="JQ46" s="164"/>
      <c r="JR46" s="164"/>
      <c r="JS46" s="164"/>
      <c r="JT46" s="164"/>
      <c r="JU46" s="164"/>
      <c r="JV46" s="164"/>
      <c r="JW46" s="164"/>
      <c r="JX46" s="164"/>
      <c r="JY46" s="164"/>
      <c r="JZ46" s="164"/>
      <c r="KI46" s="320"/>
      <c r="KJ46" s="320"/>
      <c r="KK46" s="320"/>
      <c r="KL46" s="320"/>
      <c r="KM46" s="320"/>
      <c r="KN46" s="320"/>
      <c r="KO46" s="320"/>
      <c r="KP46" s="320"/>
      <c r="KQ46" s="320"/>
      <c r="KR46" s="320"/>
      <c r="KS46" s="320"/>
      <c r="KT46" s="320"/>
      <c r="KU46" s="320"/>
      <c r="KV46" s="320"/>
      <c r="KW46" s="320"/>
      <c r="KX46" s="320"/>
      <c r="KY46" s="320"/>
      <c r="KZ46" s="320"/>
      <c r="LA46" s="320"/>
      <c r="LB46" s="320"/>
      <c r="LC46" s="320"/>
      <c r="LD46" s="320"/>
      <c r="LE46" s="320"/>
      <c r="LF46" s="320"/>
      <c r="LG46" s="320"/>
      <c r="LH46" s="320"/>
      <c r="LI46" s="320"/>
      <c r="LJ46" s="320"/>
      <c r="LK46" s="320"/>
      <c r="LL46" s="320"/>
      <c r="LM46" s="320"/>
      <c r="LN46" s="320"/>
      <c r="LO46" s="320"/>
      <c r="LP46" s="320"/>
      <c r="LQ46" s="320"/>
      <c r="LR46" s="320"/>
      <c r="LS46" s="320"/>
      <c r="LT46" s="320"/>
      <c r="LU46" s="320"/>
      <c r="LV46" s="324"/>
      <c r="LW46" s="325"/>
      <c r="LX46" s="325"/>
      <c r="LY46" s="325"/>
      <c r="LZ46" s="326"/>
      <c r="MA46" s="164"/>
      <c r="MB46" s="164"/>
      <c r="MC46" s="164"/>
      <c r="MD46" s="164"/>
      <c r="ME46" s="164"/>
      <c r="MF46" s="164"/>
      <c r="MG46" s="164"/>
      <c r="MH46" s="164"/>
      <c r="MI46" s="164"/>
      <c r="MJ46" s="164"/>
      <c r="MK46" s="164"/>
      <c r="ML46" s="164"/>
      <c r="MM46" s="164"/>
      <c r="NN46" s="317"/>
      <c r="NO46" s="318"/>
      <c r="NP46" s="318"/>
      <c r="NQ46" s="318"/>
      <c r="NR46" s="318"/>
      <c r="NS46" s="318"/>
      <c r="NT46" s="318"/>
      <c r="NU46" s="318"/>
      <c r="NV46" s="318"/>
      <c r="NW46" s="318"/>
      <c r="NX46" s="318"/>
      <c r="NY46" s="318"/>
      <c r="NZ46" s="318"/>
      <c r="OA46" s="318"/>
      <c r="OB46" s="318"/>
      <c r="OC46" s="318"/>
      <c r="OD46" s="318"/>
      <c r="OE46" s="318"/>
      <c r="OF46" s="318"/>
      <c r="OG46" s="318"/>
      <c r="OH46" s="318"/>
      <c r="OI46" s="318"/>
      <c r="OJ46" s="318"/>
      <c r="OK46" s="318"/>
      <c r="OL46" s="318"/>
      <c r="OM46" s="318"/>
      <c r="ON46" s="318"/>
      <c r="OO46" s="318"/>
      <c r="OP46" s="318"/>
      <c r="OQ46" s="318"/>
      <c r="OR46" s="318"/>
      <c r="OS46" s="318"/>
      <c r="OT46" s="318"/>
      <c r="OU46" s="318"/>
      <c r="OV46" s="318"/>
      <c r="OW46" s="318"/>
      <c r="OX46" s="318"/>
      <c r="OY46" s="318"/>
      <c r="OZ46" s="318"/>
      <c r="PA46" s="318"/>
      <c r="PB46" s="319"/>
      <c r="PC46" s="317"/>
      <c r="PD46" s="318"/>
      <c r="PE46" s="318"/>
      <c r="PF46" s="318"/>
      <c r="PG46" s="318"/>
      <c r="PH46" s="319"/>
      <c r="PM46" s="164"/>
      <c r="PN46" s="164"/>
      <c r="QM46" s="164"/>
      <c r="QO46" s="164"/>
      <c r="QP46" s="164"/>
      <c r="QQ46" s="165"/>
      <c r="QR46" s="166"/>
    </row>
    <row r="47" spans="3:460" ht="5.15" customHeight="1" x14ac:dyDescent="0.35">
      <c r="C47" s="161"/>
      <c r="D47" s="162"/>
      <c r="E47" s="164"/>
      <c r="F47" s="163"/>
      <c r="G47" s="163"/>
      <c r="H47" s="163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3"/>
      <c r="CB47" s="163"/>
      <c r="CC47" s="163"/>
      <c r="CD47" s="163"/>
      <c r="CE47" s="163"/>
      <c r="CF47" s="163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  <c r="CR47" s="164"/>
      <c r="CS47" s="164"/>
      <c r="CT47" s="164"/>
      <c r="CU47" s="164"/>
      <c r="CV47" s="164"/>
      <c r="CW47" s="164"/>
      <c r="CX47" s="164"/>
      <c r="CY47" s="164"/>
      <c r="CZ47" s="164"/>
      <c r="DA47" s="164"/>
      <c r="DB47" s="164"/>
      <c r="DC47" s="164"/>
      <c r="DD47" s="164"/>
      <c r="DE47" s="164"/>
      <c r="DF47" s="164"/>
      <c r="DG47" s="164"/>
      <c r="DH47" s="164"/>
      <c r="DI47" s="333"/>
      <c r="DJ47" s="334"/>
      <c r="DK47" s="334"/>
      <c r="DL47" s="334"/>
      <c r="DM47" s="334"/>
      <c r="DN47" s="334"/>
      <c r="DO47" s="334"/>
      <c r="DP47" s="334"/>
      <c r="DQ47" s="334"/>
      <c r="DR47" s="334"/>
      <c r="DS47" s="334"/>
      <c r="DT47" s="334"/>
      <c r="DU47" s="334"/>
      <c r="DV47" s="334"/>
      <c r="DW47" s="334"/>
      <c r="DX47" s="334"/>
      <c r="DY47" s="334"/>
      <c r="DZ47" s="334"/>
      <c r="EA47" s="334"/>
      <c r="EB47" s="334"/>
      <c r="EC47" s="334"/>
      <c r="ED47" s="334"/>
      <c r="EE47" s="334"/>
      <c r="EF47" s="334"/>
      <c r="EG47" s="334"/>
      <c r="EH47" s="334"/>
      <c r="EI47" s="334"/>
      <c r="EJ47" s="334"/>
      <c r="EK47" s="334"/>
      <c r="EL47" s="334"/>
      <c r="EM47" s="334"/>
      <c r="EN47" s="334"/>
      <c r="EO47" s="334"/>
      <c r="EP47" s="334"/>
      <c r="EQ47" s="334"/>
      <c r="ER47" s="334"/>
      <c r="ES47" s="334"/>
      <c r="ET47" s="334"/>
      <c r="EU47" s="334"/>
      <c r="EV47" s="334"/>
      <c r="EW47" s="335"/>
      <c r="EX47" s="339"/>
      <c r="EY47" s="339"/>
      <c r="EZ47" s="339"/>
      <c r="FA47" s="339"/>
      <c r="FB47" s="164"/>
      <c r="FC47" s="164"/>
      <c r="FD47" s="164"/>
      <c r="FE47" s="164"/>
      <c r="FF47" s="164"/>
      <c r="FG47" s="164"/>
      <c r="FH47" s="164"/>
      <c r="FI47" s="164"/>
      <c r="FJ47" s="164"/>
      <c r="FK47" s="164"/>
      <c r="FL47" s="164"/>
      <c r="FM47" s="164"/>
      <c r="FN47" s="164"/>
      <c r="FO47" s="164"/>
      <c r="FP47" s="164"/>
      <c r="FQ47" s="164"/>
      <c r="FR47" s="164"/>
      <c r="FS47" s="164"/>
      <c r="FT47" s="164"/>
      <c r="FU47" s="164"/>
      <c r="FV47" s="164"/>
      <c r="FW47" s="164"/>
      <c r="FX47" s="164"/>
      <c r="FY47" s="164"/>
      <c r="FZ47" s="164"/>
      <c r="GA47" s="164"/>
      <c r="GB47" s="164"/>
      <c r="GC47" s="164"/>
      <c r="GD47" s="164"/>
      <c r="GE47" s="164"/>
      <c r="GF47" s="164"/>
      <c r="GG47" s="164"/>
      <c r="GH47" s="164"/>
      <c r="GI47" s="164"/>
      <c r="GJ47" s="164"/>
      <c r="GK47" s="164"/>
      <c r="GL47" s="164"/>
      <c r="GM47" s="164"/>
      <c r="GO47" s="164"/>
      <c r="GP47" s="164"/>
      <c r="GQ47" s="164"/>
      <c r="GR47" s="164"/>
      <c r="GS47" s="164"/>
      <c r="GT47" s="164"/>
      <c r="GU47" s="164"/>
      <c r="GV47" s="164"/>
      <c r="GW47" s="164"/>
      <c r="GX47" s="164"/>
      <c r="GY47" s="164"/>
      <c r="GZ47" s="164"/>
      <c r="HA47" s="164"/>
      <c r="IV47" s="164"/>
      <c r="IW47" s="164"/>
      <c r="IX47" s="164"/>
      <c r="IY47" s="164"/>
      <c r="IZ47" s="164"/>
      <c r="JA47" s="164"/>
      <c r="JB47" s="164"/>
      <c r="JC47" s="164"/>
      <c r="JD47" s="164"/>
      <c r="JE47" s="164"/>
      <c r="JF47" s="164"/>
      <c r="JG47" s="164"/>
      <c r="JH47" s="164"/>
      <c r="JI47" s="164"/>
      <c r="JJ47" s="164"/>
      <c r="JK47" s="164"/>
      <c r="JL47" s="164"/>
      <c r="JM47" s="164"/>
      <c r="JN47" s="164"/>
      <c r="JO47" s="164"/>
      <c r="JP47" s="164"/>
      <c r="JQ47" s="164"/>
      <c r="JR47" s="164"/>
      <c r="JS47" s="164"/>
      <c r="JT47" s="164"/>
      <c r="JU47" s="164"/>
      <c r="JV47" s="164"/>
      <c r="JW47" s="164"/>
      <c r="JX47" s="164"/>
      <c r="JY47" s="164"/>
      <c r="JZ47" s="164"/>
      <c r="KI47" s="320"/>
      <c r="KJ47" s="320"/>
      <c r="KK47" s="320"/>
      <c r="KL47" s="320"/>
      <c r="KM47" s="320"/>
      <c r="KN47" s="320"/>
      <c r="KO47" s="320"/>
      <c r="KP47" s="320"/>
      <c r="KQ47" s="320"/>
      <c r="KR47" s="320"/>
      <c r="KS47" s="320"/>
      <c r="KT47" s="320"/>
      <c r="KU47" s="320"/>
      <c r="KV47" s="320"/>
      <c r="KW47" s="320"/>
      <c r="KX47" s="320"/>
      <c r="KY47" s="320"/>
      <c r="KZ47" s="320"/>
      <c r="LA47" s="320"/>
      <c r="LB47" s="320"/>
      <c r="LC47" s="320"/>
      <c r="LD47" s="320"/>
      <c r="LE47" s="320"/>
      <c r="LF47" s="320"/>
      <c r="LG47" s="320"/>
      <c r="LH47" s="320"/>
      <c r="LI47" s="320"/>
      <c r="LJ47" s="320"/>
      <c r="LK47" s="320"/>
      <c r="LL47" s="320"/>
      <c r="LM47" s="320"/>
      <c r="LN47" s="320"/>
      <c r="LO47" s="320"/>
      <c r="LP47" s="320"/>
      <c r="LQ47" s="320"/>
      <c r="LR47" s="320"/>
      <c r="LS47" s="320"/>
      <c r="LT47" s="320"/>
      <c r="LU47" s="320"/>
      <c r="LV47" s="324"/>
      <c r="LW47" s="325"/>
      <c r="LX47" s="325"/>
      <c r="LY47" s="325"/>
      <c r="LZ47" s="326"/>
      <c r="MD47" s="164"/>
      <c r="ME47" s="164"/>
      <c r="MF47" s="164"/>
      <c r="MG47" s="164"/>
      <c r="MH47" s="164"/>
      <c r="MI47" s="164"/>
      <c r="MJ47" s="164"/>
      <c r="MK47" s="164"/>
      <c r="ML47" s="164"/>
      <c r="MM47" s="164"/>
      <c r="MN47" s="164"/>
      <c r="MO47" s="164"/>
      <c r="MP47" s="164"/>
      <c r="MQ47" s="164"/>
      <c r="MR47" s="164"/>
      <c r="MS47" s="164"/>
      <c r="MT47" s="164"/>
      <c r="MU47" s="164"/>
      <c r="MV47" s="164"/>
      <c r="MW47" s="164"/>
      <c r="MX47" s="164"/>
      <c r="MY47" s="164"/>
      <c r="MZ47" s="164"/>
      <c r="NA47" s="164"/>
      <c r="NB47" s="164"/>
      <c r="NC47" s="164"/>
      <c r="ND47" s="164"/>
      <c r="NE47" s="164"/>
      <c r="NF47" s="164"/>
      <c r="NG47" s="164"/>
      <c r="NH47" s="164"/>
      <c r="NI47" s="164"/>
      <c r="NJ47" s="164"/>
      <c r="NK47" s="164"/>
      <c r="NL47" s="164"/>
      <c r="NM47" s="164"/>
      <c r="NN47" s="164"/>
      <c r="NO47" s="164"/>
      <c r="NP47" s="164"/>
      <c r="NQ47" s="164"/>
      <c r="NR47" s="164"/>
      <c r="NS47" s="164"/>
      <c r="NT47" s="164"/>
      <c r="NU47" s="164"/>
      <c r="OM47" s="184"/>
      <c r="PM47" s="164"/>
      <c r="PN47" s="164"/>
      <c r="QM47" s="164"/>
      <c r="QO47" s="164"/>
      <c r="QP47" s="164"/>
      <c r="QQ47" s="165"/>
      <c r="QR47" s="166"/>
    </row>
    <row r="48" spans="3:460" ht="5.15" customHeight="1" x14ac:dyDescent="0.35">
      <c r="C48" s="161"/>
      <c r="D48" s="162"/>
      <c r="E48" s="164"/>
      <c r="F48" s="163"/>
      <c r="G48" s="163"/>
      <c r="H48" s="163"/>
      <c r="I48" s="330" t="s">
        <v>271</v>
      </c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331"/>
      <c r="U48" s="331"/>
      <c r="V48" s="331"/>
      <c r="W48" s="331"/>
      <c r="X48" s="331"/>
      <c r="Y48" s="331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/>
      <c r="AK48" s="331"/>
      <c r="AL48" s="331"/>
      <c r="AM48" s="331"/>
      <c r="AN48" s="331"/>
      <c r="AO48" s="331"/>
      <c r="AP48" s="331"/>
      <c r="AQ48" s="331"/>
      <c r="AR48" s="331"/>
      <c r="AS48" s="331"/>
      <c r="AT48" s="331"/>
      <c r="AU48" s="331"/>
      <c r="AV48" s="331"/>
      <c r="AW48" s="340"/>
      <c r="AX48" s="343">
        <v>2</v>
      </c>
      <c r="AY48" s="344"/>
      <c r="AZ48" s="344"/>
      <c r="BA48" s="344"/>
      <c r="BB48" s="345"/>
      <c r="CB48" s="163"/>
      <c r="CC48" s="163"/>
      <c r="CD48" s="163"/>
      <c r="CE48" s="163"/>
      <c r="CF48" s="163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  <c r="CR48" s="164"/>
      <c r="CS48" s="164"/>
      <c r="CT48" s="164"/>
      <c r="CU48" s="164"/>
      <c r="CV48" s="164"/>
      <c r="CW48" s="164"/>
      <c r="CX48" s="164"/>
      <c r="CY48" s="164"/>
      <c r="CZ48" s="164"/>
      <c r="DA48" s="164"/>
      <c r="DB48" s="164"/>
      <c r="DC48" s="164"/>
      <c r="DD48" s="164"/>
      <c r="DE48" s="164"/>
      <c r="DF48" s="164"/>
      <c r="DG48" s="164"/>
      <c r="DH48" s="164"/>
      <c r="DI48" s="333"/>
      <c r="DJ48" s="334"/>
      <c r="DK48" s="334"/>
      <c r="DL48" s="334"/>
      <c r="DM48" s="334"/>
      <c r="DN48" s="334"/>
      <c r="DO48" s="334"/>
      <c r="DP48" s="334"/>
      <c r="DQ48" s="334"/>
      <c r="DR48" s="334"/>
      <c r="DS48" s="334"/>
      <c r="DT48" s="334"/>
      <c r="DU48" s="334"/>
      <c r="DV48" s="334"/>
      <c r="DW48" s="334"/>
      <c r="DX48" s="334"/>
      <c r="DY48" s="334"/>
      <c r="DZ48" s="334"/>
      <c r="EA48" s="334"/>
      <c r="EB48" s="334"/>
      <c r="EC48" s="334"/>
      <c r="ED48" s="334"/>
      <c r="EE48" s="334"/>
      <c r="EF48" s="334"/>
      <c r="EG48" s="334"/>
      <c r="EH48" s="334"/>
      <c r="EI48" s="334"/>
      <c r="EJ48" s="334"/>
      <c r="EK48" s="334"/>
      <c r="EL48" s="334"/>
      <c r="EM48" s="334"/>
      <c r="EN48" s="334"/>
      <c r="EO48" s="334"/>
      <c r="EP48" s="334"/>
      <c r="EQ48" s="334"/>
      <c r="ER48" s="334"/>
      <c r="ES48" s="334"/>
      <c r="ET48" s="334"/>
      <c r="EU48" s="334"/>
      <c r="EV48" s="334"/>
      <c r="EW48" s="335"/>
      <c r="EX48" s="339"/>
      <c r="EY48" s="339"/>
      <c r="EZ48" s="339"/>
      <c r="FA48" s="339"/>
      <c r="FB48" s="164"/>
      <c r="FC48" s="164"/>
      <c r="FD48" s="164"/>
      <c r="FE48" s="164"/>
      <c r="FF48" s="164"/>
      <c r="FG48" s="164"/>
      <c r="FH48" s="164"/>
      <c r="FI48" s="164"/>
      <c r="FJ48" s="164"/>
      <c r="FK48" s="164"/>
      <c r="FL48" s="164"/>
      <c r="FM48" s="164"/>
      <c r="FN48" s="164"/>
      <c r="FO48" s="164"/>
      <c r="FP48" s="164"/>
      <c r="FQ48" s="164"/>
      <c r="FR48" s="164"/>
      <c r="FS48" s="164"/>
      <c r="FT48" s="164"/>
      <c r="FU48" s="164"/>
      <c r="FV48" s="164"/>
      <c r="FW48" s="164"/>
      <c r="FX48" s="164"/>
      <c r="FY48" s="164"/>
      <c r="FZ48" s="164"/>
      <c r="GA48" s="164"/>
      <c r="GB48" s="164"/>
      <c r="GC48" s="164"/>
      <c r="GD48" s="164"/>
      <c r="GE48" s="164"/>
      <c r="GF48" s="164"/>
      <c r="GG48" s="164"/>
      <c r="GH48" s="164"/>
      <c r="GI48" s="164"/>
      <c r="GJ48" s="164"/>
      <c r="GK48" s="164"/>
      <c r="GL48" s="164"/>
      <c r="GM48" s="164"/>
      <c r="GO48" s="164"/>
      <c r="GP48" s="164"/>
      <c r="GQ48" s="164"/>
      <c r="GR48" s="164"/>
      <c r="GS48" s="164"/>
      <c r="GT48" s="164"/>
      <c r="GU48" s="164"/>
      <c r="GV48" s="164"/>
      <c r="GW48" s="164"/>
      <c r="GX48" s="164"/>
      <c r="GY48" s="164"/>
      <c r="GZ48" s="164"/>
      <c r="HA48" s="164"/>
      <c r="IV48" s="164"/>
      <c r="IW48" s="164"/>
      <c r="IX48" s="164"/>
      <c r="IY48" s="164"/>
      <c r="IZ48" s="164"/>
      <c r="JA48" s="164"/>
      <c r="JB48" s="164"/>
      <c r="JC48" s="164"/>
      <c r="JD48" s="164"/>
      <c r="JE48" s="164"/>
      <c r="JF48" s="164"/>
      <c r="JG48" s="164"/>
      <c r="JH48" s="164"/>
      <c r="JI48" s="164"/>
      <c r="JJ48" s="164"/>
      <c r="JK48" s="164"/>
      <c r="JL48" s="164"/>
      <c r="JM48" s="164"/>
      <c r="JN48" s="164"/>
      <c r="JO48" s="164"/>
      <c r="JP48" s="164"/>
      <c r="JQ48" s="164"/>
      <c r="JR48" s="164"/>
      <c r="JS48" s="164"/>
      <c r="JT48" s="164"/>
      <c r="JU48" s="164"/>
      <c r="JV48" s="164"/>
      <c r="JW48" s="164"/>
      <c r="JX48" s="164"/>
      <c r="JY48" s="164"/>
      <c r="JZ48" s="164"/>
      <c r="KI48" s="320"/>
      <c r="KJ48" s="320"/>
      <c r="KK48" s="320"/>
      <c r="KL48" s="320"/>
      <c r="KM48" s="320"/>
      <c r="KN48" s="320"/>
      <c r="KO48" s="320"/>
      <c r="KP48" s="320"/>
      <c r="KQ48" s="320"/>
      <c r="KR48" s="320"/>
      <c r="KS48" s="320"/>
      <c r="KT48" s="320"/>
      <c r="KU48" s="320"/>
      <c r="KV48" s="320"/>
      <c r="KW48" s="320"/>
      <c r="KX48" s="320"/>
      <c r="KY48" s="320"/>
      <c r="KZ48" s="320"/>
      <c r="LA48" s="320"/>
      <c r="LB48" s="320"/>
      <c r="LC48" s="320"/>
      <c r="LD48" s="320"/>
      <c r="LE48" s="320"/>
      <c r="LF48" s="320"/>
      <c r="LG48" s="320"/>
      <c r="LH48" s="320"/>
      <c r="LI48" s="320"/>
      <c r="LJ48" s="320"/>
      <c r="LK48" s="320"/>
      <c r="LL48" s="320"/>
      <c r="LM48" s="320"/>
      <c r="LN48" s="320"/>
      <c r="LO48" s="320"/>
      <c r="LP48" s="320"/>
      <c r="LQ48" s="320"/>
      <c r="LR48" s="320"/>
      <c r="LS48" s="320"/>
      <c r="LT48" s="320"/>
      <c r="LU48" s="320"/>
      <c r="LV48" s="324"/>
      <c r="LW48" s="325"/>
      <c r="LX48" s="325"/>
      <c r="LY48" s="325"/>
      <c r="LZ48" s="326"/>
      <c r="MD48" s="164"/>
      <c r="ME48" s="164"/>
      <c r="MF48" s="164"/>
      <c r="MG48" s="164"/>
      <c r="MH48" s="164"/>
      <c r="MI48" s="164"/>
      <c r="MJ48" s="164"/>
      <c r="MK48" s="164"/>
      <c r="ML48" s="164"/>
      <c r="MM48" s="164"/>
      <c r="MN48" s="164"/>
      <c r="MO48" s="164"/>
      <c r="MP48" s="164"/>
      <c r="MQ48" s="164"/>
      <c r="MR48" s="164"/>
      <c r="MS48" s="164"/>
      <c r="MT48" s="164"/>
      <c r="MU48" s="164"/>
      <c r="MV48" s="164"/>
      <c r="MW48" s="164"/>
      <c r="MX48" s="164"/>
      <c r="MY48" s="164"/>
      <c r="MZ48" s="164"/>
      <c r="NA48" s="164"/>
      <c r="NB48" s="164"/>
      <c r="NC48" s="164"/>
      <c r="ND48" s="164"/>
      <c r="NE48" s="164"/>
      <c r="NF48" s="164"/>
      <c r="NG48" s="164"/>
      <c r="NH48" s="164"/>
      <c r="NI48" s="164"/>
      <c r="NJ48" s="164"/>
      <c r="NK48" s="164"/>
      <c r="NL48" s="164"/>
      <c r="NM48" s="164"/>
      <c r="NN48" s="164"/>
      <c r="NO48" s="164"/>
      <c r="NP48" s="164"/>
      <c r="NQ48" s="164"/>
      <c r="NR48" s="164"/>
      <c r="NS48" s="164"/>
      <c r="NT48" s="164"/>
      <c r="NU48" s="164"/>
      <c r="OM48" s="185"/>
      <c r="OO48" s="164"/>
      <c r="PM48" s="164"/>
      <c r="PN48" s="164"/>
      <c r="QM48" s="164"/>
      <c r="QO48" s="164"/>
      <c r="QP48" s="164"/>
      <c r="QQ48" s="165"/>
      <c r="QR48" s="166"/>
    </row>
    <row r="49" spans="3:465" ht="5.15" customHeight="1" x14ac:dyDescent="0.35">
      <c r="C49" s="161"/>
      <c r="D49" s="162"/>
      <c r="E49" s="164"/>
      <c r="F49" s="163"/>
      <c r="G49" s="163"/>
      <c r="H49" s="163"/>
      <c r="I49" s="333"/>
      <c r="J49" s="334"/>
      <c r="K49" s="334"/>
      <c r="L49" s="334"/>
      <c r="M49" s="334"/>
      <c r="N49" s="334"/>
      <c r="O49" s="334"/>
      <c r="P49" s="334"/>
      <c r="Q49" s="334"/>
      <c r="R49" s="334"/>
      <c r="S49" s="334"/>
      <c r="T49" s="334"/>
      <c r="U49" s="334"/>
      <c r="V49" s="334"/>
      <c r="W49" s="334"/>
      <c r="X49" s="334"/>
      <c r="Y49" s="334"/>
      <c r="Z49" s="334"/>
      <c r="AA49" s="334"/>
      <c r="AB49" s="334"/>
      <c r="AC49" s="334"/>
      <c r="AD49" s="334"/>
      <c r="AE49" s="334"/>
      <c r="AF49" s="334"/>
      <c r="AG49" s="334"/>
      <c r="AH49" s="334"/>
      <c r="AI49" s="334"/>
      <c r="AJ49" s="334"/>
      <c r="AK49" s="334"/>
      <c r="AL49" s="334"/>
      <c r="AM49" s="334"/>
      <c r="AN49" s="334"/>
      <c r="AO49" s="334"/>
      <c r="AP49" s="334"/>
      <c r="AQ49" s="334"/>
      <c r="AR49" s="334"/>
      <c r="AS49" s="334"/>
      <c r="AT49" s="334"/>
      <c r="AU49" s="334"/>
      <c r="AV49" s="334"/>
      <c r="AW49" s="341"/>
      <c r="AX49" s="346"/>
      <c r="AY49" s="347"/>
      <c r="AZ49" s="347"/>
      <c r="BA49" s="347"/>
      <c r="BB49" s="348"/>
      <c r="CB49" s="163"/>
      <c r="CC49" s="163"/>
      <c r="CD49" s="163"/>
      <c r="CE49" s="163"/>
      <c r="CF49" s="163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164"/>
      <c r="DB49" s="164"/>
      <c r="DC49" s="164"/>
      <c r="DD49" s="164"/>
      <c r="DE49" s="164"/>
      <c r="DF49" s="164"/>
      <c r="DG49" s="164"/>
      <c r="DH49" s="164"/>
      <c r="DI49" s="333"/>
      <c r="DJ49" s="334"/>
      <c r="DK49" s="334"/>
      <c r="DL49" s="334"/>
      <c r="DM49" s="334"/>
      <c r="DN49" s="334"/>
      <c r="DO49" s="334"/>
      <c r="DP49" s="334"/>
      <c r="DQ49" s="334"/>
      <c r="DR49" s="334"/>
      <c r="DS49" s="334"/>
      <c r="DT49" s="334"/>
      <c r="DU49" s="334"/>
      <c r="DV49" s="334"/>
      <c r="DW49" s="334"/>
      <c r="DX49" s="334"/>
      <c r="DY49" s="334"/>
      <c r="DZ49" s="334"/>
      <c r="EA49" s="334"/>
      <c r="EB49" s="334"/>
      <c r="EC49" s="334"/>
      <c r="ED49" s="334"/>
      <c r="EE49" s="334"/>
      <c r="EF49" s="334"/>
      <c r="EG49" s="334"/>
      <c r="EH49" s="334"/>
      <c r="EI49" s="334"/>
      <c r="EJ49" s="334"/>
      <c r="EK49" s="334"/>
      <c r="EL49" s="334"/>
      <c r="EM49" s="334"/>
      <c r="EN49" s="334"/>
      <c r="EO49" s="334"/>
      <c r="EP49" s="334"/>
      <c r="EQ49" s="334"/>
      <c r="ER49" s="334"/>
      <c r="ES49" s="334"/>
      <c r="ET49" s="334"/>
      <c r="EU49" s="334"/>
      <c r="EV49" s="334"/>
      <c r="EW49" s="335"/>
      <c r="EX49" s="339"/>
      <c r="EY49" s="339"/>
      <c r="EZ49" s="339"/>
      <c r="FA49" s="339"/>
      <c r="FB49" s="164"/>
      <c r="FC49" s="164"/>
      <c r="FD49" s="164"/>
      <c r="FE49" s="164"/>
      <c r="FF49" s="164"/>
      <c r="FG49" s="164"/>
      <c r="FH49" s="164"/>
      <c r="FI49" s="164"/>
      <c r="FJ49" s="164"/>
      <c r="FK49" s="164"/>
      <c r="FL49" s="164"/>
      <c r="FM49" s="164"/>
      <c r="FN49" s="164"/>
      <c r="FO49" s="164"/>
      <c r="FP49" s="164"/>
      <c r="FQ49" s="164"/>
      <c r="FR49" s="164"/>
      <c r="FS49" s="164"/>
      <c r="FT49" s="164"/>
      <c r="FU49" s="164"/>
      <c r="FV49" s="164"/>
      <c r="FW49" s="164"/>
      <c r="FX49" s="164"/>
      <c r="FY49" s="164"/>
      <c r="FZ49" s="164"/>
      <c r="GA49" s="164"/>
      <c r="GB49" s="164"/>
      <c r="GC49" s="164"/>
      <c r="GD49" s="164"/>
      <c r="GE49" s="164"/>
      <c r="GF49" s="164"/>
      <c r="GG49" s="164"/>
      <c r="GH49" s="164"/>
      <c r="GI49" s="164"/>
      <c r="GJ49" s="164"/>
      <c r="GK49" s="164"/>
      <c r="GL49" s="164"/>
      <c r="GM49" s="164"/>
      <c r="GO49" s="164"/>
      <c r="GP49" s="164"/>
      <c r="GQ49" s="164"/>
      <c r="GR49" s="164"/>
      <c r="GS49" s="164"/>
      <c r="GT49" s="164"/>
      <c r="GU49" s="164"/>
      <c r="GV49" s="164"/>
      <c r="GW49" s="164"/>
      <c r="GX49" s="164"/>
      <c r="GY49" s="164"/>
      <c r="GZ49" s="164"/>
      <c r="HA49" s="164"/>
      <c r="IV49" s="164"/>
      <c r="IW49" s="164"/>
      <c r="IX49" s="164"/>
      <c r="IY49" s="164"/>
      <c r="IZ49" s="164"/>
      <c r="JA49" s="164"/>
      <c r="JB49" s="164"/>
      <c r="JC49" s="164"/>
      <c r="JD49" s="164"/>
      <c r="JE49" s="164"/>
      <c r="JF49" s="164"/>
      <c r="JG49" s="164"/>
      <c r="JH49" s="164"/>
      <c r="JI49" s="164"/>
      <c r="JJ49" s="164"/>
      <c r="JK49" s="164"/>
      <c r="JL49" s="164"/>
      <c r="JM49" s="164"/>
      <c r="JN49" s="164"/>
      <c r="JO49" s="164"/>
      <c r="JP49" s="164"/>
      <c r="JQ49" s="164"/>
      <c r="JR49" s="164"/>
      <c r="JS49" s="164"/>
      <c r="JT49" s="164"/>
      <c r="JU49" s="164"/>
      <c r="JV49" s="164"/>
      <c r="JW49" s="164"/>
      <c r="JX49" s="164"/>
      <c r="JY49" s="164"/>
      <c r="JZ49" s="164"/>
      <c r="KI49" s="320"/>
      <c r="KJ49" s="320"/>
      <c r="KK49" s="320"/>
      <c r="KL49" s="320"/>
      <c r="KM49" s="320"/>
      <c r="KN49" s="320"/>
      <c r="KO49" s="320"/>
      <c r="KP49" s="320"/>
      <c r="KQ49" s="320"/>
      <c r="KR49" s="320"/>
      <c r="KS49" s="320"/>
      <c r="KT49" s="320"/>
      <c r="KU49" s="320"/>
      <c r="KV49" s="320"/>
      <c r="KW49" s="320"/>
      <c r="KX49" s="320"/>
      <c r="KY49" s="320"/>
      <c r="KZ49" s="320"/>
      <c r="LA49" s="320"/>
      <c r="LB49" s="320"/>
      <c r="LC49" s="320"/>
      <c r="LD49" s="320"/>
      <c r="LE49" s="320"/>
      <c r="LF49" s="320"/>
      <c r="LG49" s="320"/>
      <c r="LH49" s="320"/>
      <c r="LI49" s="320"/>
      <c r="LJ49" s="320"/>
      <c r="LK49" s="320"/>
      <c r="LL49" s="320"/>
      <c r="LM49" s="320"/>
      <c r="LN49" s="320"/>
      <c r="LO49" s="320"/>
      <c r="LP49" s="320"/>
      <c r="LQ49" s="320"/>
      <c r="LR49" s="320"/>
      <c r="LS49" s="320"/>
      <c r="LT49" s="320"/>
      <c r="LU49" s="320"/>
      <c r="LV49" s="327"/>
      <c r="LW49" s="328"/>
      <c r="LX49" s="328"/>
      <c r="LY49" s="328"/>
      <c r="LZ49" s="329"/>
      <c r="MD49" s="164"/>
      <c r="ME49" s="164"/>
      <c r="MF49" s="164"/>
      <c r="MG49" s="164"/>
      <c r="MH49" s="164"/>
      <c r="MI49" s="164"/>
      <c r="MJ49" s="164"/>
      <c r="MK49" s="164"/>
      <c r="ML49" s="164"/>
      <c r="MM49" s="164"/>
      <c r="MN49" s="164"/>
      <c r="MO49" s="164"/>
      <c r="MP49" s="164"/>
      <c r="MQ49" s="164"/>
      <c r="MR49" s="164"/>
      <c r="MS49" s="164"/>
      <c r="MT49" s="164"/>
      <c r="MU49" s="164"/>
      <c r="MV49" s="164"/>
      <c r="MW49" s="164"/>
      <c r="MX49" s="164"/>
      <c r="MY49" s="164"/>
      <c r="MZ49" s="164"/>
      <c r="NA49" s="164"/>
      <c r="NB49" s="164"/>
      <c r="NC49" s="164"/>
      <c r="ND49" s="164"/>
      <c r="NE49" s="164"/>
      <c r="NF49" s="164"/>
      <c r="NG49" s="164"/>
      <c r="NH49" s="164"/>
      <c r="NI49" s="164"/>
      <c r="NJ49" s="164"/>
      <c r="NK49" s="164"/>
      <c r="NL49" s="164"/>
      <c r="NM49" s="164"/>
      <c r="NN49" s="164"/>
      <c r="NO49" s="164"/>
      <c r="NP49" s="164"/>
      <c r="NQ49" s="164"/>
      <c r="NR49" s="164"/>
      <c r="NS49" s="164"/>
      <c r="NT49" s="164"/>
      <c r="NU49" s="164"/>
      <c r="OM49" s="185"/>
      <c r="PM49" s="164"/>
      <c r="PN49" s="164"/>
      <c r="QM49" s="164"/>
      <c r="QO49" s="164"/>
      <c r="QP49" s="164"/>
      <c r="QQ49" s="165"/>
      <c r="QR49" s="166"/>
    </row>
    <row r="50" spans="3:465" ht="5.15" customHeight="1" x14ac:dyDescent="0.35">
      <c r="C50" s="161"/>
      <c r="D50" s="162"/>
      <c r="E50" s="164"/>
      <c r="H50" s="164"/>
      <c r="I50" s="333"/>
      <c r="J50" s="334"/>
      <c r="K50" s="334"/>
      <c r="L50" s="334"/>
      <c r="M50" s="334"/>
      <c r="N50" s="334"/>
      <c r="O50" s="334"/>
      <c r="P50" s="334"/>
      <c r="Q50" s="334"/>
      <c r="R50" s="334"/>
      <c r="S50" s="334"/>
      <c r="T50" s="334"/>
      <c r="U50" s="334"/>
      <c r="V50" s="334"/>
      <c r="W50" s="334"/>
      <c r="X50" s="334"/>
      <c r="Y50" s="334"/>
      <c r="Z50" s="334"/>
      <c r="AA50" s="334"/>
      <c r="AB50" s="334"/>
      <c r="AC50" s="334"/>
      <c r="AD50" s="334"/>
      <c r="AE50" s="334"/>
      <c r="AF50" s="334"/>
      <c r="AG50" s="334"/>
      <c r="AH50" s="334"/>
      <c r="AI50" s="334"/>
      <c r="AJ50" s="334"/>
      <c r="AK50" s="334"/>
      <c r="AL50" s="334"/>
      <c r="AM50" s="334"/>
      <c r="AN50" s="334"/>
      <c r="AO50" s="334"/>
      <c r="AP50" s="334"/>
      <c r="AQ50" s="334"/>
      <c r="AR50" s="334"/>
      <c r="AS50" s="334"/>
      <c r="AT50" s="334"/>
      <c r="AU50" s="334"/>
      <c r="AV50" s="334"/>
      <c r="AW50" s="341"/>
      <c r="AX50" s="346"/>
      <c r="AY50" s="347"/>
      <c r="AZ50" s="347"/>
      <c r="BA50" s="347"/>
      <c r="BB50" s="348"/>
      <c r="CB50" s="163"/>
      <c r="CC50" s="163"/>
      <c r="CD50" s="163"/>
      <c r="CE50" s="163"/>
      <c r="CF50" s="163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333"/>
      <c r="DJ50" s="334"/>
      <c r="DK50" s="334"/>
      <c r="DL50" s="334"/>
      <c r="DM50" s="334"/>
      <c r="DN50" s="334"/>
      <c r="DO50" s="334"/>
      <c r="DP50" s="334"/>
      <c r="DQ50" s="334"/>
      <c r="DR50" s="334"/>
      <c r="DS50" s="334"/>
      <c r="DT50" s="334"/>
      <c r="DU50" s="334"/>
      <c r="DV50" s="334"/>
      <c r="DW50" s="334"/>
      <c r="DX50" s="334"/>
      <c r="DY50" s="334"/>
      <c r="DZ50" s="334"/>
      <c r="EA50" s="334"/>
      <c r="EB50" s="334"/>
      <c r="EC50" s="334"/>
      <c r="ED50" s="334"/>
      <c r="EE50" s="334"/>
      <c r="EF50" s="334"/>
      <c r="EG50" s="334"/>
      <c r="EH50" s="334"/>
      <c r="EI50" s="334"/>
      <c r="EJ50" s="334"/>
      <c r="EK50" s="334"/>
      <c r="EL50" s="334"/>
      <c r="EM50" s="334"/>
      <c r="EN50" s="334"/>
      <c r="EO50" s="334"/>
      <c r="EP50" s="334"/>
      <c r="EQ50" s="334"/>
      <c r="ER50" s="334"/>
      <c r="ES50" s="334"/>
      <c r="ET50" s="334"/>
      <c r="EU50" s="334"/>
      <c r="EV50" s="334"/>
      <c r="EW50" s="335"/>
      <c r="EX50" s="339"/>
      <c r="EY50" s="339"/>
      <c r="EZ50" s="339"/>
      <c r="FA50" s="339"/>
      <c r="FB50" s="164"/>
      <c r="FC50" s="164"/>
      <c r="FD50" s="164"/>
      <c r="FE50" s="164"/>
      <c r="FF50" s="164"/>
      <c r="FG50" s="164"/>
      <c r="FH50" s="164"/>
      <c r="FI50" s="164"/>
      <c r="FJ50" s="164"/>
      <c r="FK50" s="164"/>
      <c r="FL50" s="164"/>
      <c r="FM50" s="164"/>
      <c r="FN50" s="164"/>
      <c r="FO50" s="164"/>
      <c r="FP50" s="164"/>
      <c r="FQ50" s="164"/>
      <c r="FR50" s="164"/>
      <c r="FS50" s="164"/>
      <c r="FT50" s="164"/>
      <c r="FU50" s="164"/>
      <c r="FV50" s="164"/>
      <c r="FW50" s="164"/>
      <c r="FX50" s="164"/>
      <c r="FY50" s="164"/>
      <c r="FZ50" s="164"/>
      <c r="GA50" s="164"/>
      <c r="GB50" s="164"/>
      <c r="GC50" s="164"/>
      <c r="GD50" s="164"/>
      <c r="GE50" s="164"/>
      <c r="GF50" s="164"/>
      <c r="GG50" s="164"/>
      <c r="GH50" s="164"/>
      <c r="GI50" s="164"/>
      <c r="GJ50" s="164"/>
      <c r="GK50" s="164"/>
      <c r="GL50" s="164"/>
      <c r="GM50" s="164"/>
      <c r="GO50" s="164"/>
      <c r="GP50" s="164"/>
      <c r="GQ50" s="164"/>
      <c r="GR50" s="164"/>
      <c r="GS50" s="164"/>
      <c r="GT50" s="164"/>
      <c r="GU50" s="164"/>
      <c r="GV50" s="164"/>
      <c r="GW50" s="164"/>
      <c r="GX50" s="164"/>
      <c r="GY50" s="164"/>
      <c r="GZ50" s="164"/>
      <c r="HA50" s="164"/>
      <c r="IV50" s="164"/>
      <c r="IW50" s="164"/>
      <c r="IX50" s="164"/>
      <c r="IY50" s="164"/>
      <c r="IZ50" s="164"/>
      <c r="JA50" s="164"/>
      <c r="JB50" s="164"/>
      <c r="JC50" s="164"/>
      <c r="JD50" s="164"/>
      <c r="JE50" s="164"/>
      <c r="JF50" s="164"/>
      <c r="JG50" s="164"/>
      <c r="JH50" s="164"/>
      <c r="JI50" s="164"/>
      <c r="JJ50" s="164"/>
      <c r="JK50" s="164"/>
      <c r="JL50" s="164"/>
      <c r="JM50" s="164"/>
      <c r="JN50" s="164"/>
      <c r="JO50" s="164"/>
      <c r="JP50" s="164"/>
      <c r="JQ50" s="164"/>
      <c r="JR50" s="164"/>
      <c r="JS50" s="164"/>
      <c r="JT50" s="164"/>
      <c r="JU50" s="164"/>
      <c r="JV50" s="164"/>
      <c r="JW50" s="164"/>
      <c r="JX50" s="164"/>
      <c r="JY50" s="164"/>
      <c r="JZ50" s="164"/>
      <c r="KI50" s="164"/>
      <c r="KJ50" s="164"/>
      <c r="KK50" s="164"/>
      <c r="KL50" s="164"/>
      <c r="KM50" s="164"/>
      <c r="KN50" s="164"/>
      <c r="KO50" s="164"/>
      <c r="KP50" s="164"/>
      <c r="KQ50" s="164"/>
      <c r="KR50" s="164"/>
      <c r="KS50" s="164"/>
      <c r="KT50" s="164"/>
      <c r="KU50" s="164"/>
      <c r="KV50" s="164"/>
      <c r="KW50" s="164"/>
      <c r="KX50" s="164"/>
      <c r="KY50" s="164"/>
      <c r="KZ50" s="164"/>
      <c r="LA50" s="164"/>
      <c r="LF50" s="169"/>
      <c r="LG50" s="164"/>
      <c r="LH50" s="164"/>
      <c r="MD50" s="164"/>
      <c r="ME50" s="164"/>
      <c r="MF50" s="164"/>
      <c r="MG50" s="164"/>
      <c r="MH50" s="164"/>
      <c r="MI50" s="164"/>
      <c r="MJ50" s="164"/>
      <c r="MK50" s="164"/>
      <c r="ML50" s="164"/>
      <c r="MM50" s="164"/>
      <c r="MN50" s="164"/>
      <c r="MO50" s="164"/>
      <c r="MP50" s="164"/>
      <c r="MQ50" s="164"/>
      <c r="MR50" s="164"/>
      <c r="MS50" s="164"/>
      <c r="MT50" s="164"/>
      <c r="MU50" s="164"/>
      <c r="MV50" s="164"/>
      <c r="MW50" s="164"/>
      <c r="MX50" s="164"/>
      <c r="MY50" s="164"/>
      <c r="MZ50" s="164"/>
      <c r="NA50" s="164"/>
      <c r="NB50" s="164"/>
      <c r="NC50" s="164"/>
      <c r="ND50" s="164"/>
      <c r="NE50" s="164"/>
      <c r="NF50" s="164"/>
      <c r="NG50" s="164"/>
      <c r="NH50" s="164"/>
      <c r="NI50" s="164"/>
      <c r="NJ50" s="164"/>
      <c r="NK50" s="164"/>
      <c r="NL50" s="164"/>
      <c r="NM50" s="164"/>
      <c r="NN50" s="164"/>
      <c r="NO50" s="164"/>
      <c r="NP50" s="164"/>
      <c r="NQ50" s="164"/>
      <c r="NR50" s="164"/>
      <c r="NS50" s="164"/>
      <c r="NT50" s="164"/>
      <c r="NU50" s="164"/>
      <c r="OM50" s="185"/>
      <c r="PM50" s="164"/>
      <c r="PN50" s="164"/>
      <c r="QM50" s="164"/>
      <c r="QO50" s="164"/>
      <c r="QP50" s="164"/>
      <c r="QQ50" s="165"/>
      <c r="QR50" s="166"/>
    </row>
    <row r="51" spans="3:465" ht="5.15" customHeight="1" x14ac:dyDescent="0.35">
      <c r="C51" s="161"/>
      <c r="D51" s="162"/>
      <c r="E51" s="164"/>
      <c r="H51" s="164"/>
      <c r="I51" s="333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34"/>
      <c r="AN51" s="334"/>
      <c r="AO51" s="334"/>
      <c r="AP51" s="334"/>
      <c r="AQ51" s="334"/>
      <c r="AR51" s="334"/>
      <c r="AS51" s="334"/>
      <c r="AT51" s="334"/>
      <c r="AU51" s="334"/>
      <c r="AV51" s="334"/>
      <c r="AW51" s="341"/>
      <c r="AX51" s="346"/>
      <c r="AY51" s="347"/>
      <c r="AZ51" s="347"/>
      <c r="BA51" s="347"/>
      <c r="BB51" s="348"/>
      <c r="CT51" s="164"/>
      <c r="CU51" s="164"/>
      <c r="CV51" s="164"/>
      <c r="CW51" s="164"/>
      <c r="CX51" s="164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333"/>
      <c r="DJ51" s="334"/>
      <c r="DK51" s="334"/>
      <c r="DL51" s="334"/>
      <c r="DM51" s="334"/>
      <c r="DN51" s="334"/>
      <c r="DO51" s="334"/>
      <c r="DP51" s="334"/>
      <c r="DQ51" s="334"/>
      <c r="DR51" s="334"/>
      <c r="DS51" s="334"/>
      <c r="DT51" s="334"/>
      <c r="DU51" s="334"/>
      <c r="DV51" s="334"/>
      <c r="DW51" s="334"/>
      <c r="DX51" s="334"/>
      <c r="DY51" s="334"/>
      <c r="DZ51" s="334"/>
      <c r="EA51" s="334"/>
      <c r="EB51" s="334"/>
      <c r="EC51" s="334"/>
      <c r="ED51" s="334"/>
      <c r="EE51" s="334"/>
      <c r="EF51" s="334"/>
      <c r="EG51" s="334"/>
      <c r="EH51" s="334"/>
      <c r="EI51" s="334"/>
      <c r="EJ51" s="334"/>
      <c r="EK51" s="334"/>
      <c r="EL51" s="334"/>
      <c r="EM51" s="334"/>
      <c r="EN51" s="334"/>
      <c r="EO51" s="334"/>
      <c r="EP51" s="334"/>
      <c r="EQ51" s="334"/>
      <c r="ER51" s="334"/>
      <c r="ES51" s="334"/>
      <c r="ET51" s="334"/>
      <c r="EU51" s="334"/>
      <c r="EV51" s="334"/>
      <c r="EW51" s="335"/>
      <c r="EX51" s="339"/>
      <c r="EY51" s="339"/>
      <c r="EZ51" s="339"/>
      <c r="FA51" s="339"/>
      <c r="GX51" s="164"/>
      <c r="GY51" s="164"/>
      <c r="GZ51" s="164"/>
      <c r="HA51" s="178"/>
      <c r="IV51" s="164"/>
      <c r="IW51" s="164"/>
      <c r="IX51" s="164"/>
      <c r="IY51" s="164"/>
      <c r="IZ51" s="164"/>
      <c r="JA51" s="164"/>
      <c r="JB51" s="164"/>
      <c r="JC51" s="164"/>
      <c r="JD51" s="164"/>
      <c r="JE51" s="164"/>
      <c r="JF51" s="164"/>
      <c r="JG51" s="164"/>
      <c r="JH51" s="164"/>
      <c r="JI51" s="164"/>
      <c r="JJ51" s="164"/>
      <c r="JK51" s="164"/>
      <c r="JL51" s="164"/>
      <c r="JM51" s="164"/>
      <c r="JN51" s="164"/>
      <c r="JO51" s="164"/>
      <c r="JP51" s="164"/>
      <c r="JQ51" s="164"/>
      <c r="JR51" s="164"/>
      <c r="JS51" s="164"/>
      <c r="JT51" s="164"/>
      <c r="JU51" s="164"/>
      <c r="JV51" s="164"/>
      <c r="JW51" s="164"/>
      <c r="JX51" s="164"/>
      <c r="JY51" s="164"/>
      <c r="JZ51" s="164"/>
      <c r="LF51" s="169"/>
      <c r="LG51" s="164"/>
      <c r="MG51" s="164"/>
      <c r="MH51" s="164"/>
      <c r="MI51" s="163"/>
      <c r="MJ51" s="163"/>
      <c r="MK51" s="163"/>
      <c r="MO51" s="311" t="s">
        <v>272</v>
      </c>
      <c r="MP51" s="311"/>
      <c r="MQ51" s="311"/>
      <c r="MR51" s="311"/>
      <c r="MS51" s="311"/>
      <c r="MT51" s="311"/>
      <c r="MU51" s="311"/>
      <c r="MV51" s="311"/>
      <c r="MW51" s="311"/>
      <c r="MX51" s="311"/>
      <c r="MY51" s="311"/>
      <c r="MZ51" s="311"/>
      <c r="NA51" s="311"/>
      <c r="NB51" s="311"/>
      <c r="NC51" s="311"/>
      <c r="ND51" s="311"/>
      <c r="NE51" s="311"/>
      <c r="NF51" s="311"/>
      <c r="NG51" s="311"/>
      <c r="NH51" s="311"/>
      <c r="NI51" s="311"/>
      <c r="NJ51" s="311"/>
      <c r="NK51" s="311"/>
      <c r="NL51" s="311"/>
      <c r="NM51" s="311"/>
      <c r="NN51" s="311"/>
      <c r="NO51" s="311"/>
      <c r="NP51" s="311"/>
      <c r="NQ51" s="311"/>
      <c r="NR51" s="311"/>
      <c r="NS51" s="311"/>
      <c r="NT51" s="311"/>
      <c r="NU51" s="311"/>
      <c r="NV51" s="311"/>
      <c r="NW51" s="311"/>
      <c r="NX51" s="311"/>
      <c r="NY51" s="311"/>
      <c r="NZ51" s="311"/>
      <c r="OA51" s="311"/>
      <c r="OB51" s="311"/>
      <c r="OC51" s="311"/>
      <c r="OD51" s="311">
        <v>1</v>
      </c>
      <c r="OE51" s="311"/>
      <c r="OF51" s="311"/>
      <c r="OG51" s="311"/>
      <c r="OH51" s="311"/>
      <c r="OI51" s="311"/>
      <c r="OM51" s="185"/>
      <c r="OQ51" s="352" t="s">
        <v>273</v>
      </c>
      <c r="OR51" s="311"/>
      <c r="OS51" s="311"/>
      <c r="OT51" s="311"/>
      <c r="OU51" s="311"/>
      <c r="OV51" s="311"/>
      <c r="OW51" s="311"/>
      <c r="OX51" s="311"/>
      <c r="OY51" s="311"/>
      <c r="OZ51" s="311"/>
      <c r="PA51" s="311"/>
      <c r="PB51" s="311"/>
      <c r="PC51" s="311"/>
      <c r="PD51" s="311"/>
      <c r="PE51" s="311"/>
      <c r="PF51" s="311"/>
      <c r="PG51" s="311"/>
      <c r="PH51" s="311"/>
      <c r="PI51" s="311"/>
      <c r="PJ51" s="311"/>
      <c r="PK51" s="311"/>
      <c r="PL51" s="311"/>
      <c r="PM51" s="311"/>
      <c r="PN51" s="311"/>
      <c r="PO51" s="311"/>
      <c r="PP51" s="311"/>
      <c r="PQ51" s="311"/>
      <c r="PR51" s="311"/>
      <c r="PS51" s="311"/>
      <c r="PT51" s="311"/>
      <c r="PU51" s="311"/>
      <c r="PV51" s="311"/>
      <c r="PW51" s="311"/>
      <c r="PX51" s="311"/>
      <c r="PY51" s="311"/>
      <c r="PZ51" s="311"/>
      <c r="QA51" s="311"/>
      <c r="QB51" s="311"/>
      <c r="QC51" s="311"/>
      <c r="QD51" s="311"/>
      <c r="QE51" s="311"/>
      <c r="QF51" s="311">
        <v>1</v>
      </c>
      <c r="QG51" s="311"/>
      <c r="QH51" s="311"/>
      <c r="QI51" s="311"/>
      <c r="QJ51" s="311"/>
      <c r="QK51" s="311"/>
      <c r="QM51" s="164"/>
      <c r="QO51" s="164"/>
      <c r="QP51" s="164"/>
      <c r="QQ51" s="165"/>
      <c r="QR51" s="166"/>
    </row>
    <row r="52" spans="3:465" ht="5.15" customHeight="1" x14ac:dyDescent="0.35">
      <c r="C52" s="161"/>
      <c r="D52" s="162"/>
      <c r="E52" s="164"/>
      <c r="H52" s="164"/>
      <c r="I52" s="333"/>
      <c r="J52" s="334"/>
      <c r="K52" s="334"/>
      <c r="L52" s="334"/>
      <c r="M52" s="334"/>
      <c r="N52" s="334"/>
      <c r="O52" s="334"/>
      <c r="P52" s="334"/>
      <c r="Q52" s="334"/>
      <c r="R52" s="334"/>
      <c r="S52" s="334"/>
      <c r="T52" s="334"/>
      <c r="U52" s="334"/>
      <c r="V52" s="334"/>
      <c r="W52" s="334"/>
      <c r="X52" s="334"/>
      <c r="Y52" s="334"/>
      <c r="Z52" s="334"/>
      <c r="AA52" s="334"/>
      <c r="AB52" s="334"/>
      <c r="AC52" s="334"/>
      <c r="AD52" s="334"/>
      <c r="AE52" s="334"/>
      <c r="AF52" s="334"/>
      <c r="AG52" s="334"/>
      <c r="AH52" s="334"/>
      <c r="AI52" s="334"/>
      <c r="AJ52" s="334"/>
      <c r="AK52" s="334"/>
      <c r="AL52" s="334"/>
      <c r="AM52" s="334"/>
      <c r="AN52" s="334"/>
      <c r="AO52" s="334"/>
      <c r="AP52" s="334"/>
      <c r="AQ52" s="334"/>
      <c r="AR52" s="334"/>
      <c r="AS52" s="334"/>
      <c r="AT52" s="334"/>
      <c r="AU52" s="334"/>
      <c r="AV52" s="334"/>
      <c r="AW52" s="341"/>
      <c r="AX52" s="346"/>
      <c r="AY52" s="347"/>
      <c r="AZ52" s="347"/>
      <c r="BA52" s="347"/>
      <c r="BB52" s="348"/>
      <c r="BC52" s="164"/>
      <c r="BD52" s="164"/>
      <c r="CT52" s="164"/>
      <c r="CU52" s="164"/>
      <c r="CV52" s="164"/>
      <c r="CW52" s="164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333"/>
      <c r="DJ52" s="334"/>
      <c r="DK52" s="334"/>
      <c r="DL52" s="334"/>
      <c r="DM52" s="334"/>
      <c r="DN52" s="334"/>
      <c r="DO52" s="334"/>
      <c r="DP52" s="334"/>
      <c r="DQ52" s="334"/>
      <c r="DR52" s="334"/>
      <c r="DS52" s="334"/>
      <c r="DT52" s="334"/>
      <c r="DU52" s="334"/>
      <c r="DV52" s="334"/>
      <c r="DW52" s="334"/>
      <c r="DX52" s="334"/>
      <c r="DY52" s="334"/>
      <c r="DZ52" s="334"/>
      <c r="EA52" s="334"/>
      <c r="EB52" s="334"/>
      <c r="EC52" s="334"/>
      <c r="ED52" s="334"/>
      <c r="EE52" s="334"/>
      <c r="EF52" s="334"/>
      <c r="EG52" s="334"/>
      <c r="EH52" s="334"/>
      <c r="EI52" s="334"/>
      <c r="EJ52" s="334"/>
      <c r="EK52" s="334"/>
      <c r="EL52" s="334"/>
      <c r="EM52" s="334"/>
      <c r="EN52" s="334"/>
      <c r="EO52" s="334"/>
      <c r="EP52" s="334"/>
      <c r="EQ52" s="334"/>
      <c r="ER52" s="334"/>
      <c r="ES52" s="334"/>
      <c r="ET52" s="334"/>
      <c r="EU52" s="334"/>
      <c r="EV52" s="334"/>
      <c r="EW52" s="335"/>
      <c r="EX52" s="339"/>
      <c r="EY52" s="339"/>
      <c r="EZ52" s="339"/>
      <c r="FA52" s="339"/>
      <c r="GO52" s="164"/>
      <c r="GP52" s="164"/>
      <c r="GQ52" s="164"/>
      <c r="GR52" s="164"/>
      <c r="GS52" s="164"/>
      <c r="GT52" s="164"/>
      <c r="GU52" s="164"/>
      <c r="GV52" s="164"/>
      <c r="GW52" s="164"/>
      <c r="GX52" s="164"/>
      <c r="GY52" s="164"/>
      <c r="GZ52" s="164"/>
      <c r="HA52" s="178"/>
      <c r="IV52" s="164"/>
      <c r="IW52" s="164"/>
      <c r="IX52" s="164"/>
      <c r="IY52" s="164"/>
      <c r="IZ52" s="164"/>
      <c r="JA52" s="164"/>
      <c r="JB52" s="164"/>
      <c r="JC52" s="164"/>
      <c r="JD52" s="164"/>
      <c r="JE52" s="164"/>
      <c r="JF52" s="164"/>
      <c r="JG52" s="164"/>
      <c r="JH52" s="164"/>
      <c r="JI52" s="164"/>
      <c r="JJ52" s="164"/>
      <c r="JK52" s="164"/>
      <c r="JL52" s="164"/>
      <c r="JM52" s="164"/>
      <c r="JN52" s="164"/>
      <c r="JO52" s="164"/>
      <c r="JP52" s="164"/>
      <c r="JQ52" s="164"/>
      <c r="JR52" s="164"/>
      <c r="JS52" s="164"/>
      <c r="JT52" s="164"/>
      <c r="JU52" s="164"/>
      <c r="JV52" s="164"/>
      <c r="JW52" s="164"/>
      <c r="JX52" s="164"/>
      <c r="JY52" s="164"/>
      <c r="JZ52" s="164"/>
      <c r="KI52" s="312" t="s">
        <v>427</v>
      </c>
      <c r="KJ52" s="312"/>
      <c r="KK52" s="312"/>
      <c r="KL52" s="312"/>
      <c r="KM52" s="312"/>
      <c r="KN52" s="312"/>
      <c r="KO52" s="312"/>
      <c r="KP52" s="312"/>
      <c r="KQ52" s="312"/>
      <c r="KR52" s="312"/>
      <c r="KS52" s="312"/>
      <c r="KT52" s="312"/>
      <c r="KU52" s="312"/>
      <c r="KV52" s="312"/>
      <c r="KW52" s="312"/>
      <c r="KX52" s="312"/>
      <c r="KY52" s="312"/>
      <c r="KZ52" s="312"/>
      <c r="LA52" s="312"/>
      <c r="LB52" s="312"/>
      <c r="LC52" s="312"/>
      <c r="LD52" s="312"/>
      <c r="LE52" s="312"/>
      <c r="LF52" s="312"/>
      <c r="LG52" s="312"/>
      <c r="LH52" s="312"/>
      <c r="LI52" s="312"/>
      <c r="LJ52" s="312"/>
      <c r="LK52" s="312"/>
      <c r="LL52" s="312"/>
      <c r="LM52" s="312"/>
      <c r="LN52" s="312"/>
      <c r="LO52" s="312"/>
      <c r="LP52" s="312"/>
      <c r="LQ52" s="312"/>
      <c r="LR52" s="312"/>
      <c r="LS52" s="312"/>
      <c r="LT52" s="312"/>
      <c r="LU52" s="312"/>
      <c r="LV52" s="311">
        <v>2</v>
      </c>
      <c r="LW52" s="311"/>
      <c r="LX52" s="311"/>
      <c r="LY52" s="311"/>
      <c r="LZ52" s="311"/>
      <c r="MG52" s="164"/>
      <c r="MH52" s="164"/>
      <c r="MI52" s="163"/>
      <c r="MJ52" s="163"/>
      <c r="MK52" s="163"/>
      <c r="MO52" s="311"/>
      <c r="MP52" s="311"/>
      <c r="MQ52" s="311"/>
      <c r="MR52" s="311"/>
      <c r="MS52" s="311"/>
      <c r="MT52" s="311"/>
      <c r="MU52" s="311"/>
      <c r="MV52" s="311"/>
      <c r="MW52" s="311"/>
      <c r="MX52" s="311"/>
      <c r="MY52" s="311"/>
      <c r="MZ52" s="311"/>
      <c r="NA52" s="311"/>
      <c r="NB52" s="311"/>
      <c r="NC52" s="311"/>
      <c r="ND52" s="311"/>
      <c r="NE52" s="311"/>
      <c r="NF52" s="311"/>
      <c r="NG52" s="311"/>
      <c r="NH52" s="311"/>
      <c r="NI52" s="311"/>
      <c r="NJ52" s="311"/>
      <c r="NK52" s="311"/>
      <c r="NL52" s="311"/>
      <c r="NM52" s="311"/>
      <c r="NN52" s="311"/>
      <c r="NO52" s="311"/>
      <c r="NP52" s="311"/>
      <c r="NQ52" s="311"/>
      <c r="NR52" s="311"/>
      <c r="NS52" s="311"/>
      <c r="NT52" s="311"/>
      <c r="NU52" s="311"/>
      <c r="NV52" s="311"/>
      <c r="NW52" s="311"/>
      <c r="NX52" s="311"/>
      <c r="NY52" s="311"/>
      <c r="NZ52" s="311"/>
      <c r="OA52" s="311"/>
      <c r="OB52" s="311"/>
      <c r="OC52" s="311"/>
      <c r="OD52" s="311"/>
      <c r="OE52" s="311"/>
      <c r="OF52" s="311"/>
      <c r="OG52" s="311"/>
      <c r="OH52" s="311"/>
      <c r="OI52" s="311"/>
      <c r="OM52" s="185"/>
      <c r="OQ52" s="311"/>
      <c r="OR52" s="311"/>
      <c r="OS52" s="311"/>
      <c r="OT52" s="311"/>
      <c r="OU52" s="311"/>
      <c r="OV52" s="311"/>
      <c r="OW52" s="311"/>
      <c r="OX52" s="311"/>
      <c r="OY52" s="311"/>
      <c r="OZ52" s="311"/>
      <c r="PA52" s="311"/>
      <c r="PB52" s="311"/>
      <c r="PC52" s="311"/>
      <c r="PD52" s="311"/>
      <c r="PE52" s="311"/>
      <c r="PF52" s="311"/>
      <c r="PG52" s="311"/>
      <c r="PH52" s="311"/>
      <c r="PI52" s="311"/>
      <c r="PJ52" s="311"/>
      <c r="PK52" s="311"/>
      <c r="PL52" s="311"/>
      <c r="PM52" s="311"/>
      <c r="PN52" s="311"/>
      <c r="PO52" s="311"/>
      <c r="PP52" s="311"/>
      <c r="PQ52" s="311"/>
      <c r="PR52" s="311"/>
      <c r="PS52" s="311"/>
      <c r="PT52" s="311"/>
      <c r="PU52" s="311"/>
      <c r="PV52" s="311"/>
      <c r="PW52" s="311"/>
      <c r="PX52" s="311"/>
      <c r="PY52" s="311"/>
      <c r="PZ52" s="311"/>
      <c r="QA52" s="311"/>
      <c r="QB52" s="311"/>
      <c r="QC52" s="311"/>
      <c r="QD52" s="311"/>
      <c r="QE52" s="311"/>
      <c r="QF52" s="311"/>
      <c r="QG52" s="311"/>
      <c r="QH52" s="311"/>
      <c r="QI52" s="311"/>
      <c r="QJ52" s="311"/>
      <c r="QK52" s="311"/>
      <c r="QM52" s="164"/>
      <c r="QO52" s="164"/>
      <c r="QP52" s="164"/>
      <c r="QQ52" s="165"/>
      <c r="QR52" s="166"/>
    </row>
    <row r="53" spans="3:465" ht="5.15" customHeight="1" thickBot="1" x14ac:dyDescent="0.4">
      <c r="C53" s="161"/>
      <c r="D53" s="162"/>
      <c r="E53" s="164"/>
      <c r="H53" s="164"/>
      <c r="I53" s="333"/>
      <c r="J53" s="334"/>
      <c r="K53" s="334"/>
      <c r="L53" s="334"/>
      <c r="M53" s="334"/>
      <c r="N53" s="334"/>
      <c r="O53" s="334"/>
      <c r="P53" s="334"/>
      <c r="Q53" s="334"/>
      <c r="R53" s="334"/>
      <c r="S53" s="334"/>
      <c r="T53" s="334"/>
      <c r="U53" s="334"/>
      <c r="V53" s="334"/>
      <c r="W53" s="334"/>
      <c r="X53" s="334"/>
      <c r="Y53" s="334"/>
      <c r="Z53" s="334"/>
      <c r="AA53" s="334"/>
      <c r="AB53" s="334"/>
      <c r="AC53" s="334"/>
      <c r="AD53" s="334"/>
      <c r="AE53" s="334"/>
      <c r="AF53" s="334"/>
      <c r="AG53" s="334"/>
      <c r="AH53" s="334"/>
      <c r="AI53" s="334"/>
      <c r="AJ53" s="334"/>
      <c r="AK53" s="334"/>
      <c r="AL53" s="334"/>
      <c r="AM53" s="334"/>
      <c r="AN53" s="334"/>
      <c r="AO53" s="334"/>
      <c r="AP53" s="334"/>
      <c r="AQ53" s="334"/>
      <c r="AR53" s="334"/>
      <c r="AS53" s="334"/>
      <c r="AT53" s="334"/>
      <c r="AU53" s="334"/>
      <c r="AV53" s="334"/>
      <c r="AW53" s="341"/>
      <c r="AX53" s="346"/>
      <c r="AY53" s="347"/>
      <c r="AZ53" s="347"/>
      <c r="BA53" s="347"/>
      <c r="BB53" s="348"/>
      <c r="BC53" s="164"/>
      <c r="BD53" s="164"/>
      <c r="DI53" s="333"/>
      <c r="DJ53" s="334"/>
      <c r="DK53" s="334"/>
      <c r="DL53" s="334"/>
      <c r="DM53" s="334"/>
      <c r="DN53" s="334"/>
      <c r="DO53" s="334"/>
      <c r="DP53" s="334"/>
      <c r="DQ53" s="334"/>
      <c r="DR53" s="334"/>
      <c r="DS53" s="334"/>
      <c r="DT53" s="334"/>
      <c r="DU53" s="334"/>
      <c r="DV53" s="334"/>
      <c r="DW53" s="334"/>
      <c r="DX53" s="334"/>
      <c r="DY53" s="334"/>
      <c r="DZ53" s="334"/>
      <c r="EA53" s="334"/>
      <c r="EB53" s="334"/>
      <c r="EC53" s="334"/>
      <c r="ED53" s="334"/>
      <c r="EE53" s="334"/>
      <c r="EF53" s="334"/>
      <c r="EG53" s="334"/>
      <c r="EH53" s="334"/>
      <c r="EI53" s="334"/>
      <c r="EJ53" s="334"/>
      <c r="EK53" s="334"/>
      <c r="EL53" s="334"/>
      <c r="EM53" s="334"/>
      <c r="EN53" s="334"/>
      <c r="EO53" s="334"/>
      <c r="EP53" s="334"/>
      <c r="EQ53" s="334"/>
      <c r="ER53" s="334"/>
      <c r="ES53" s="334"/>
      <c r="ET53" s="334"/>
      <c r="EU53" s="334"/>
      <c r="EV53" s="334"/>
      <c r="EW53" s="335"/>
      <c r="EX53" s="339"/>
      <c r="EY53" s="339"/>
      <c r="EZ53" s="339"/>
      <c r="FA53" s="339"/>
      <c r="GO53" s="164"/>
      <c r="GP53" s="164"/>
      <c r="GQ53" s="164"/>
      <c r="GR53" s="164"/>
      <c r="GS53" s="164"/>
      <c r="GT53" s="164"/>
      <c r="GU53" s="164"/>
      <c r="GV53" s="164"/>
      <c r="GW53" s="164"/>
      <c r="GX53" s="164"/>
      <c r="GY53" s="164"/>
      <c r="GZ53" s="164"/>
      <c r="HA53" s="178"/>
      <c r="IV53" s="164"/>
      <c r="IW53" s="164"/>
      <c r="IX53" s="164"/>
      <c r="IY53" s="164"/>
      <c r="IZ53" s="164"/>
      <c r="JA53" s="164"/>
      <c r="JB53" s="164"/>
      <c r="JC53" s="164"/>
      <c r="JD53" s="164"/>
      <c r="JE53" s="164"/>
      <c r="JF53" s="164"/>
      <c r="JG53" s="164"/>
      <c r="JH53" s="164"/>
      <c r="JI53" s="164"/>
      <c r="JJ53" s="164"/>
      <c r="JK53" s="164"/>
      <c r="JL53" s="164"/>
      <c r="JM53" s="164"/>
      <c r="JN53" s="164"/>
      <c r="JO53" s="164"/>
      <c r="JP53" s="164"/>
      <c r="JQ53" s="164"/>
      <c r="JR53" s="164"/>
      <c r="JS53" s="164"/>
      <c r="JT53" s="164"/>
      <c r="JU53" s="164"/>
      <c r="JV53" s="164"/>
      <c r="JW53" s="164"/>
      <c r="JX53" s="164"/>
      <c r="JY53" s="164"/>
      <c r="JZ53" s="164"/>
      <c r="KI53" s="312"/>
      <c r="KJ53" s="312"/>
      <c r="KK53" s="312"/>
      <c r="KL53" s="312"/>
      <c r="KM53" s="312"/>
      <c r="KN53" s="312"/>
      <c r="KO53" s="312"/>
      <c r="KP53" s="312"/>
      <c r="KQ53" s="312"/>
      <c r="KR53" s="312"/>
      <c r="KS53" s="312"/>
      <c r="KT53" s="312"/>
      <c r="KU53" s="312"/>
      <c r="KV53" s="312"/>
      <c r="KW53" s="312"/>
      <c r="KX53" s="312"/>
      <c r="KY53" s="312"/>
      <c r="KZ53" s="312"/>
      <c r="LA53" s="312"/>
      <c r="LB53" s="312"/>
      <c r="LC53" s="312"/>
      <c r="LD53" s="312"/>
      <c r="LE53" s="312"/>
      <c r="LF53" s="312"/>
      <c r="LG53" s="312"/>
      <c r="LH53" s="312"/>
      <c r="LI53" s="312"/>
      <c r="LJ53" s="312"/>
      <c r="LK53" s="312"/>
      <c r="LL53" s="312"/>
      <c r="LM53" s="312"/>
      <c r="LN53" s="312"/>
      <c r="LO53" s="312"/>
      <c r="LP53" s="312"/>
      <c r="LQ53" s="312"/>
      <c r="LR53" s="312"/>
      <c r="LS53" s="312"/>
      <c r="LT53" s="312"/>
      <c r="LU53" s="312"/>
      <c r="LV53" s="311"/>
      <c r="LW53" s="311"/>
      <c r="LX53" s="311"/>
      <c r="LY53" s="311"/>
      <c r="LZ53" s="311"/>
      <c r="MG53" s="164"/>
      <c r="MH53" s="164"/>
      <c r="MI53" s="163"/>
      <c r="MJ53" s="163"/>
      <c r="MK53" s="163"/>
      <c r="MO53" s="311"/>
      <c r="MP53" s="311"/>
      <c r="MQ53" s="311"/>
      <c r="MR53" s="311"/>
      <c r="MS53" s="311"/>
      <c r="MT53" s="311"/>
      <c r="MU53" s="311"/>
      <c r="MV53" s="311"/>
      <c r="MW53" s="311"/>
      <c r="MX53" s="311"/>
      <c r="MY53" s="311"/>
      <c r="MZ53" s="311"/>
      <c r="NA53" s="311"/>
      <c r="NB53" s="311"/>
      <c r="NC53" s="311"/>
      <c r="ND53" s="311"/>
      <c r="NE53" s="311"/>
      <c r="NF53" s="311"/>
      <c r="NG53" s="311"/>
      <c r="NH53" s="311"/>
      <c r="NI53" s="311"/>
      <c r="NJ53" s="311"/>
      <c r="NK53" s="311"/>
      <c r="NL53" s="311"/>
      <c r="NM53" s="311"/>
      <c r="NN53" s="311"/>
      <c r="NO53" s="311"/>
      <c r="NP53" s="311"/>
      <c r="NQ53" s="311"/>
      <c r="NR53" s="311"/>
      <c r="NS53" s="311"/>
      <c r="NT53" s="311"/>
      <c r="NU53" s="311"/>
      <c r="NV53" s="311"/>
      <c r="NW53" s="311"/>
      <c r="NX53" s="311"/>
      <c r="NY53" s="311"/>
      <c r="NZ53" s="311"/>
      <c r="OA53" s="311"/>
      <c r="OB53" s="311"/>
      <c r="OC53" s="311"/>
      <c r="OD53" s="311"/>
      <c r="OE53" s="311"/>
      <c r="OF53" s="311"/>
      <c r="OG53" s="311"/>
      <c r="OH53" s="311"/>
      <c r="OI53" s="311"/>
      <c r="OM53" s="185"/>
      <c r="OQ53" s="311"/>
      <c r="OR53" s="311"/>
      <c r="OS53" s="311"/>
      <c r="OT53" s="311"/>
      <c r="OU53" s="311"/>
      <c r="OV53" s="311"/>
      <c r="OW53" s="311"/>
      <c r="OX53" s="311"/>
      <c r="OY53" s="311"/>
      <c r="OZ53" s="311"/>
      <c r="PA53" s="311"/>
      <c r="PB53" s="311"/>
      <c r="PC53" s="311"/>
      <c r="PD53" s="311"/>
      <c r="PE53" s="311"/>
      <c r="PF53" s="311"/>
      <c r="PG53" s="311"/>
      <c r="PH53" s="311"/>
      <c r="PI53" s="311"/>
      <c r="PJ53" s="311"/>
      <c r="PK53" s="311"/>
      <c r="PL53" s="311"/>
      <c r="PM53" s="311"/>
      <c r="PN53" s="311"/>
      <c r="PO53" s="311"/>
      <c r="PP53" s="311"/>
      <c r="PQ53" s="311"/>
      <c r="PR53" s="311"/>
      <c r="PS53" s="311"/>
      <c r="PT53" s="311"/>
      <c r="PU53" s="311"/>
      <c r="PV53" s="311"/>
      <c r="PW53" s="311"/>
      <c r="PX53" s="311"/>
      <c r="PY53" s="311"/>
      <c r="PZ53" s="311"/>
      <c r="QA53" s="311"/>
      <c r="QB53" s="311"/>
      <c r="QC53" s="311"/>
      <c r="QD53" s="311"/>
      <c r="QE53" s="311"/>
      <c r="QF53" s="311"/>
      <c r="QG53" s="311"/>
      <c r="QH53" s="311"/>
      <c r="QI53" s="311"/>
      <c r="QJ53" s="311"/>
      <c r="QK53" s="311"/>
      <c r="QM53" s="164"/>
      <c r="QO53" s="164"/>
      <c r="QP53" s="164"/>
      <c r="QQ53" s="165"/>
      <c r="QR53" s="166"/>
    </row>
    <row r="54" spans="3:465" ht="5.15" customHeight="1" x14ac:dyDescent="0.35">
      <c r="C54" s="161"/>
      <c r="D54" s="162"/>
      <c r="E54" s="164"/>
      <c r="H54" s="164"/>
      <c r="I54" s="333"/>
      <c r="J54" s="334"/>
      <c r="K54" s="334"/>
      <c r="L54" s="334"/>
      <c r="M54" s="334"/>
      <c r="N54" s="334"/>
      <c r="O54" s="334"/>
      <c r="P54" s="334"/>
      <c r="Q54" s="334"/>
      <c r="R54" s="334"/>
      <c r="S54" s="334"/>
      <c r="T54" s="334"/>
      <c r="U54" s="334"/>
      <c r="V54" s="334"/>
      <c r="W54" s="334"/>
      <c r="X54" s="334"/>
      <c r="Y54" s="334"/>
      <c r="Z54" s="334"/>
      <c r="AA54" s="334"/>
      <c r="AB54" s="334"/>
      <c r="AC54" s="334"/>
      <c r="AD54" s="334"/>
      <c r="AE54" s="334"/>
      <c r="AF54" s="334"/>
      <c r="AG54" s="334"/>
      <c r="AH54" s="334"/>
      <c r="AI54" s="334"/>
      <c r="AJ54" s="334"/>
      <c r="AK54" s="334"/>
      <c r="AL54" s="334"/>
      <c r="AM54" s="334"/>
      <c r="AN54" s="334"/>
      <c r="AO54" s="334"/>
      <c r="AP54" s="334"/>
      <c r="AQ54" s="334"/>
      <c r="AR54" s="334"/>
      <c r="AS54" s="334"/>
      <c r="AT54" s="334"/>
      <c r="AU54" s="334"/>
      <c r="AV54" s="334"/>
      <c r="AW54" s="341"/>
      <c r="AX54" s="346"/>
      <c r="AY54" s="347"/>
      <c r="AZ54" s="347"/>
      <c r="BA54" s="347"/>
      <c r="BB54" s="348"/>
      <c r="BC54" s="164"/>
      <c r="BD54" s="164"/>
      <c r="DI54" s="336"/>
      <c r="DJ54" s="337"/>
      <c r="DK54" s="337"/>
      <c r="DL54" s="337"/>
      <c r="DM54" s="337"/>
      <c r="DN54" s="337"/>
      <c r="DO54" s="337"/>
      <c r="DP54" s="337"/>
      <c r="DQ54" s="337"/>
      <c r="DR54" s="337"/>
      <c r="DS54" s="337"/>
      <c r="DT54" s="337"/>
      <c r="DU54" s="337"/>
      <c r="DV54" s="337"/>
      <c r="DW54" s="337"/>
      <c r="DX54" s="337"/>
      <c r="DY54" s="337"/>
      <c r="DZ54" s="337"/>
      <c r="EA54" s="337"/>
      <c r="EB54" s="337"/>
      <c r="EC54" s="337"/>
      <c r="ED54" s="337"/>
      <c r="EE54" s="337"/>
      <c r="EF54" s="337"/>
      <c r="EG54" s="337"/>
      <c r="EH54" s="337"/>
      <c r="EI54" s="337"/>
      <c r="EJ54" s="337"/>
      <c r="EK54" s="337"/>
      <c r="EL54" s="337"/>
      <c r="EM54" s="337"/>
      <c r="EN54" s="337"/>
      <c r="EO54" s="337"/>
      <c r="EP54" s="337"/>
      <c r="EQ54" s="337"/>
      <c r="ER54" s="337"/>
      <c r="ES54" s="337"/>
      <c r="ET54" s="337"/>
      <c r="EU54" s="337"/>
      <c r="EV54" s="337"/>
      <c r="EW54" s="338"/>
      <c r="EX54" s="339"/>
      <c r="EY54" s="339"/>
      <c r="EZ54" s="339"/>
      <c r="FA54" s="339"/>
      <c r="GO54" s="164"/>
      <c r="GP54" s="164"/>
      <c r="GQ54" s="164"/>
      <c r="GR54" s="164"/>
      <c r="GS54" s="164"/>
      <c r="GT54" s="164"/>
      <c r="GU54" s="164"/>
      <c r="GV54" s="164"/>
      <c r="GW54" s="164"/>
      <c r="GX54" s="164"/>
      <c r="GY54" s="164"/>
      <c r="GZ54" s="164"/>
      <c r="HA54" s="164"/>
      <c r="IV54" s="164"/>
      <c r="IW54" s="164"/>
      <c r="IX54" s="164"/>
      <c r="IY54" s="164"/>
      <c r="IZ54" s="164"/>
      <c r="JA54" s="164"/>
      <c r="JB54" s="164"/>
      <c r="JC54" s="164"/>
      <c r="JD54" s="164"/>
      <c r="JE54" s="164"/>
      <c r="JF54" s="164"/>
      <c r="JG54" s="164"/>
      <c r="JH54" s="164"/>
      <c r="JI54" s="164"/>
      <c r="JJ54" s="164"/>
      <c r="JK54" s="164"/>
      <c r="JL54" s="164"/>
      <c r="JM54" s="164"/>
      <c r="JN54" s="164"/>
      <c r="JO54" s="164"/>
      <c r="JP54" s="164"/>
      <c r="JQ54" s="164"/>
      <c r="JR54" s="164"/>
      <c r="JS54" s="164"/>
      <c r="JT54" s="164"/>
      <c r="JU54" s="164"/>
      <c r="JV54" s="164"/>
      <c r="JW54" s="164"/>
      <c r="JX54" s="164"/>
      <c r="JY54" s="164"/>
      <c r="JZ54" s="164"/>
      <c r="KI54" s="312"/>
      <c r="KJ54" s="312"/>
      <c r="KK54" s="312"/>
      <c r="KL54" s="312"/>
      <c r="KM54" s="312"/>
      <c r="KN54" s="312"/>
      <c r="KO54" s="312"/>
      <c r="KP54" s="312"/>
      <c r="KQ54" s="312"/>
      <c r="KR54" s="312"/>
      <c r="KS54" s="312"/>
      <c r="KT54" s="312"/>
      <c r="KU54" s="312"/>
      <c r="KV54" s="312"/>
      <c r="KW54" s="312"/>
      <c r="KX54" s="312"/>
      <c r="KY54" s="312"/>
      <c r="KZ54" s="312"/>
      <c r="LA54" s="312"/>
      <c r="LB54" s="312"/>
      <c r="LC54" s="312"/>
      <c r="LD54" s="312"/>
      <c r="LE54" s="312"/>
      <c r="LF54" s="312"/>
      <c r="LG54" s="312"/>
      <c r="LH54" s="312"/>
      <c r="LI54" s="312"/>
      <c r="LJ54" s="312"/>
      <c r="LK54" s="312"/>
      <c r="LL54" s="312"/>
      <c r="LM54" s="312"/>
      <c r="LN54" s="312"/>
      <c r="LO54" s="312"/>
      <c r="LP54" s="312"/>
      <c r="LQ54" s="312"/>
      <c r="LR54" s="312"/>
      <c r="LS54" s="312"/>
      <c r="LT54" s="312"/>
      <c r="LU54" s="312"/>
      <c r="LV54" s="311"/>
      <c r="LW54" s="311"/>
      <c r="LX54" s="311"/>
      <c r="LY54" s="311"/>
      <c r="LZ54" s="311"/>
      <c r="MG54" s="164"/>
      <c r="MH54" s="164"/>
      <c r="MI54" s="163"/>
      <c r="MJ54" s="163"/>
      <c r="MK54" s="163"/>
      <c r="MO54" s="311"/>
      <c r="MP54" s="311"/>
      <c r="MQ54" s="311"/>
      <c r="MR54" s="311"/>
      <c r="MS54" s="311"/>
      <c r="MT54" s="311"/>
      <c r="MU54" s="311"/>
      <c r="MV54" s="311"/>
      <c r="MW54" s="311"/>
      <c r="MX54" s="311"/>
      <c r="MY54" s="311"/>
      <c r="MZ54" s="311"/>
      <c r="NA54" s="311"/>
      <c r="NB54" s="311"/>
      <c r="NC54" s="311"/>
      <c r="ND54" s="311"/>
      <c r="NE54" s="311"/>
      <c r="NF54" s="311"/>
      <c r="NG54" s="311"/>
      <c r="NH54" s="311"/>
      <c r="NI54" s="311"/>
      <c r="NJ54" s="311"/>
      <c r="NK54" s="311"/>
      <c r="NL54" s="311"/>
      <c r="NM54" s="311"/>
      <c r="NN54" s="311"/>
      <c r="NO54" s="311"/>
      <c r="NP54" s="311"/>
      <c r="NQ54" s="311"/>
      <c r="NR54" s="311"/>
      <c r="NS54" s="311"/>
      <c r="NT54" s="311"/>
      <c r="NU54" s="311"/>
      <c r="NV54" s="311"/>
      <c r="NW54" s="311"/>
      <c r="NX54" s="311"/>
      <c r="NY54" s="311"/>
      <c r="NZ54" s="311"/>
      <c r="OA54" s="311"/>
      <c r="OB54" s="311"/>
      <c r="OC54" s="311"/>
      <c r="OD54" s="311"/>
      <c r="OE54" s="311"/>
      <c r="OF54" s="311"/>
      <c r="OG54" s="311"/>
      <c r="OH54" s="311"/>
      <c r="OI54" s="311"/>
      <c r="OJ54" s="186"/>
      <c r="OK54" s="186"/>
      <c r="OL54" s="186"/>
      <c r="OM54" s="186"/>
      <c r="ON54" s="186"/>
      <c r="OO54" s="186"/>
      <c r="OP54" s="186"/>
      <c r="OQ54" s="311"/>
      <c r="OR54" s="311"/>
      <c r="OS54" s="311"/>
      <c r="OT54" s="311"/>
      <c r="OU54" s="311"/>
      <c r="OV54" s="311"/>
      <c r="OW54" s="311"/>
      <c r="OX54" s="311"/>
      <c r="OY54" s="311"/>
      <c r="OZ54" s="311"/>
      <c r="PA54" s="311"/>
      <c r="PB54" s="311"/>
      <c r="PC54" s="311"/>
      <c r="PD54" s="311"/>
      <c r="PE54" s="311"/>
      <c r="PF54" s="311"/>
      <c r="PG54" s="311"/>
      <c r="PH54" s="311"/>
      <c r="PI54" s="311"/>
      <c r="PJ54" s="311"/>
      <c r="PK54" s="311"/>
      <c r="PL54" s="311"/>
      <c r="PM54" s="311"/>
      <c r="PN54" s="311"/>
      <c r="PO54" s="311"/>
      <c r="PP54" s="311"/>
      <c r="PQ54" s="311"/>
      <c r="PR54" s="311"/>
      <c r="PS54" s="311"/>
      <c r="PT54" s="311"/>
      <c r="PU54" s="311"/>
      <c r="PV54" s="311"/>
      <c r="PW54" s="311"/>
      <c r="PX54" s="311"/>
      <c r="PY54" s="311"/>
      <c r="PZ54" s="311"/>
      <c r="QA54" s="311"/>
      <c r="QB54" s="311"/>
      <c r="QC54" s="311"/>
      <c r="QD54" s="311"/>
      <c r="QE54" s="311"/>
      <c r="QF54" s="311"/>
      <c r="QG54" s="311"/>
      <c r="QH54" s="311"/>
      <c r="QI54" s="311"/>
      <c r="QJ54" s="311"/>
      <c r="QK54" s="311"/>
      <c r="QM54" s="164"/>
      <c r="QO54" s="164"/>
      <c r="QP54" s="164"/>
      <c r="QQ54" s="165"/>
      <c r="QR54" s="166"/>
    </row>
    <row r="55" spans="3:465" ht="5.15" customHeight="1" x14ac:dyDescent="0.35">
      <c r="C55" s="161"/>
      <c r="D55" s="162"/>
      <c r="E55" s="164"/>
      <c r="H55" s="164"/>
      <c r="I55" s="333"/>
      <c r="J55" s="334"/>
      <c r="K55" s="334"/>
      <c r="L55" s="334"/>
      <c r="M55" s="334"/>
      <c r="N55" s="334"/>
      <c r="O55" s="334"/>
      <c r="P55" s="334"/>
      <c r="Q55" s="334"/>
      <c r="R55" s="334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34"/>
      <c r="AN55" s="334"/>
      <c r="AO55" s="334"/>
      <c r="AP55" s="334"/>
      <c r="AQ55" s="334"/>
      <c r="AR55" s="334"/>
      <c r="AS55" s="334"/>
      <c r="AT55" s="334"/>
      <c r="AU55" s="334"/>
      <c r="AV55" s="334"/>
      <c r="AW55" s="341"/>
      <c r="AX55" s="346"/>
      <c r="AY55" s="347"/>
      <c r="AZ55" s="347"/>
      <c r="BA55" s="347"/>
      <c r="BB55" s="348"/>
      <c r="BC55" s="164"/>
      <c r="BD55" s="164"/>
      <c r="ED55" s="187"/>
      <c r="EE55" s="188"/>
      <c r="EF55" s="188"/>
      <c r="EG55" s="188"/>
      <c r="GO55" s="164"/>
      <c r="GP55" s="164"/>
      <c r="GQ55" s="164"/>
      <c r="GR55" s="164"/>
      <c r="GS55" s="164"/>
      <c r="GT55" s="164"/>
      <c r="GU55" s="164"/>
      <c r="GV55" s="164"/>
      <c r="GW55" s="164"/>
      <c r="GX55" s="164"/>
      <c r="GY55" s="164"/>
      <c r="GZ55" s="164"/>
      <c r="HA55" s="164"/>
      <c r="IX55" s="164"/>
      <c r="KI55" s="312"/>
      <c r="KJ55" s="312"/>
      <c r="KK55" s="312"/>
      <c r="KL55" s="312"/>
      <c r="KM55" s="312"/>
      <c r="KN55" s="312"/>
      <c r="KO55" s="312"/>
      <c r="KP55" s="312"/>
      <c r="KQ55" s="312"/>
      <c r="KR55" s="312"/>
      <c r="KS55" s="312"/>
      <c r="KT55" s="312"/>
      <c r="KU55" s="312"/>
      <c r="KV55" s="312"/>
      <c r="KW55" s="312"/>
      <c r="KX55" s="312"/>
      <c r="KY55" s="312"/>
      <c r="KZ55" s="312"/>
      <c r="LA55" s="312"/>
      <c r="LB55" s="312"/>
      <c r="LC55" s="312"/>
      <c r="LD55" s="312"/>
      <c r="LE55" s="312"/>
      <c r="LF55" s="312"/>
      <c r="LG55" s="312"/>
      <c r="LH55" s="312"/>
      <c r="LI55" s="312"/>
      <c r="LJ55" s="312"/>
      <c r="LK55" s="312"/>
      <c r="LL55" s="312"/>
      <c r="LM55" s="312"/>
      <c r="LN55" s="312"/>
      <c r="LO55" s="312"/>
      <c r="LP55" s="312"/>
      <c r="LQ55" s="312"/>
      <c r="LR55" s="312"/>
      <c r="LS55" s="312"/>
      <c r="LT55" s="312"/>
      <c r="LU55" s="312"/>
      <c r="LV55" s="311"/>
      <c r="LW55" s="311"/>
      <c r="LX55" s="311"/>
      <c r="LY55" s="311"/>
      <c r="LZ55" s="311"/>
      <c r="MG55" s="164"/>
      <c r="MH55" s="164"/>
      <c r="MI55" s="163"/>
      <c r="MJ55" s="163"/>
      <c r="MK55" s="163"/>
      <c r="MO55" s="311"/>
      <c r="MP55" s="311"/>
      <c r="MQ55" s="311"/>
      <c r="MR55" s="311"/>
      <c r="MS55" s="311"/>
      <c r="MT55" s="311"/>
      <c r="MU55" s="311"/>
      <c r="MV55" s="311"/>
      <c r="MW55" s="311"/>
      <c r="MX55" s="311"/>
      <c r="MY55" s="311"/>
      <c r="MZ55" s="311"/>
      <c r="NA55" s="311"/>
      <c r="NB55" s="311"/>
      <c r="NC55" s="311"/>
      <c r="ND55" s="311"/>
      <c r="NE55" s="311"/>
      <c r="NF55" s="311"/>
      <c r="NG55" s="311"/>
      <c r="NH55" s="311"/>
      <c r="NI55" s="311"/>
      <c r="NJ55" s="311"/>
      <c r="NK55" s="311"/>
      <c r="NL55" s="311"/>
      <c r="NM55" s="311"/>
      <c r="NN55" s="311"/>
      <c r="NO55" s="311"/>
      <c r="NP55" s="311"/>
      <c r="NQ55" s="311"/>
      <c r="NR55" s="311"/>
      <c r="NS55" s="311"/>
      <c r="NT55" s="311"/>
      <c r="NU55" s="311"/>
      <c r="NV55" s="311"/>
      <c r="NW55" s="311"/>
      <c r="NX55" s="311"/>
      <c r="NY55" s="311"/>
      <c r="NZ55" s="311"/>
      <c r="OA55" s="311"/>
      <c r="OB55" s="311"/>
      <c r="OC55" s="311"/>
      <c r="OD55" s="311"/>
      <c r="OE55" s="311"/>
      <c r="OF55" s="311"/>
      <c r="OG55" s="311"/>
      <c r="OH55" s="311"/>
      <c r="OI55" s="311"/>
      <c r="OJ55" s="164"/>
      <c r="OK55" s="164"/>
      <c r="OL55" s="164"/>
      <c r="OM55" s="164"/>
      <c r="ON55" s="164"/>
      <c r="OO55" s="164"/>
      <c r="OP55" s="164"/>
      <c r="OQ55" s="311"/>
      <c r="OR55" s="311"/>
      <c r="OS55" s="311"/>
      <c r="OT55" s="311"/>
      <c r="OU55" s="311"/>
      <c r="OV55" s="311"/>
      <c r="OW55" s="311"/>
      <c r="OX55" s="311"/>
      <c r="OY55" s="311"/>
      <c r="OZ55" s="311"/>
      <c r="PA55" s="311"/>
      <c r="PB55" s="311"/>
      <c r="PC55" s="311"/>
      <c r="PD55" s="311"/>
      <c r="PE55" s="311"/>
      <c r="PF55" s="311"/>
      <c r="PG55" s="311"/>
      <c r="PH55" s="311"/>
      <c r="PI55" s="311"/>
      <c r="PJ55" s="311"/>
      <c r="PK55" s="311"/>
      <c r="PL55" s="311"/>
      <c r="PM55" s="311"/>
      <c r="PN55" s="311"/>
      <c r="PO55" s="311"/>
      <c r="PP55" s="311"/>
      <c r="PQ55" s="311"/>
      <c r="PR55" s="311"/>
      <c r="PS55" s="311"/>
      <c r="PT55" s="311"/>
      <c r="PU55" s="311"/>
      <c r="PV55" s="311"/>
      <c r="PW55" s="311"/>
      <c r="PX55" s="311"/>
      <c r="PY55" s="311"/>
      <c r="PZ55" s="311"/>
      <c r="QA55" s="311"/>
      <c r="QB55" s="311"/>
      <c r="QC55" s="311"/>
      <c r="QD55" s="311"/>
      <c r="QE55" s="311"/>
      <c r="QF55" s="311"/>
      <c r="QG55" s="311"/>
      <c r="QH55" s="311"/>
      <c r="QI55" s="311"/>
      <c r="QJ55" s="311"/>
      <c r="QK55" s="311"/>
      <c r="QM55" s="164"/>
      <c r="QO55" s="164"/>
      <c r="QP55" s="164"/>
      <c r="QQ55" s="165"/>
      <c r="QR55" s="166"/>
    </row>
    <row r="56" spans="3:465" ht="5.15" customHeight="1" x14ac:dyDescent="0.35">
      <c r="C56" s="161"/>
      <c r="D56" s="162"/>
      <c r="E56" s="164"/>
      <c r="H56" s="164"/>
      <c r="I56" s="333"/>
      <c r="J56" s="334"/>
      <c r="K56" s="334"/>
      <c r="L56" s="334"/>
      <c r="M56" s="334"/>
      <c r="N56" s="334"/>
      <c r="O56" s="334"/>
      <c r="P56" s="334"/>
      <c r="Q56" s="334"/>
      <c r="R56" s="334"/>
      <c r="S56" s="334"/>
      <c r="T56" s="334"/>
      <c r="U56" s="334"/>
      <c r="V56" s="334"/>
      <c r="W56" s="334"/>
      <c r="X56" s="334"/>
      <c r="Y56" s="334"/>
      <c r="Z56" s="334"/>
      <c r="AA56" s="334"/>
      <c r="AB56" s="334"/>
      <c r="AC56" s="334"/>
      <c r="AD56" s="334"/>
      <c r="AE56" s="334"/>
      <c r="AF56" s="334"/>
      <c r="AG56" s="334"/>
      <c r="AH56" s="334"/>
      <c r="AI56" s="334"/>
      <c r="AJ56" s="334"/>
      <c r="AK56" s="334"/>
      <c r="AL56" s="334"/>
      <c r="AM56" s="334"/>
      <c r="AN56" s="334"/>
      <c r="AO56" s="334"/>
      <c r="AP56" s="334"/>
      <c r="AQ56" s="334"/>
      <c r="AR56" s="334"/>
      <c r="AS56" s="334"/>
      <c r="AT56" s="334"/>
      <c r="AU56" s="334"/>
      <c r="AV56" s="334"/>
      <c r="AW56" s="341"/>
      <c r="AX56" s="346"/>
      <c r="AY56" s="347"/>
      <c r="AZ56" s="347"/>
      <c r="BA56" s="347"/>
      <c r="BB56" s="348"/>
      <c r="BC56" s="164"/>
      <c r="BD56" s="164"/>
      <c r="ED56" s="169"/>
      <c r="EE56" s="164"/>
      <c r="EF56" s="164"/>
      <c r="EG56" s="164"/>
      <c r="EH56" s="164"/>
      <c r="GO56" s="164"/>
      <c r="GP56" s="164"/>
      <c r="GQ56" s="164"/>
      <c r="GR56" s="164"/>
      <c r="GS56" s="164"/>
      <c r="GT56" s="164"/>
      <c r="GU56" s="164"/>
      <c r="GV56" s="164"/>
      <c r="GW56" s="164"/>
      <c r="GX56" s="164"/>
      <c r="GY56" s="164"/>
      <c r="GZ56" s="164"/>
      <c r="HA56" s="164"/>
      <c r="IX56" s="164"/>
      <c r="KI56" s="312"/>
      <c r="KJ56" s="312"/>
      <c r="KK56" s="312"/>
      <c r="KL56" s="312"/>
      <c r="KM56" s="312"/>
      <c r="KN56" s="312"/>
      <c r="KO56" s="312"/>
      <c r="KP56" s="312"/>
      <c r="KQ56" s="312"/>
      <c r="KR56" s="312"/>
      <c r="KS56" s="312"/>
      <c r="KT56" s="312"/>
      <c r="KU56" s="312"/>
      <c r="KV56" s="312"/>
      <c r="KW56" s="312"/>
      <c r="KX56" s="312"/>
      <c r="KY56" s="312"/>
      <c r="KZ56" s="312"/>
      <c r="LA56" s="312"/>
      <c r="LB56" s="312"/>
      <c r="LC56" s="312"/>
      <c r="LD56" s="312"/>
      <c r="LE56" s="312"/>
      <c r="LF56" s="312"/>
      <c r="LG56" s="312"/>
      <c r="LH56" s="312"/>
      <c r="LI56" s="312"/>
      <c r="LJ56" s="312"/>
      <c r="LK56" s="312"/>
      <c r="LL56" s="312"/>
      <c r="LM56" s="312"/>
      <c r="LN56" s="312"/>
      <c r="LO56" s="312"/>
      <c r="LP56" s="312"/>
      <c r="LQ56" s="312"/>
      <c r="LR56" s="312"/>
      <c r="LS56" s="312"/>
      <c r="LT56" s="312"/>
      <c r="LU56" s="312"/>
      <c r="LV56" s="311"/>
      <c r="LW56" s="311"/>
      <c r="LX56" s="311"/>
      <c r="LY56" s="311"/>
      <c r="LZ56" s="311"/>
      <c r="MG56" s="164"/>
      <c r="MH56" s="164"/>
      <c r="MI56" s="163"/>
      <c r="MJ56" s="163"/>
      <c r="MK56" s="163"/>
      <c r="MO56" s="311"/>
      <c r="MP56" s="311"/>
      <c r="MQ56" s="311"/>
      <c r="MR56" s="311"/>
      <c r="MS56" s="311"/>
      <c r="MT56" s="311"/>
      <c r="MU56" s="311"/>
      <c r="MV56" s="311"/>
      <c r="MW56" s="311"/>
      <c r="MX56" s="311"/>
      <c r="MY56" s="311"/>
      <c r="MZ56" s="311"/>
      <c r="NA56" s="311"/>
      <c r="NB56" s="311"/>
      <c r="NC56" s="311"/>
      <c r="ND56" s="311"/>
      <c r="NE56" s="311"/>
      <c r="NF56" s="311"/>
      <c r="NG56" s="311"/>
      <c r="NH56" s="311"/>
      <c r="NI56" s="311"/>
      <c r="NJ56" s="311"/>
      <c r="NK56" s="311"/>
      <c r="NL56" s="311"/>
      <c r="NM56" s="311"/>
      <c r="NN56" s="311"/>
      <c r="NO56" s="311"/>
      <c r="NP56" s="311"/>
      <c r="NQ56" s="311"/>
      <c r="NR56" s="311"/>
      <c r="NS56" s="311"/>
      <c r="NT56" s="311"/>
      <c r="NU56" s="311"/>
      <c r="NV56" s="311"/>
      <c r="NW56" s="311"/>
      <c r="NX56" s="311"/>
      <c r="NY56" s="311"/>
      <c r="NZ56" s="311"/>
      <c r="OA56" s="311"/>
      <c r="OB56" s="311"/>
      <c r="OC56" s="311"/>
      <c r="OD56" s="311"/>
      <c r="OE56" s="311"/>
      <c r="OF56" s="311"/>
      <c r="OG56" s="311"/>
      <c r="OH56" s="311"/>
      <c r="OI56" s="311"/>
      <c r="OQ56" s="311"/>
      <c r="OR56" s="311"/>
      <c r="OS56" s="311"/>
      <c r="OT56" s="311"/>
      <c r="OU56" s="311"/>
      <c r="OV56" s="311"/>
      <c r="OW56" s="311"/>
      <c r="OX56" s="311"/>
      <c r="OY56" s="311"/>
      <c r="OZ56" s="311"/>
      <c r="PA56" s="311"/>
      <c r="PB56" s="311"/>
      <c r="PC56" s="311"/>
      <c r="PD56" s="311"/>
      <c r="PE56" s="311"/>
      <c r="PF56" s="311"/>
      <c r="PG56" s="311"/>
      <c r="PH56" s="311"/>
      <c r="PI56" s="311"/>
      <c r="PJ56" s="311"/>
      <c r="PK56" s="311"/>
      <c r="PL56" s="311"/>
      <c r="PM56" s="311"/>
      <c r="PN56" s="311"/>
      <c r="PO56" s="311"/>
      <c r="PP56" s="311"/>
      <c r="PQ56" s="311"/>
      <c r="PR56" s="311"/>
      <c r="PS56" s="311"/>
      <c r="PT56" s="311"/>
      <c r="PU56" s="311"/>
      <c r="PV56" s="311"/>
      <c r="PW56" s="311"/>
      <c r="PX56" s="311"/>
      <c r="PY56" s="311"/>
      <c r="PZ56" s="311"/>
      <c r="QA56" s="311"/>
      <c r="QB56" s="311"/>
      <c r="QC56" s="311"/>
      <c r="QD56" s="311"/>
      <c r="QE56" s="311"/>
      <c r="QF56" s="311"/>
      <c r="QG56" s="311"/>
      <c r="QH56" s="311"/>
      <c r="QI56" s="311"/>
      <c r="QJ56" s="311"/>
      <c r="QK56" s="311"/>
      <c r="QM56" s="164"/>
      <c r="QO56" s="164"/>
      <c r="QP56" s="164"/>
      <c r="QQ56" s="165"/>
      <c r="QR56" s="166"/>
    </row>
    <row r="57" spans="3:465" ht="5.15" customHeight="1" x14ac:dyDescent="0.35">
      <c r="C57" s="161"/>
      <c r="D57" s="162"/>
      <c r="E57" s="164"/>
      <c r="H57" s="164"/>
      <c r="I57" s="336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7"/>
      <c r="AD57" s="337"/>
      <c r="AE57" s="337"/>
      <c r="AF57" s="337"/>
      <c r="AG57" s="337"/>
      <c r="AH57" s="337"/>
      <c r="AI57" s="337"/>
      <c r="AJ57" s="337"/>
      <c r="AK57" s="337"/>
      <c r="AL57" s="337"/>
      <c r="AM57" s="337"/>
      <c r="AN57" s="337"/>
      <c r="AO57" s="337"/>
      <c r="AP57" s="337"/>
      <c r="AQ57" s="337"/>
      <c r="AR57" s="337"/>
      <c r="AS57" s="337"/>
      <c r="AT57" s="337"/>
      <c r="AU57" s="337"/>
      <c r="AV57" s="337"/>
      <c r="AW57" s="342"/>
      <c r="AX57" s="349"/>
      <c r="AY57" s="350"/>
      <c r="AZ57" s="350"/>
      <c r="BA57" s="350"/>
      <c r="BB57" s="351"/>
      <c r="BC57" s="164"/>
      <c r="BD57" s="164"/>
      <c r="ED57" s="169"/>
      <c r="EE57" s="164"/>
      <c r="EF57" s="164"/>
      <c r="EG57" s="164"/>
      <c r="EH57" s="164"/>
      <c r="EI57" s="164"/>
      <c r="EJ57" s="164"/>
      <c r="EK57" s="164"/>
      <c r="EL57" s="164"/>
      <c r="EM57" s="164"/>
      <c r="GO57" s="164"/>
      <c r="GP57" s="164"/>
      <c r="GQ57" s="164"/>
      <c r="GR57" s="164"/>
      <c r="GS57" s="164"/>
      <c r="GT57" s="164"/>
      <c r="GU57" s="164"/>
      <c r="GV57" s="164"/>
      <c r="GW57" s="164"/>
      <c r="GX57" s="164"/>
      <c r="GY57" s="164"/>
      <c r="GZ57" s="164"/>
      <c r="HA57" s="164"/>
      <c r="IX57" s="164"/>
      <c r="KI57" s="312"/>
      <c r="KJ57" s="312"/>
      <c r="KK57" s="312"/>
      <c r="KL57" s="312"/>
      <c r="KM57" s="312"/>
      <c r="KN57" s="312"/>
      <c r="KO57" s="312"/>
      <c r="KP57" s="312"/>
      <c r="KQ57" s="312"/>
      <c r="KR57" s="312"/>
      <c r="KS57" s="312"/>
      <c r="KT57" s="312"/>
      <c r="KU57" s="312"/>
      <c r="KV57" s="312"/>
      <c r="KW57" s="312"/>
      <c r="KX57" s="312"/>
      <c r="KY57" s="312"/>
      <c r="KZ57" s="312"/>
      <c r="LA57" s="312"/>
      <c r="LB57" s="312"/>
      <c r="LC57" s="312"/>
      <c r="LD57" s="312"/>
      <c r="LE57" s="312"/>
      <c r="LF57" s="312"/>
      <c r="LG57" s="312"/>
      <c r="LH57" s="312"/>
      <c r="LI57" s="312"/>
      <c r="LJ57" s="312"/>
      <c r="LK57" s="312"/>
      <c r="LL57" s="312"/>
      <c r="LM57" s="312"/>
      <c r="LN57" s="312"/>
      <c r="LO57" s="312"/>
      <c r="LP57" s="312"/>
      <c r="LQ57" s="312"/>
      <c r="LR57" s="312"/>
      <c r="LS57" s="312"/>
      <c r="LT57" s="312"/>
      <c r="LU57" s="312"/>
      <c r="LV57" s="311"/>
      <c r="LW57" s="311"/>
      <c r="LX57" s="311"/>
      <c r="LY57" s="311"/>
      <c r="LZ57" s="311"/>
      <c r="MG57" s="164"/>
      <c r="MH57" s="164"/>
      <c r="MI57" s="163"/>
      <c r="MJ57" s="163"/>
      <c r="MK57" s="163"/>
      <c r="MO57" s="311"/>
      <c r="MP57" s="311"/>
      <c r="MQ57" s="311"/>
      <c r="MR57" s="311"/>
      <c r="MS57" s="311"/>
      <c r="MT57" s="311"/>
      <c r="MU57" s="311"/>
      <c r="MV57" s="311"/>
      <c r="MW57" s="311"/>
      <c r="MX57" s="311"/>
      <c r="MY57" s="311"/>
      <c r="MZ57" s="311"/>
      <c r="NA57" s="311"/>
      <c r="NB57" s="311"/>
      <c r="NC57" s="311"/>
      <c r="ND57" s="311"/>
      <c r="NE57" s="311"/>
      <c r="NF57" s="311"/>
      <c r="NG57" s="311"/>
      <c r="NH57" s="311"/>
      <c r="NI57" s="311"/>
      <c r="NJ57" s="311"/>
      <c r="NK57" s="311"/>
      <c r="NL57" s="311"/>
      <c r="NM57" s="311"/>
      <c r="NN57" s="311"/>
      <c r="NO57" s="311"/>
      <c r="NP57" s="311"/>
      <c r="NQ57" s="311"/>
      <c r="NR57" s="311"/>
      <c r="NS57" s="311"/>
      <c r="NT57" s="311"/>
      <c r="NU57" s="311"/>
      <c r="NV57" s="311"/>
      <c r="NW57" s="311"/>
      <c r="NX57" s="311"/>
      <c r="NY57" s="311"/>
      <c r="NZ57" s="311"/>
      <c r="OA57" s="311"/>
      <c r="OB57" s="311"/>
      <c r="OC57" s="311"/>
      <c r="OD57" s="311"/>
      <c r="OE57" s="311"/>
      <c r="OF57" s="311"/>
      <c r="OG57" s="311"/>
      <c r="OH57" s="311"/>
      <c r="OI57" s="311"/>
      <c r="OQ57" s="311"/>
      <c r="OR57" s="311"/>
      <c r="OS57" s="311"/>
      <c r="OT57" s="311"/>
      <c r="OU57" s="311"/>
      <c r="OV57" s="311"/>
      <c r="OW57" s="311"/>
      <c r="OX57" s="311"/>
      <c r="OY57" s="311"/>
      <c r="OZ57" s="311"/>
      <c r="PA57" s="311"/>
      <c r="PB57" s="311"/>
      <c r="PC57" s="311"/>
      <c r="PD57" s="311"/>
      <c r="PE57" s="311"/>
      <c r="PF57" s="311"/>
      <c r="PG57" s="311"/>
      <c r="PH57" s="311"/>
      <c r="PI57" s="311"/>
      <c r="PJ57" s="311"/>
      <c r="PK57" s="311"/>
      <c r="PL57" s="311"/>
      <c r="PM57" s="311"/>
      <c r="PN57" s="311"/>
      <c r="PO57" s="311"/>
      <c r="PP57" s="311"/>
      <c r="PQ57" s="311"/>
      <c r="PR57" s="311"/>
      <c r="PS57" s="311"/>
      <c r="PT57" s="311"/>
      <c r="PU57" s="311"/>
      <c r="PV57" s="311"/>
      <c r="PW57" s="311"/>
      <c r="PX57" s="311"/>
      <c r="PY57" s="311"/>
      <c r="PZ57" s="311"/>
      <c r="QA57" s="311"/>
      <c r="QB57" s="311"/>
      <c r="QC57" s="311"/>
      <c r="QD57" s="311"/>
      <c r="QE57" s="311"/>
      <c r="QF57" s="311"/>
      <c r="QG57" s="311"/>
      <c r="QH57" s="311"/>
      <c r="QI57" s="311"/>
      <c r="QJ57" s="311"/>
      <c r="QK57" s="311"/>
      <c r="QM57" s="164"/>
      <c r="QO57" s="164"/>
      <c r="QP57" s="164"/>
      <c r="QQ57" s="165"/>
      <c r="QR57" s="166"/>
    </row>
    <row r="58" spans="3:465" ht="5.15" customHeight="1" x14ac:dyDescent="0.35">
      <c r="C58" s="161"/>
      <c r="D58" s="162"/>
      <c r="E58" s="164"/>
      <c r="H58" s="164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3"/>
      <c r="BC58" s="164"/>
      <c r="BD58" s="164"/>
      <c r="CB58" s="164"/>
      <c r="CC58" s="164"/>
      <c r="ED58" s="169"/>
      <c r="EE58" s="164"/>
      <c r="EF58" s="164"/>
      <c r="EG58" s="164"/>
      <c r="EH58" s="164"/>
      <c r="EI58" s="164"/>
      <c r="EJ58" s="164"/>
      <c r="EK58" s="164"/>
      <c r="EL58" s="164"/>
      <c r="EM58" s="164"/>
      <c r="EN58" s="164"/>
      <c r="EO58" s="164"/>
      <c r="EP58" s="164"/>
      <c r="EQ58" s="164"/>
      <c r="ER58" s="164"/>
      <c r="ES58" s="164"/>
      <c r="ET58" s="164"/>
      <c r="EU58" s="164"/>
      <c r="EV58" s="164"/>
      <c r="EW58" s="164"/>
      <c r="EX58" s="164"/>
      <c r="EY58" s="164"/>
      <c r="EZ58" s="164"/>
      <c r="FA58" s="164"/>
      <c r="FB58" s="164"/>
      <c r="FC58" s="164"/>
      <c r="FD58" s="164"/>
      <c r="FE58" s="164"/>
      <c r="FF58" s="164"/>
      <c r="FG58" s="164"/>
      <c r="FH58" s="164"/>
      <c r="FI58" s="164"/>
      <c r="FJ58" s="164"/>
      <c r="FK58" s="164"/>
      <c r="FL58" s="164"/>
      <c r="FM58" s="164"/>
      <c r="FN58" s="164"/>
      <c r="FO58" s="164"/>
      <c r="FP58" s="164"/>
      <c r="FQ58" s="164"/>
      <c r="FR58" s="164"/>
      <c r="FS58" s="164"/>
      <c r="FT58" s="164"/>
      <c r="FU58" s="164"/>
      <c r="FV58" s="164"/>
      <c r="FW58" s="164"/>
      <c r="FX58" s="164"/>
      <c r="FY58" s="164"/>
      <c r="FZ58" s="164"/>
      <c r="GA58" s="164"/>
      <c r="GB58" s="164"/>
      <c r="GC58" s="164"/>
      <c r="GD58" s="164"/>
      <c r="GE58" s="164"/>
      <c r="GF58" s="164"/>
      <c r="GG58" s="164"/>
      <c r="GH58" s="164"/>
      <c r="GI58" s="164"/>
      <c r="GJ58" s="164"/>
      <c r="GK58" s="164"/>
      <c r="GL58" s="164"/>
      <c r="GM58" s="164"/>
      <c r="GO58" s="164"/>
      <c r="GP58" s="164"/>
      <c r="GQ58" s="164"/>
      <c r="GR58" s="164"/>
      <c r="GS58" s="164"/>
      <c r="GT58" s="164"/>
      <c r="GU58" s="164"/>
      <c r="GV58" s="164"/>
      <c r="GW58" s="164"/>
      <c r="GX58" s="164"/>
      <c r="GY58" s="164"/>
      <c r="GZ58" s="164"/>
      <c r="HA58" s="164"/>
      <c r="IX58" s="164"/>
      <c r="KI58" s="312"/>
      <c r="KJ58" s="312"/>
      <c r="KK58" s="312"/>
      <c r="KL58" s="312"/>
      <c r="KM58" s="312"/>
      <c r="KN58" s="312"/>
      <c r="KO58" s="312"/>
      <c r="KP58" s="312"/>
      <c r="KQ58" s="312"/>
      <c r="KR58" s="312"/>
      <c r="KS58" s="312"/>
      <c r="KT58" s="312"/>
      <c r="KU58" s="312"/>
      <c r="KV58" s="312"/>
      <c r="KW58" s="312"/>
      <c r="KX58" s="312"/>
      <c r="KY58" s="312"/>
      <c r="KZ58" s="312"/>
      <c r="LA58" s="312"/>
      <c r="LB58" s="312"/>
      <c r="LC58" s="312"/>
      <c r="LD58" s="312"/>
      <c r="LE58" s="312"/>
      <c r="LF58" s="312"/>
      <c r="LG58" s="312"/>
      <c r="LH58" s="312"/>
      <c r="LI58" s="312"/>
      <c r="LJ58" s="312"/>
      <c r="LK58" s="312"/>
      <c r="LL58" s="312"/>
      <c r="LM58" s="312"/>
      <c r="LN58" s="312"/>
      <c r="LO58" s="312"/>
      <c r="LP58" s="312"/>
      <c r="LQ58" s="312"/>
      <c r="LR58" s="312"/>
      <c r="LS58" s="312"/>
      <c r="LT58" s="312"/>
      <c r="LU58" s="312"/>
      <c r="LV58" s="311"/>
      <c r="LW58" s="311"/>
      <c r="LX58" s="311"/>
      <c r="LY58" s="311"/>
      <c r="LZ58" s="311"/>
      <c r="MA58" s="164"/>
      <c r="MB58" s="164"/>
      <c r="MC58" s="164"/>
      <c r="MD58" s="164"/>
      <c r="ME58" s="164"/>
      <c r="MF58" s="164"/>
      <c r="MG58" s="164"/>
      <c r="MH58" s="164"/>
      <c r="MI58" s="164"/>
      <c r="MJ58" s="164"/>
      <c r="MK58" s="164"/>
      <c r="ML58" s="164"/>
      <c r="MM58" s="164"/>
      <c r="MN58" s="164"/>
      <c r="MO58" s="311"/>
      <c r="MP58" s="311"/>
      <c r="MQ58" s="311"/>
      <c r="MR58" s="311"/>
      <c r="MS58" s="311"/>
      <c r="MT58" s="311"/>
      <c r="MU58" s="311"/>
      <c r="MV58" s="311"/>
      <c r="MW58" s="311"/>
      <c r="MX58" s="311"/>
      <c r="MY58" s="311"/>
      <c r="MZ58" s="311"/>
      <c r="NA58" s="311"/>
      <c r="NB58" s="311"/>
      <c r="NC58" s="311"/>
      <c r="ND58" s="311"/>
      <c r="NE58" s="311"/>
      <c r="NF58" s="311"/>
      <c r="NG58" s="311"/>
      <c r="NH58" s="311"/>
      <c r="NI58" s="311"/>
      <c r="NJ58" s="311"/>
      <c r="NK58" s="311"/>
      <c r="NL58" s="311"/>
      <c r="NM58" s="311"/>
      <c r="NN58" s="311"/>
      <c r="NO58" s="311"/>
      <c r="NP58" s="311"/>
      <c r="NQ58" s="311"/>
      <c r="NR58" s="311"/>
      <c r="NS58" s="311"/>
      <c r="NT58" s="311"/>
      <c r="NU58" s="311"/>
      <c r="NV58" s="311"/>
      <c r="NW58" s="311"/>
      <c r="NX58" s="311"/>
      <c r="NY58" s="311"/>
      <c r="NZ58" s="311"/>
      <c r="OA58" s="311"/>
      <c r="OB58" s="311"/>
      <c r="OC58" s="311"/>
      <c r="OD58" s="311"/>
      <c r="OE58" s="311"/>
      <c r="OF58" s="311"/>
      <c r="OG58" s="311"/>
      <c r="OH58" s="311"/>
      <c r="OI58" s="311"/>
      <c r="OJ58" s="164"/>
      <c r="OK58" s="164"/>
      <c r="OL58" s="164"/>
      <c r="OM58" s="164"/>
      <c r="OQ58" s="311"/>
      <c r="OR58" s="311"/>
      <c r="OS58" s="311"/>
      <c r="OT58" s="311"/>
      <c r="OU58" s="311"/>
      <c r="OV58" s="311"/>
      <c r="OW58" s="311"/>
      <c r="OX58" s="311"/>
      <c r="OY58" s="311"/>
      <c r="OZ58" s="311"/>
      <c r="PA58" s="311"/>
      <c r="PB58" s="311"/>
      <c r="PC58" s="311"/>
      <c r="PD58" s="311"/>
      <c r="PE58" s="311"/>
      <c r="PF58" s="311"/>
      <c r="PG58" s="311"/>
      <c r="PH58" s="311"/>
      <c r="PI58" s="311"/>
      <c r="PJ58" s="311"/>
      <c r="PK58" s="311"/>
      <c r="PL58" s="311"/>
      <c r="PM58" s="311"/>
      <c r="PN58" s="311"/>
      <c r="PO58" s="311"/>
      <c r="PP58" s="311"/>
      <c r="PQ58" s="311"/>
      <c r="PR58" s="311"/>
      <c r="PS58" s="311"/>
      <c r="PT58" s="311"/>
      <c r="PU58" s="311"/>
      <c r="PV58" s="311"/>
      <c r="PW58" s="311"/>
      <c r="PX58" s="311"/>
      <c r="PY58" s="311"/>
      <c r="PZ58" s="311"/>
      <c r="QA58" s="311"/>
      <c r="QB58" s="311"/>
      <c r="QC58" s="311"/>
      <c r="QD58" s="311"/>
      <c r="QE58" s="311"/>
      <c r="QF58" s="311"/>
      <c r="QG58" s="311"/>
      <c r="QH58" s="311"/>
      <c r="QI58" s="311"/>
      <c r="QJ58" s="311"/>
      <c r="QK58" s="311"/>
      <c r="QM58" s="164"/>
      <c r="QO58" s="164"/>
      <c r="QP58" s="164"/>
      <c r="QQ58" s="165"/>
      <c r="QR58" s="166"/>
    </row>
    <row r="59" spans="3:465" ht="5.15" customHeight="1" x14ac:dyDescent="0.35">
      <c r="C59" s="161"/>
      <c r="D59" s="162"/>
      <c r="E59" s="164"/>
      <c r="H59" s="164"/>
      <c r="I59" s="330" t="s">
        <v>399</v>
      </c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1"/>
      <c r="W59" s="331"/>
      <c r="X59" s="331"/>
      <c r="Y59" s="331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  <c r="AM59" s="331"/>
      <c r="AN59" s="331"/>
      <c r="AO59" s="331"/>
      <c r="AP59" s="331"/>
      <c r="AQ59" s="331"/>
      <c r="AR59" s="331"/>
      <c r="AS59" s="331"/>
      <c r="AT59" s="331"/>
      <c r="AU59" s="331"/>
      <c r="AV59" s="331"/>
      <c r="AW59" s="340"/>
      <c r="AX59" s="343">
        <v>2</v>
      </c>
      <c r="AY59" s="344"/>
      <c r="AZ59" s="344"/>
      <c r="BA59" s="344"/>
      <c r="BB59" s="345"/>
      <c r="BC59" s="164"/>
      <c r="BD59" s="164"/>
      <c r="CB59" s="164"/>
      <c r="CC59" s="164"/>
      <c r="ED59" s="169"/>
      <c r="EE59" s="164"/>
      <c r="EF59" s="164"/>
      <c r="EG59" s="164"/>
      <c r="EH59" s="164"/>
      <c r="EI59" s="164"/>
      <c r="EJ59" s="164"/>
      <c r="EK59" s="164"/>
      <c r="EL59" s="164"/>
      <c r="EM59" s="164"/>
      <c r="EN59" s="164"/>
      <c r="EO59" s="164"/>
      <c r="EP59" s="164"/>
      <c r="EQ59" s="164"/>
      <c r="ER59" s="164"/>
      <c r="ES59" s="164"/>
      <c r="ET59" s="164"/>
      <c r="EU59" s="164"/>
      <c r="EV59" s="164"/>
      <c r="EW59" s="164"/>
      <c r="EX59" s="164"/>
      <c r="EY59" s="164"/>
      <c r="EZ59" s="164"/>
      <c r="FA59" s="164"/>
      <c r="FB59" s="164"/>
      <c r="FC59" s="164"/>
      <c r="FD59" s="164"/>
      <c r="FE59" s="164"/>
      <c r="FF59" s="164"/>
      <c r="FG59" s="164"/>
      <c r="FH59" s="164"/>
      <c r="FI59" s="164"/>
      <c r="FJ59" s="164"/>
      <c r="FK59" s="164"/>
      <c r="FL59" s="164"/>
      <c r="FM59" s="164"/>
      <c r="FN59" s="164"/>
      <c r="FO59" s="164"/>
      <c r="FP59" s="164"/>
      <c r="FQ59" s="164"/>
      <c r="FR59" s="164"/>
      <c r="FS59" s="164"/>
      <c r="FT59" s="164"/>
      <c r="FU59" s="164"/>
      <c r="FV59" s="164"/>
      <c r="FW59" s="164"/>
      <c r="FX59" s="164"/>
      <c r="FY59" s="164"/>
      <c r="FZ59" s="164"/>
      <c r="GA59" s="164"/>
      <c r="GB59" s="164"/>
      <c r="GC59" s="164"/>
      <c r="GD59" s="164"/>
      <c r="GE59" s="164"/>
      <c r="GF59" s="164"/>
      <c r="GG59" s="164"/>
      <c r="GH59" s="164"/>
      <c r="GI59" s="164"/>
      <c r="GJ59" s="164"/>
      <c r="GK59" s="164"/>
      <c r="GL59" s="164"/>
      <c r="GM59" s="164"/>
      <c r="GO59" s="164"/>
      <c r="GP59" s="164"/>
      <c r="GQ59" s="164"/>
      <c r="GR59" s="164"/>
      <c r="GS59" s="164"/>
      <c r="GT59" s="164"/>
      <c r="GU59" s="164"/>
      <c r="GV59" s="164"/>
      <c r="GW59" s="164"/>
      <c r="GX59" s="164"/>
      <c r="GY59" s="164"/>
      <c r="GZ59" s="164"/>
      <c r="HA59" s="164"/>
      <c r="IX59" s="164"/>
      <c r="KI59" s="312"/>
      <c r="KJ59" s="312"/>
      <c r="KK59" s="312"/>
      <c r="KL59" s="312"/>
      <c r="KM59" s="312"/>
      <c r="KN59" s="312"/>
      <c r="KO59" s="312"/>
      <c r="KP59" s="312"/>
      <c r="KQ59" s="312"/>
      <c r="KR59" s="312"/>
      <c r="KS59" s="312"/>
      <c r="KT59" s="312"/>
      <c r="KU59" s="312"/>
      <c r="KV59" s="312"/>
      <c r="KW59" s="312"/>
      <c r="KX59" s="312"/>
      <c r="KY59" s="312"/>
      <c r="KZ59" s="312"/>
      <c r="LA59" s="312"/>
      <c r="LB59" s="312"/>
      <c r="LC59" s="312"/>
      <c r="LD59" s="312"/>
      <c r="LE59" s="312"/>
      <c r="LF59" s="312"/>
      <c r="LG59" s="312"/>
      <c r="LH59" s="312"/>
      <c r="LI59" s="312"/>
      <c r="LJ59" s="312"/>
      <c r="LK59" s="312"/>
      <c r="LL59" s="312"/>
      <c r="LM59" s="312"/>
      <c r="LN59" s="312"/>
      <c r="LO59" s="312"/>
      <c r="LP59" s="312"/>
      <c r="LQ59" s="312"/>
      <c r="LR59" s="312"/>
      <c r="LS59" s="312"/>
      <c r="LT59" s="312"/>
      <c r="LU59" s="312"/>
      <c r="LV59" s="311"/>
      <c r="LW59" s="311"/>
      <c r="LX59" s="311"/>
      <c r="LY59" s="311"/>
      <c r="LZ59" s="311"/>
      <c r="MA59" s="164"/>
      <c r="MB59" s="164"/>
      <c r="MC59" s="164"/>
      <c r="MD59" s="164"/>
      <c r="ME59" s="164"/>
      <c r="MF59" s="164"/>
      <c r="MG59" s="164"/>
      <c r="MH59" s="164"/>
      <c r="MI59" s="164"/>
      <c r="MJ59" s="164"/>
      <c r="MK59" s="164"/>
      <c r="ML59" s="164"/>
      <c r="MM59" s="164"/>
      <c r="MN59" s="164"/>
      <c r="MO59" s="311"/>
      <c r="MP59" s="311"/>
      <c r="MQ59" s="311"/>
      <c r="MR59" s="311"/>
      <c r="MS59" s="311"/>
      <c r="MT59" s="311"/>
      <c r="MU59" s="311"/>
      <c r="MV59" s="311"/>
      <c r="MW59" s="311"/>
      <c r="MX59" s="311"/>
      <c r="MY59" s="311"/>
      <c r="MZ59" s="311"/>
      <c r="NA59" s="311"/>
      <c r="NB59" s="311"/>
      <c r="NC59" s="311"/>
      <c r="ND59" s="311"/>
      <c r="NE59" s="311"/>
      <c r="NF59" s="311"/>
      <c r="NG59" s="311"/>
      <c r="NH59" s="311"/>
      <c r="NI59" s="311"/>
      <c r="NJ59" s="311"/>
      <c r="NK59" s="311"/>
      <c r="NL59" s="311"/>
      <c r="NM59" s="311"/>
      <c r="NN59" s="311"/>
      <c r="NO59" s="311"/>
      <c r="NP59" s="311"/>
      <c r="NQ59" s="311"/>
      <c r="NR59" s="311"/>
      <c r="NS59" s="311"/>
      <c r="NT59" s="311"/>
      <c r="NU59" s="311"/>
      <c r="NV59" s="311"/>
      <c r="NW59" s="311"/>
      <c r="NX59" s="311"/>
      <c r="NY59" s="311"/>
      <c r="NZ59" s="311"/>
      <c r="OA59" s="311"/>
      <c r="OB59" s="311"/>
      <c r="OC59" s="311"/>
      <c r="OD59" s="311"/>
      <c r="OE59" s="311"/>
      <c r="OF59" s="311"/>
      <c r="OG59" s="311"/>
      <c r="OH59" s="311"/>
      <c r="OI59" s="311"/>
      <c r="OJ59" s="164"/>
      <c r="OK59" s="164"/>
      <c r="OL59" s="164"/>
      <c r="OM59" s="164"/>
      <c r="OQ59" s="311"/>
      <c r="OR59" s="311"/>
      <c r="OS59" s="311"/>
      <c r="OT59" s="311"/>
      <c r="OU59" s="311"/>
      <c r="OV59" s="311"/>
      <c r="OW59" s="311"/>
      <c r="OX59" s="311"/>
      <c r="OY59" s="311"/>
      <c r="OZ59" s="311"/>
      <c r="PA59" s="311"/>
      <c r="PB59" s="311"/>
      <c r="PC59" s="311"/>
      <c r="PD59" s="311"/>
      <c r="PE59" s="311"/>
      <c r="PF59" s="311"/>
      <c r="PG59" s="311"/>
      <c r="PH59" s="311"/>
      <c r="PI59" s="311"/>
      <c r="PJ59" s="311"/>
      <c r="PK59" s="311"/>
      <c r="PL59" s="311"/>
      <c r="PM59" s="311"/>
      <c r="PN59" s="311"/>
      <c r="PO59" s="311"/>
      <c r="PP59" s="311"/>
      <c r="PQ59" s="311"/>
      <c r="PR59" s="311"/>
      <c r="PS59" s="311"/>
      <c r="PT59" s="311"/>
      <c r="PU59" s="311"/>
      <c r="PV59" s="311"/>
      <c r="PW59" s="311"/>
      <c r="PX59" s="311"/>
      <c r="PY59" s="311"/>
      <c r="PZ59" s="311"/>
      <c r="QA59" s="311"/>
      <c r="QB59" s="311"/>
      <c r="QC59" s="311"/>
      <c r="QD59" s="311"/>
      <c r="QE59" s="311"/>
      <c r="QF59" s="311"/>
      <c r="QG59" s="311"/>
      <c r="QH59" s="311"/>
      <c r="QI59" s="311"/>
      <c r="QJ59" s="311"/>
      <c r="QK59" s="311"/>
      <c r="QM59" s="164"/>
      <c r="QO59" s="164"/>
      <c r="QP59" s="164"/>
      <c r="QQ59" s="165"/>
      <c r="QR59" s="166"/>
      <c r="QT59" s="189"/>
      <c r="QU59" s="189"/>
      <c r="QV59" s="189"/>
      <c r="QW59" s="190"/>
    </row>
    <row r="60" spans="3:465" ht="5.15" customHeight="1" x14ac:dyDescent="0.35">
      <c r="C60" s="161"/>
      <c r="D60" s="162"/>
      <c r="E60" s="164"/>
      <c r="I60" s="333"/>
      <c r="J60" s="334"/>
      <c r="K60" s="334"/>
      <c r="L60" s="334"/>
      <c r="M60" s="334"/>
      <c r="N60" s="334"/>
      <c r="O60" s="334"/>
      <c r="P60" s="334"/>
      <c r="Q60" s="334"/>
      <c r="R60" s="334"/>
      <c r="S60" s="334"/>
      <c r="T60" s="334"/>
      <c r="U60" s="334"/>
      <c r="V60" s="334"/>
      <c r="W60" s="334"/>
      <c r="X60" s="334"/>
      <c r="Y60" s="334"/>
      <c r="Z60" s="334"/>
      <c r="AA60" s="334"/>
      <c r="AB60" s="334"/>
      <c r="AC60" s="334"/>
      <c r="AD60" s="334"/>
      <c r="AE60" s="334"/>
      <c r="AF60" s="334"/>
      <c r="AG60" s="334"/>
      <c r="AH60" s="334"/>
      <c r="AI60" s="334"/>
      <c r="AJ60" s="334"/>
      <c r="AK60" s="334"/>
      <c r="AL60" s="334"/>
      <c r="AM60" s="334"/>
      <c r="AN60" s="334"/>
      <c r="AO60" s="334"/>
      <c r="AP60" s="334"/>
      <c r="AQ60" s="334"/>
      <c r="AR60" s="334"/>
      <c r="AS60" s="334"/>
      <c r="AT60" s="334"/>
      <c r="AU60" s="334"/>
      <c r="AV60" s="334"/>
      <c r="AW60" s="341"/>
      <c r="AX60" s="346"/>
      <c r="AY60" s="347"/>
      <c r="AZ60" s="347"/>
      <c r="BA60" s="347"/>
      <c r="BB60" s="348"/>
      <c r="BC60" s="164"/>
      <c r="BD60" s="164"/>
      <c r="CB60" s="164"/>
      <c r="CC60" s="164"/>
      <c r="DZ60" s="164"/>
      <c r="EA60" s="164"/>
      <c r="EB60" s="164"/>
      <c r="EC60" s="164"/>
      <c r="ED60" s="169"/>
      <c r="EE60" s="164"/>
      <c r="EF60" s="164"/>
      <c r="EG60" s="164"/>
      <c r="EH60" s="164"/>
      <c r="EI60" s="164"/>
      <c r="EJ60" s="164"/>
      <c r="EK60" s="164"/>
      <c r="EL60" s="164"/>
      <c r="EM60" s="164"/>
      <c r="EN60" s="164"/>
      <c r="EO60" s="164"/>
      <c r="EP60" s="164"/>
      <c r="EQ60" s="164"/>
      <c r="ER60" s="164"/>
      <c r="ES60" s="164"/>
      <c r="ET60" s="164"/>
      <c r="EU60" s="164"/>
      <c r="EV60" s="164"/>
      <c r="EW60" s="164"/>
      <c r="EX60" s="164"/>
      <c r="EY60" s="164"/>
      <c r="EZ60" s="164"/>
      <c r="FA60" s="164"/>
      <c r="FB60" s="164"/>
      <c r="FC60" s="164"/>
      <c r="FD60" s="164"/>
      <c r="FE60" s="164"/>
      <c r="FF60" s="164"/>
      <c r="FG60" s="164"/>
      <c r="FH60" s="164"/>
      <c r="FI60" s="164"/>
      <c r="FJ60" s="164"/>
      <c r="FK60" s="164"/>
      <c r="FL60" s="164"/>
      <c r="FM60" s="164"/>
      <c r="FN60" s="164"/>
      <c r="FO60" s="164"/>
      <c r="FP60" s="164"/>
      <c r="FQ60" s="164"/>
      <c r="FR60" s="164"/>
      <c r="FS60" s="164"/>
      <c r="FT60" s="164"/>
      <c r="FU60" s="164"/>
      <c r="FV60" s="164"/>
      <c r="FW60" s="164"/>
      <c r="FX60" s="164"/>
      <c r="FY60" s="164"/>
      <c r="FZ60" s="164"/>
      <c r="GA60" s="164"/>
      <c r="GB60" s="164"/>
      <c r="GC60" s="164"/>
      <c r="GD60" s="164"/>
      <c r="GE60" s="164"/>
      <c r="GF60" s="164"/>
      <c r="GG60" s="164"/>
      <c r="GH60" s="164"/>
      <c r="GI60" s="164"/>
      <c r="GJ60" s="164"/>
      <c r="GK60" s="164"/>
      <c r="GL60" s="164"/>
      <c r="GM60" s="164"/>
      <c r="GO60" s="164"/>
      <c r="GP60" s="164"/>
      <c r="GQ60" s="164"/>
      <c r="GR60" s="164"/>
      <c r="GS60" s="164"/>
      <c r="GT60" s="164"/>
      <c r="GU60" s="164"/>
      <c r="GV60" s="164"/>
      <c r="GW60" s="164"/>
      <c r="GX60" s="164"/>
      <c r="GY60" s="164"/>
      <c r="GZ60" s="164"/>
      <c r="HA60" s="164"/>
      <c r="HB60" s="164"/>
      <c r="HC60" s="164"/>
      <c r="IX60" s="164"/>
      <c r="KI60" s="312"/>
      <c r="KJ60" s="312"/>
      <c r="KK60" s="312"/>
      <c r="KL60" s="312"/>
      <c r="KM60" s="312"/>
      <c r="KN60" s="312"/>
      <c r="KO60" s="312"/>
      <c r="KP60" s="312"/>
      <c r="KQ60" s="312"/>
      <c r="KR60" s="312"/>
      <c r="KS60" s="312"/>
      <c r="KT60" s="312"/>
      <c r="KU60" s="312"/>
      <c r="KV60" s="312"/>
      <c r="KW60" s="312"/>
      <c r="KX60" s="312"/>
      <c r="KY60" s="312"/>
      <c r="KZ60" s="312"/>
      <c r="LA60" s="312"/>
      <c r="LB60" s="312"/>
      <c r="LC60" s="312"/>
      <c r="LD60" s="312"/>
      <c r="LE60" s="312"/>
      <c r="LF60" s="312"/>
      <c r="LG60" s="312"/>
      <c r="LH60" s="312"/>
      <c r="LI60" s="312"/>
      <c r="LJ60" s="312"/>
      <c r="LK60" s="312"/>
      <c r="LL60" s="312"/>
      <c r="LM60" s="312"/>
      <c r="LN60" s="312"/>
      <c r="LO60" s="312"/>
      <c r="LP60" s="312"/>
      <c r="LQ60" s="312"/>
      <c r="LR60" s="312"/>
      <c r="LS60" s="312"/>
      <c r="LT60" s="312"/>
      <c r="LU60" s="312"/>
      <c r="LV60" s="311"/>
      <c r="LW60" s="311"/>
      <c r="LX60" s="311"/>
      <c r="LY60" s="311"/>
      <c r="LZ60" s="311"/>
      <c r="MA60" s="164"/>
      <c r="MB60" s="164"/>
      <c r="MC60" s="164"/>
      <c r="MD60" s="164"/>
      <c r="ME60" s="164"/>
      <c r="MF60" s="164"/>
      <c r="MG60" s="164"/>
      <c r="MH60" s="164"/>
      <c r="MI60" s="164"/>
      <c r="MJ60" s="164"/>
      <c r="MK60" s="164"/>
      <c r="ML60" s="164"/>
      <c r="MM60" s="164"/>
      <c r="MN60" s="164"/>
      <c r="MO60" s="164"/>
      <c r="MP60" s="164"/>
      <c r="MQ60" s="164"/>
      <c r="MR60" s="164"/>
      <c r="MS60" s="164"/>
      <c r="MT60" s="164"/>
      <c r="MU60" s="164"/>
      <c r="MV60" s="164"/>
      <c r="MW60" s="164"/>
      <c r="MX60" s="164"/>
      <c r="MY60" s="164"/>
      <c r="MZ60" s="164"/>
      <c r="NA60" s="164"/>
      <c r="NB60" s="164"/>
      <c r="NC60" s="164"/>
      <c r="ND60" s="164"/>
      <c r="NE60" s="164"/>
      <c r="NF60" s="164"/>
      <c r="NG60" s="164"/>
      <c r="NH60" s="164"/>
      <c r="NI60" s="164"/>
      <c r="NJ60" s="164"/>
      <c r="NK60" s="164"/>
      <c r="NL60" s="164"/>
      <c r="NM60" s="164"/>
      <c r="NN60" s="164"/>
      <c r="NO60" s="164"/>
      <c r="NP60" s="164"/>
      <c r="NQ60" s="164"/>
      <c r="NR60" s="164"/>
      <c r="NS60" s="164"/>
      <c r="NT60" s="164"/>
      <c r="NU60" s="164"/>
      <c r="NV60" s="164"/>
      <c r="NW60" s="164"/>
      <c r="NX60" s="164"/>
      <c r="NY60" s="164"/>
      <c r="NZ60" s="164"/>
      <c r="OA60" s="164"/>
      <c r="OB60" s="164"/>
      <c r="OC60" s="164"/>
      <c r="OD60" s="164"/>
      <c r="OE60" s="164"/>
      <c r="OF60" s="164"/>
      <c r="OG60" s="164"/>
      <c r="OH60" s="164"/>
      <c r="OI60" s="164"/>
      <c r="OJ60" s="164"/>
      <c r="OK60" s="164"/>
      <c r="OL60" s="164"/>
      <c r="OM60" s="164"/>
      <c r="QQ60" s="165"/>
      <c r="QR60" s="166"/>
    </row>
    <row r="61" spans="3:465" ht="5.15" customHeight="1" x14ac:dyDescent="0.35">
      <c r="C61" s="161"/>
      <c r="D61" s="162"/>
      <c r="E61" s="164"/>
      <c r="I61" s="333"/>
      <c r="J61" s="334"/>
      <c r="K61" s="334"/>
      <c r="L61" s="334"/>
      <c r="M61" s="334"/>
      <c r="N61" s="334"/>
      <c r="O61" s="334"/>
      <c r="P61" s="334"/>
      <c r="Q61" s="334"/>
      <c r="R61" s="334"/>
      <c r="S61" s="334"/>
      <c r="T61" s="334"/>
      <c r="U61" s="334"/>
      <c r="V61" s="334"/>
      <c r="W61" s="334"/>
      <c r="X61" s="334"/>
      <c r="Y61" s="334"/>
      <c r="Z61" s="334"/>
      <c r="AA61" s="334"/>
      <c r="AB61" s="334"/>
      <c r="AC61" s="334"/>
      <c r="AD61" s="334"/>
      <c r="AE61" s="334"/>
      <c r="AF61" s="334"/>
      <c r="AG61" s="334"/>
      <c r="AH61" s="334"/>
      <c r="AI61" s="334"/>
      <c r="AJ61" s="334"/>
      <c r="AK61" s="334"/>
      <c r="AL61" s="334"/>
      <c r="AM61" s="334"/>
      <c r="AN61" s="334"/>
      <c r="AO61" s="334"/>
      <c r="AP61" s="334"/>
      <c r="AQ61" s="334"/>
      <c r="AR61" s="334"/>
      <c r="AS61" s="334"/>
      <c r="AT61" s="334"/>
      <c r="AU61" s="334"/>
      <c r="AV61" s="334"/>
      <c r="AW61" s="341"/>
      <c r="AX61" s="346"/>
      <c r="AY61" s="347"/>
      <c r="AZ61" s="347"/>
      <c r="BA61" s="347"/>
      <c r="BB61" s="348"/>
      <c r="BC61" s="164"/>
      <c r="BD61" s="164"/>
      <c r="CB61" s="164"/>
      <c r="CC61" s="164"/>
      <c r="DZ61" s="164"/>
      <c r="EA61" s="164"/>
      <c r="EB61" s="164"/>
      <c r="EC61" s="164"/>
      <c r="ED61" s="169"/>
      <c r="EE61" s="164"/>
      <c r="EF61" s="164"/>
      <c r="EG61" s="164"/>
      <c r="EH61" s="164"/>
      <c r="EI61" s="164"/>
      <c r="EJ61" s="164"/>
      <c r="EK61" s="164"/>
      <c r="EL61" s="164"/>
      <c r="EM61" s="164"/>
      <c r="EN61" s="164"/>
      <c r="EO61" s="164"/>
      <c r="EP61" s="164"/>
      <c r="EQ61" s="164"/>
      <c r="ER61" s="164"/>
      <c r="ES61" s="164"/>
      <c r="ET61" s="164"/>
      <c r="EU61" s="164"/>
      <c r="EV61" s="164"/>
      <c r="EW61" s="164"/>
      <c r="EX61" s="164"/>
      <c r="EY61" s="164"/>
      <c r="EZ61" s="164"/>
      <c r="FA61" s="164"/>
      <c r="FB61" s="164"/>
      <c r="FC61" s="164"/>
      <c r="FD61" s="164"/>
      <c r="FE61" s="164"/>
      <c r="FF61" s="164"/>
      <c r="FG61" s="164"/>
      <c r="FH61" s="164"/>
      <c r="FI61" s="164"/>
      <c r="FJ61" s="164"/>
      <c r="FK61" s="164"/>
      <c r="FL61" s="164"/>
      <c r="FM61" s="164"/>
      <c r="FN61" s="164"/>
      <c r="FO61" s="164"/>
      <c r="FP61" s="164"/>
      <c r="FQ61" s="164"/>
      <c r="FR61" s="164"/>
      <c r="FS61" s="164"/>
      <c r="FT61" s="164"/>
      <c r="FU61" s="164"/>
      <c r="FV61" s="164"/>
      <c r="FW61" s="164"/>
      <c r="FX61" s="164"/>
      <c r="FY61" s="164"/>
      <c r="FZ61" s="164"/>
      <c r="GA61" s="164"/>
      <c r="GB61" s="164"/>
      <c r="GC61" s="164"/>
      <c r="GD61" s="164"/>
      <c r="GE61" s="164"/>
      <c r="GF61" s="164"/>
      <c r="GG61" s="164"/>
      <c r="GH61" s="164"/>
      <c r="GI61" s="164"/>
      <c r="GJ61" s="164"/>
      <c r="GK61" s="164"/>
      <c r="GL61" s="164"/>
      <c r="GM61" s="164"/>
      <c r="GO61" s="164"/>
      <c r="GP61" s="164"/>
      <c r="GQ61" s="164"/>
      <c r="GR61" s="164"/>
      <c r="GS61" s="164"/>
      <c r="GT61" s="164"/>
      <c r="GU61" s="164"/>
      <c r="GV61" s="164"/>
      <c r="GW61" s="164"/>
      <c r="GX61" s="164"/>
      <c r="GY61" s="164"/>
      <c r="GZ61" s="164"/>
      <c r="HA61" s="164"/>
      <c r="HB61" s="164"/>
      <c r="HC61" s="164"/>
      <c r="KI61" s="312"/>
      <c r="KJ61" s="312"/>
      <c r="KK61" s="312"/>
      <c r="KL61" s="312"/>
      <c r="KM61" s="312"/>
      <c r="KN61" s="312"/>
      <c r="KO61" s="312"/>
      <c r="KP61" s="312"/>
      <c r="KQ61" s="312"/>
      <c r="KR61" s="312"/>
      <c r="KS61" s="312"/>
      <c r="KT61" s="312"/>
      <c r="KU61" s="312"/>
      <c r="KV61" s="312"/>
      <c r="KW61" s="312"/>
      <c r="KX61" s="312"/>
      <c r="KY61" s="312"/>
      <c r="KZ61" s="312"/>
      <c r="LA61" s="312"/>
      <c r="LB61" s="312"/>
      <c r="LC61" s="312"/>
      <c r="LD61" s="312"/>
      <c r="LE61" s="312"/>
      <c r="LF61" s="312"/>
      <c r="LG61" s="312"/>
      <c r="LH61" s="312"/>
      <c r="LI61" s="312"/>
      <c r="LJ61" s="312"/>
      <c r="LK61" s="312"/>
      <c r="LL61" s="312"/>
      <c r="LM61" s="312"/>
      <c r="LN61" s="312"/>
      <c r="LO61" s="312"/>
      <c r="LP61" s="312"/>
      <c r="LQ61" s="312"/>
      <c r="LR61" s="312"/>
      <c r="LS61" s="312"/>
      <c r="LT61" s="312"/>
      <c r="LU61" s="312"/>
      <c r="LV61" s="311"/>
      <c r="LW61" s="311"/>
      <c r="LX61" s="311"/>
      <c r="LY61" s="311"/>
      <c r="LZ61" s="311"/>
      <c r="MA61" s="164"/>
      <c r="MB61" s="164"/>
      <c r="MC61" s="164"/>
      <c r="MD61" s="164"/>
      <c r="ME61" s="164"/>
      <c r="MF61" s="164"/>
      <c r="MG61" s="164"/>
      <c r="MH61" s="164"/>
      <c r="MI61" s="164"/>
      <c r="MJ61" s="164"/>
      <c r="MK61" s="164"/>
      <c r="ML61" s="164"/>
      <c r="MM61" s="164"/>
      <c r="MN61" s="164"/>
      <c r="MO61" s="164"/>
      <c r="MP61" s="164"/>
      <c r="MQ61" s="164"/>
      <c r="MR61" s="164"/>
      <c r="MS61" s="164"/>
      <c r="MT61" s="164"/>
      <c r="MU61" s="164"/>
      <c r="MV61" s="164"/>
      <c r="MW61" s="164"/>
      <c r="MX61" s="164"/>
      <c r="MY61" s="164"/>
      <c r="MZ61" s="164"/>
      <c r="NA61" s="164"/>
      <c r="NB61" s="164"/>
      <c r="NC61" s="164"/>
      <c r="ND61" s="164"/>
      <c r="NE61" s="164"/>
      <c r="NF61" s="164"/>
      <c r="NG61" s="164"/>
      <c r="NH61" s="164"/>
      <c r="NI61" s="164"/>
      <c r="NJ61" s="164"/>
      <c r="NK61" s="164"/>
      <c r="NL61" s="164"/>
      <c r="NM61" s="164"/>
      <c r="NN61" s="164"/>
      <c r="NO61" s="164"/>
      <c r="NP61" s="164"/>
      <c r="NQ61" s="164"/>
      <c r="NR61" s="164"/>
      <c r="NS61" s="164"/>
      <c r="NT61" s="164"/>
      <c r="NU61" s="164"/>
      <c r="NV61" s="164"/>
      <c r="NW61" s="164"/>
      <c r="NX61" s="164"/>
      <c r="NY61" s="164"/>
      <c r="NZ61" s="164"/>
      <c r="OA61" s="164"/>
      <c r="OB61" s="164"/>
      <c r="OC61" s="164"/>
      <c r="OD61" s="164"/>
      <c r="OE61" s="164"/>
      <c r="OF61" s="164"/>
      <c r="OG61" s="164"/>
      <c r="OH61" s="164"/>
      <c r="OI61" s="164"/>
      <c r="OJ61" s="164"/>
      <c r="OK61" s="164"/>
      <c r="OL61" s="164"/>
      <c r="OM61" s="164"/>
      <c r="QQ61" s="165"/>
      <c r="QR61" s="166"/>
    </row>
    <row r="62" spans="3:465" ht="5.15" customHeight="1" x14ac:dyDescent="0.35">
      <c r="C62" s="161"/>
      <c r="D62" s="162"/>
      <c r="E62" s="164"/>
      <c r="I62" s="333"/>
      <c r="J62" s="334"/>
      <c r="K62" s="334"/>
      <c r="L62" s="334"/>
      <c r="M62" s="334"/>
      <c r="N62" s="334"/>
      <c r="O62" s="334"/>
      <c r="P62" s="334"/>
      <c r="Q62" s="334"/>
      <c r="R62" s="334"/>
      <c r="S62" s="334"/>
      <c r="T62" s="334"/>
      <c r="U62" s="334"/>
      <c r="V62" s="334"/>
      <c r="W62" s="334"/>
      <c r="X62" s="334"/>
      <c r="Y62" s="334"/>
      <c r="Z62" s="334"/>
      <c r="AA62" s="334"/>
      <c r="AB62" s="334"/>
      <c r="AC62" s="334"/>
      <c r="AD62" s="334"/>
      <c r="AE62" s="334"/>
      <c r="AF62" s="334"/>
      <c r="AG62" s="334"/>
      <c r="AH62" s="334"/>
      <c r="AI62" s="334"/>
      <c r="AJ62" s="334"/>
      <c r="AK62" s="334"/>
      <c r="AL62" s="334"/>
      <c r="AM62" s="334"/>
      <c r="AN62" s="334"/>
      <c r="AO62" s="334"/>
      <c r="AP62" s="334"/>
      <c r="AQ62" s="334"/>
      <c r="AR62" s="334"/>
      <c r="AS62" s="334"/>
      <c r="AT62" s="334"/>
      <c r="AU62" s="334"/>
      <c r="AV62" s="334"/>
      <c r="AW62" s="341"/>
      <c r="AX62" s="346"/>
      <c r="AY62" s="347"/>
      <c r="AZ62" s="347"/>
      <c r="BA62" s="347"/>
      <c r="BB62" s="348"/>
      <c r="BC62" s="164"/>
      <c r="BD62" s="164"/>
      <c r="CB62" s="164"/>
      <c r="CC62" s="164"/>
      <c r="DZ62" s="164"/>
      <c r="EA62" s="164"/>
      <c r="EB62" s="164"/>
      <c r="EC62" s="164"/>
      <c r="ED62" s="169"/>
      <c r="EE62" s="164"/>
      <c r="EF62" s="164"/>
      <c r="EG62" s="164"/>
      <c r="EH62" s="164"/>
      <c r="EI62" s="164"/>
      <c r="EJ62" s="164"/>
      <c r="EK62" s="164"/>
      <c r="EL62" s="164"/>
      <c r="EM62" s="164"/>
      <c r="EN62" s="164"/>
      <c r="EO62" s="164"/>
      <c r="EP62" s="164"/>
      <c r="EQ62" s="164"/>
      <c r="ER62" s="164"/>
      <c r="ES62" s="164"/>
      <c r="ET62" s="164"/>
      <c r="EU62" s="164"/>
      <c r="EV62" s="164"/>
      <c r="EW62" s="164"/>
      <c r="EX62" s="164"/>
      <c r="EY62" s="164"/>
      <c r="EZ62" s="164"/>
      <c r="FA62" s="164"/>
      <c r="FB62" s="164"/>
      <c r="FC62" s="164"/>
      <c r="FD62" s="164"/>
      <c r="FE62" s="164"/>
      <c r="FF62" s="164"/>
      <c r="FG62" s="164"/>
      <c r="FH62" s="164"/>
      <c r="FI62" s="164"/>
      <c r="FJ62" s="164"/>
      <c r="FK62" s="164"/>
      <c r="FL62" s="164"/>
      <c r="FM62" s="164"/>
      <c r="FN62" s="164"/>
      <c r="FO62" s="164"/>
      <c r="FP62" s="164"/>
      <c r="FQ62" s="164"/>
      <c r="FR62" s="164"/>
      <c r="FS62" s="164"/>
      <c r="FT62" s="164"/>
      <c r="FU62" s="164"/>
      <c r="FV62" s="164"/>
      <c r="FW62" s="164"/>
      <c r="FX62" s="164"/>
      <c r="FY62" s="164"/>
      <c r="FZ62" s="164"/>
      <c r="GA62" s="164"/>
      <c r="GB62" s="164"/>
      <c r="GC62" s="164"/>
      <c r="GD62" s="164"/>
      <c r="GE62" s="164"/>
      <c r="GF62" s="164"/>
      <c r="GG62" s="164"/>
      <c r="GH62" s="164"/>
      <c r="GI62" s="164"/>
      <c r="GJ62" s="164"/>
      <c r="GK62" s="164"/>
      <c r="GL62" s="164"/>
      <c r="GM62" s="164"/>
      <c r="GO62" s="164"/>
      <c r="GP62" s="164"/>
      <c r="GQ62" s="164"/>
      <c r="GR62" s="164"/>
      <c r="GS62" s="164"/>
      <c r="GT62" s="164"/>
      <c r="GU62" s="164"/>
      <c r="GV62" s="164"/>
      <c r="GW62" s="164"/>
      <c r="GX62" s="164"/>
      <c r="GY62" s="164"/>
      <c r="GZ62" s="164"/>
      <c r="HA62" s="164"/>
      <c r="HB62" s="164"/>
      <c r="HC62" s="164"/>
      <c r="LD62" s="187"/>
      <c r="LE62" s="188"/>
      <c r="LF62" s="188"/>
      <c r="LS62" s="164"/>
      <c r="LT62" s="164"/>
      <c r="LU62" s="164"/>
      <c r="LV62" s="164"/>
      <c r="LW62" s="164"/>
      <c r="LX62" s="164"/>
      <c r="LY62" s="164"/>
      <c r="LZ62" s="164"/>
      <c r="MA62" s="164"/>
      <c r="MB62" s="164"/>
      <c r="MC62" s="164"/>
      <c r="MD62" s="164"/>
      <c r="ME62" s="164"/>
      <c r="MF62" s="164"/>
      <c r="MG62" s="164"/>
      <c r="MH62" s="164"/>
      <c r="MI62" s="164"/>
      <c r="MJ62" s="164"/>
      <c r="MK62" s="164"/>
      <c r="ML62" s="164"/>
      <c r="MM62" s="164"/>
      <c r="MN62" s="164"/>
      <c r="MO62" s="164"/>
      <c r="MP62" s="164"/>
      <c r="MQ62" s="164"/>
      <c r="MR62" s="164"/>
      <c r="MS62" s="164"/>
      <c r="MT62" s="164"/>
      <c r="MU62" s="164"/>
      <c r="MV62" s="164"/>
      <c r="MW62" s="164"/>
      <c r="MX62" s="164"/>
      <c r="MY62" s="164"/>
      <c r="MZ62" s="164"/>
      <c r="NA62" s="164"/>
      <c r="NB62" s="164"/>
      <c r="NC62" s="164"/>
      <c r="ND62" s="164"/>
      <c r="NE62" s="164"/>
      <c r="NF62" s="164"/>
      <c r="NG62" s="164"/>
      <c r="NH62" s="164"/>
      <c r="NI62" s="164"/>
      <c r="NJ62" s="164"/>
      <c r="NK62" s="164"/>
      <c r="NL62" s="164"/>
      <c r="NM62" s="164"/>
      <c r="NN62" s="164"/>
      <c r="NO62" s="164"/>
      <c r="NP62" s="164"/>
      <c r="NQ62" s="164"/>
      <c r="NR62" s="164"/>
      <c r="NS62" s="164"/>
      <c r="NT62" s="164"/>
      <c r="NU62" s="164"/>
      <c r="NV62" s="164"/>
      <c r="NW62" s="164"/>
      <c r="NX62" s="164"/>
      <c r="NY62" s="164"/>
      <c r="NZ62" s="164"/>
      <c r="OA62" s="164"/>
      <c r="OB62" s="164"/>
      <c r="OC62" s="164"/>
      <c r="OD62" s="164"/>
      <c r="OE62" s="164"/>
      <c r="OF62" s="164"/>
      <c r="OG62" s="164"/>
      <c r="OH62" s="164"/>
      <c r="OI62" s="164"/>
      <c r="OJ62" s="164"/>
      <c r="OK62" s="164"/>
      <c r="OL62" s="164"/>
      <c r="OM62" s="164"/>
      <c r="QQ62" s="165"/>
      <c r="QR62" s="166"/>
    </row>
    <row r="63" spans="3:465" ht="5.15" customHeight="1" x14ac:dyDescent="0.35">
      <c r="C63" s="161"/>
      <c r="D63" s="162"/>
      <c r="E63" s="164"/>
      <c r="I63" s="333"/>
      <c r="J63" s="334"/>
      <c r="K63" s="334"/>
      <c r="L63" s="334"/>
      <c r="M63" s="334"/>
      <c r="N63" s="334"/>
      <c r="O63" s="334"/>
      <c r="P63" s="334"/>
      <c r="Q63" s="334"/>
      <c r="R63" s="334"/>
      <c r="S63" s="334"/>
      <c r="T63" s="334"/>
      <c r="U63" s="334"/>
      <c r="V63" s="334"/>
      <c r="W63" s="334"/>
      <c r="X63" s="334"/>
      <c r="Y63" s="334"/>
      <c r="Z63" s="334"/>
      <c r="AA63" s="334"/>
      <c r="AB63" s="334"/>
      <c r="AC63" s="334"/>
      <c r="AD63" s="334"/>
      <c r="AE63" s="334"/>
      <c r="AF63" s="334"/>
      <c r="AG63" s="334"/>
      <c r="AH63" s="334"/>
      <c r="AI63" s="334"/>
      <c r="AJ63" s="334"/>
      <c r="AK63" s="334"/>
      <c r="AL63" s="334"/>
      <c r="AM63" s="334"/>
      <c r="AN63" s="334"/>
      <c r="AO63" s="334"/>
      <c r="AP63" s="334"/>
      <c r="AQ63" s="334"/>
      <c r="AR63" s="334"/>
      <c r="AS63" s="334"/>
      <c r="AT63" s="334"/>
      <c r="AU63" s="334"/>
      <c r="AV63" s="334"/>
      <c r="AW63" s="341"/>
      <c r="AX63" s="346"/>
      <c r="AY63" s="347"/>
      <c r="AZ63" s="347"/>
      <c r="BA63" s="347"/>
      <c r="BB63" s="348"/>
      <c r="BC63" s="164"/>
      <c r="BD63" s="164"/>
      <c r="CB63" s="164"/>
      <c r="CC63" s="164"/>
      <c r="DZ63" s="164"/>
      <c r="EA63" s="164"/>
      <c r="EB63" s="164"/>
      <c r="EC63" s="164"/>
      <c r="ED63" s="169"/>
      <c r="EE63" s="164"/>
      <c r="EF63" s="164"/>
      <c r="EG63" s="164"/>
      <c r="EH63" s="164"/>
      <c r="EI63" s="164"/>
      <c r="EJ63" s="164"/>
      <c r="EK63" s="164"/>
      <c r="EL63" s="164"/>
      <c r="EM63" s="164"/>
      <c r="EN63" s="164"/>
      <c r="EO63" s="164"/>
      <c r="EP63" s="164"/>
      <c r="EQ63" s="164"/>
      <c r="ER63" s="164"/>
      <c r="ES63" s="164"/>
      <c r="ET63" s="164"/>
      <c r="EU63" s="164"/>
      <c r="EV63" s="164"/>
      <c r="EW63" s="164"/>
      <c r="EX63" s="164"/>
      <c r="EY63" s="164"/>
      <c r="EZ63" s="164"/>
      <c r="FA63" s="164"/>
      <c r="FB63" s="164"/>
      <c r="FC63" s="164"/>
      <c r="FD63" s="164"/>
      <c r="FE63" s="164"/>
      <c r="FF63" s="164"/>
      <c r="FG63" s="164"/>
      <c r="FH63" s="164"/>
      <c r="FI63" s="164"/>
      <c r="FJ63" s="164"/>
      <c r="FK63" s="164"/>
      <c r="FL63" s="164"/>
      <c r="FM63" s="164"/>
      <c r="FN63" s="164"/>
      <c r="FO63" s="164"/>
      <c r="FP63" s="164"/>
      <c r="FQ63" s="164"/>
      <c r="FR63" s="164"/>
      <c r="FS63" s="164"/>
      <c r="FT63" s="164"/>
      <c r="FU63" s="164"/>
      <c r="FV63" s="164"/>
      <c r="FW63" s="164"/>
      <c r="FX63" s="164"/>
      <c r="FY63" s="164"/>
      <c r="FZ63" s="164"/>
      <c r="GA63" s="164"/>
      <c r="GB63" s="164"/>
      <c r="GC63" s="164"/>
      <c r="GD63" s="164"/>
      <c r="GE63" s="164"/>
      <c r="GF63" s="164"/>
      <c r="GG63" s="164"/>
      <c r="GH63" s="164"/>
      <c r="GI63" s="164"/>
      <c r="GJ63" s="164"/>
      <c r="GK63" s="164"/>
      <c r="GL63" s="164"/>
      <c r="GM63" s="164"/>
      <c r="GO63" s="164"/>
      <c r="GP63" s="164"/>
      <c r="GQ63" s="164"/>
      <c r="GR63" s="164"/>
      <c r="GS63" s="164"/>
      <c r="GT63" s="164"/>
      <c r="GU63" s="164"/>
      <c r="GV63" s="164"/>
      <c r="GW63" s="164"/>
      <c r="GX63" s="164"/>
      <c r="GY63" s="164"/>
      <c r="GZ63" s="164"/>
      <c r="HA63" s="164"/>
      <c r="HB63" s="164"/>
      <c r="HC63" s="164"/>
      <c r="KQ63" s="164"/>
      <c r="KR63" s="164"/>
      <c r="KS63" s="164"/>
      <c r="KT63" s="164"/>
      <c r="KU63" s="163"/>
      <c r="KV63" s="164"/>
      <c r="KW63" s="164"/>
      <c r="KX63" s="164"/>
      <c r="KY63" s="164"/>
      <c r="KZ63" s="164"/>
      <c r="LA63" s="164"/>
      <c r="LB63" s="164"/>
      <c r="LC63" s="164"/>
      <c r="LD63" s="169"/>
      <c r="LE63" s="164"/>
      <c r="LF63" s="164"/>
      <c r="LG63" s="164"/>
      <c r="LH63" s="164"/>
      <c r="LI63" s="164"/>
      <c r="LJ63" s="164"/>
      <c r="LK63" s="164"/>
      <c r="LL63" s="164"/>
      <c r="LM63" s="164"/>
      <c r="LN63" s="164"/>
      <c r="LO63" s="164"/>
      <c r="LP63" s="164"/>
      <c r="LQ63" s="164"/>
      <c r="LR63" s="164"/>
      <c r="LS63" s="164"/>
      <c r="LT63" s="164"/>
      <c r="LU63" s="164"/>
      <c r="LV63" s="164"/>
      <c r="LW63" s="164"/>
      <c r="LX63" s="164"/>
      <c r="LY63" s="164"/>
      <c r="LZ63" s="164"/>
      <c r="MA63" s="164"/>
      <c r="MB63" s="164"/>
      <c r="MC63" s="164"/>
      <c r="MD63" s="164"/>
      <c r="ME63" s="164"/>
      <c r="MF63" s="164"/>
      <c r="MG63" s="164"/>
      <c r="MH63" s="164"/>
      <c r="MI63" s="164"/>
      <c r="MJ63" s="164"/>
      <c r="MK63" s="164"/>
      <c r="ML63" s="164"/>
      <c r="MM63" s="164"/>
      <c r="MN63" s="164"/>
      <c r="MO63" s="164"/>
      <c r="MP63" s="164"/>
      <c r="MQ63" s="164"/>
      <c r="MR63" s="164"/>
      <c r="MS63" s="164"/>
      <c r="MT63" s="164"/>
      <c r="MU63" s="164"/>
      <c r="MV63" s="164"/>
      <c r="MW63" s="164"/>
      <c r="MX63" s="164"/>
      <c r="MY63" s="164"/>
      <c r="MZ63" s="164"/>
      <c r="NA63" s="164"/>
      <c r="NB63" s="164"/>
      <c r="NC63" s="164"/>
      <c r="ND63" s="164"/>
      <c r="NE63" s="164"/>
      <c r="NF63" s="164"/>
      <c r="NG63" s="164"/>
      <c r="NH63" s="164"/>
      <c r="NI63" s="164"/>
      <c r="NJ63" s="164"/>
      <c r="NK63" s="164"/>
      <c r="NL63" s="164"/>
      <c r="NM63" s="164"/>
      <c r="NN63" s="164"/>
      <c r="NO63" s="164"/>
      <c r="NP63" s="164"/>
      <c r="NQ63" s="164"/>
      <c r="NR63" s="164"/>
      <c r="NS63" s="164"/>
      <c r="NT63" s="164"/>
      <c r="NU63" s="164"/>
      <c r="NV63" s="164"/>
      <c r="NW63" s="164"/>
      <c r="NX63" s="164"/>
      <c r="NY63" s="164"/>
      <c r="NZ63" s="164"/>
      <c r="OA63" s="164"/>
      <c r="OB63" s="164"/>
      <c r="OC63" s="164"/>
      <c r="OD63" s="164"/>
      <c r="OE63" s="164"/>
      <c r="OF63" s="164"/>
      <c r="OG63" s="164"/>
      <c r="OH63" s="164"/>
      <c r="OI63" s="164"/>
      <c r="OJ63" s="164"/>
      <c r="OK63" s="164"/>
      <c r="OL63" s="164"/>
      <c r="OM63" s="164"/>
      <c r="QQ63" s="165"/>
      <c r="QR63" s="166"/>
    </row>
    <row r="64" spans="3:465" ht="5.15" customHeight="1" x14ac:dyDescent="0.35">
      <c r="C64" s="161"/>
      <c r="D64" s="162"/>
      <c r="E64" s="164"/>
      <c r="I64" s="333"/>
      <c r="J64" s="334"/>
      <c r="K64" s="334"/>
      <c r="L64" s="334"/>
      <c r="M64" s="334"/>
      <c r="N64" s="334"/>
      <c r="O64" s="334"/>
      <c r="P64" s="334"/>
      <c r="Q64" s="334"/>
      <c r="R64" s="334"/>
      <c r="S64" s="334"/>
      <c r="T64" s="334"/>
      <c r="U64" s="334"/>
      <c r="V64" s="334"/>
      <c r="W64" s="334"/>
      <c r="X64" s="334"/>
      <c r="Y64" s="334"/>
      <c r="Z64" s="334"/>
      <c r="AA64" s="334"/>
      <c r="AB64" s="334"/>
      <c r="AC64" s="334"/>
      <c r="AD64" s="334"/>
      <c r="AE64" s="334"/>
      <c r="AF64" s="334"/>
      <c r="AG64" s="334"/>
      <c r="AH64" s="334"/>
      <c r="AI64" s="334"/>
      <c r="AJ64" s="334"/>
      <c r="AK64" s="334"/>
      <c r="AL64" s="334"/>
      <c r="AM64" s="334"/>
      <c r="AN64" s="334"/>
      <c r="AO64" s="334"/>
      <c r="AP64" s="334"/>
      <c r="AQ64" s="334"/>
      <c r="AR64" s="334"/>
      <c r="AS64" s="334"/>
      <c r="AT64" s="334"/>
      <c r="AU64" s="334"/>
      <c r="AV64" s="334"/>
      <c r="AW64" s="341"/>
      <c r="AX64" s="346"/>
      <c r="AY64" s="347"/>
      <c r="AZ64" s="347"/>
      <c r="BA64" s="347"/>
      <c r="BB64" s="348"/>
      <c r="BC64" s="164"/>
      <c r="BD64" s="164"/>
      <c r="CB64" s="164"/>
      <c r="CC64" s="164"/>
      <c r="DZ64" s="164"/>
      <c r="EA64" s="164"/>
      <c r="EB64" s="164"/>
      <c r="EC64" s="164"/>
      <c r="ED64" s="169"/>
      <c r="EE64" s="164"/>
      <c r="EF64" s="164"/>
      <c r="EG64" s="164"/>
      <c r="EH64" s="164"/>
      <c r="EI64" s="164"/>
      <c r="EJ64" s="164"/>
      <c r="EK64" s="164"/>
      <c r="EL64" s="164"/>
      <c r="EM64" s="164"/>
      <c r="EN64" s="164"/>
      <c r="EO64" s="164"/>
      <c r="EP64" s="164"/>
      <c r="EQ64" s="164"/>
      <c r="ER64" s="164"/>
      <c r="ES64" s="164"/>
      <c r="ET64" s="164"/>
      <c r="EU64" s="164"/>
      <c r="EV64" s="164"/>
      <c r="EW64" s="164"/>
      <c r="EX64" s="164"/>
      <c r="EY64" s="164"/>
      <c r="EZ64" s="164"/>
      <c r="FA64" s="164"/>
      <c r="FB64" s="164"/>
      <c r="GO64" s="164"/>
      <c r="GP64" s="164"/>
      <c r="GQ64" s="164"/>
      <c r="GR64" s="164"/>
      <c r="GS64" s="164"/>
      <c r="GT64" s="164"/>
      <c r="GU64" s="164"/>
      <c r="GV64" s="164"/>
      <c r="GW64" s="164"/>
      <c r="GX64" s="164"/>
      <c r="GY64" s="164"/>
      <c r="GZ64" s="164"/>
      <c r="HA64" s="164"/>
      <c r="HB64" s="164"/>
      <c r="HC64" s="164"/>
      <c r="IX64" s="164"/>
      <c r="IY64" s="164"/>
      <c r="IZ64" s="164"/>
      <c r="JA64" s="164"/>
      <c r="JB64" s="164"/>
      <c r="JC64" s="164"/>
      <c r="JD64" s="164"/>
      <c r="JE64" s="164"/>
      <c r="JF64" s="164"/>
      <c r="JG64" s="164"/>
      <c r="JH64" s="164"/>
      <c r="JI64" s="164"/>
      <c r="JJ64" s="164"/>
      <c r="JK64" s="164"/>
      <c r="JL64" s="164"/>
      <c r="JM64" s="164"/>
      <c r="JN64" s="164"/>
      <c r="JO64" s="164"/>
      <c r="JP64" s="164"/>
      <c r="JQ64" s="164"/>
      <c r="JR64" s="164"/>
      <c r="JS64" s="164"/>
      <c r="JT64" s="164"/>
      <c r="JU64" s="164"/>
      <c r="JV64" s="164"/>
      <c r="JW64" s="164"/>
      <c r="JX64" s="164"/>
      <c r="JY64" s="164"/>
      <c r="JZ64" s="164"/>
      <c r="KA64" s="164"/>
      <c r="KB64" s="164"/>
      <c r="KC64" s="164"/>
      <c r="KD64" s="164"/>
      <c r="KE64" s="164"/>
      <c r="KF64" s="164"/>
      <c r="KG64" s="164"/>
      <c r="KH64" s="164"/>
      <c r="KI64" s="164"/>
      <c r="KJ64" s="164"/>
      <c r="KK64" s="164"/>
      <c r="KL64" s="164"/>
      <c r="KM64" s="164"/>
      <c r="KN64" s="164"/>
      <c r="KO64" s="164"/>
      <c r="KP64" s="164"/>
      <c r="KQ64" s="164"/>
      <c r="KR64" s="164"/>
      <c r="KS64" s="164"/>
      <c r="KT64" s="164"/>
      <c r="KU64" s="164"/>
      <c r="KV64" s="164"/>
      <c r="KW64" s="164"/>
      <c r="KX64" s="164"/>
      <c r="KY64" s="164"/>
      <c r="KZ64" s="164"/>
      <c r="LA64" s="164"/>
      <c r="LB64" s="164"/>
      <c r="LC64" s="164"/>
      <c r="LD64" s="169"/>
      <c r="LE64" s="164"/>
      <c r="LF64" s="164"/>
      <c r="LG64" s="164"/>
      <c r="LH64" s="164"/>
      <c r="LI64" s="164"/>
      <c r="LJ64" s="164"/>
      <c r="LK64" s="164"/>
      <c r="LL64" s="164"/>
      <c r="LM64" s="164"/>
      <c r="LN64" s="164"/>
      <c r="LO64" s="164"/>
      <c r="LP64" s="164"/>
      <c r="LQ64" s="164"/>
      <c r="LR64" s="164"/>
      <c r="LS64" s="164"/>
      <c r="LT64" s="164"/>
      <c r="LU64" s="164"/>
      <c r="LV64" s="164"/>
      <c r="LW64" s="164"/>
      <c r="LX64" s="164"/>
      <c r="LY64" s="164"/>
      <c r="LZ64" s="164"/>
      <c r="MA64" s="164"/>
      <c r="MB64" s="164"/>
      <c r="MC64" s="164"/>
      <c r="MD64" s="164"/>
      <c r="ME64" s="164"/>
      <c r="MF64" s="164"/>
      <c r="MG64" s="164"/>
      <c r="MH64" s="164"/>
      <c r="MI64" s="164"/>
      <c r="MJ64" s="164"/>
      <c r="MK64" s="164"/>
      <c r="ML64" s="164"/>
      <c r="MM64" s="164"/>
      <c r="MN64" s="164"/>
      <c r="MO64" s="164"/>
      <c r="MP64" s="178"/>
      <c r="MQ64" s="178"/>
      <c r="MR64" s="178"/>
      <c r="MS64" s="178"/>
      <c r="MT64" s="178"/>
      <c r="MU64" s="178"/>
      <c r="MV64" s="178"/>
      <c r="MW64" s="178"/>
      <c r="MX64" s="178"/>
      <c r="MY64" s="178"/>
      <c r="MZ64" s="178"/>
      <c r="NA64" s="178"/>
      <c r="NB64" s="178"/>
      <c r="NC64" s="178"/>
      <c r="ND64" s="178"/>
      <c r="NE64" s="178"/>
      <c r="NF64" s="178"/>
      <c r="NG64" s="178"/>
      <c r="NH64" s="178"/>
      <c r="NI64" s="178"/>
      <c r="NJ64" s="178"/>
      <c r="NK64" s="178"/>
      <c r="NL64" s="178"/>
      <c r="NM64" s="178"/>
      <c r="NN64" s="178"/>
      <c r="NO64" s="178"/>
      <c r="NP64" s="178"/>
      <c r="NQ64" s="178"/>
      <c r="NR64" s="178"/>
      <c r="NS64" s="178"/>
      <c r="NT64" s="178"/>
      <c r="NU64" s="178"/>
      <c r="NV64" s="178"/>
      <c r="NW64" s="178"/>
      <c r="NX64" s="178"/>
      <c r="NY64" s="178"/>
      <c r="NZ64" s="178"/>
      <c r="OA64" s="178"/>
      <c r="OB64" s="178"/>
      <c r="OC64" s="178"/>
      <c r="OD64" s="178"/>
      <c r="OE64" s="178"/>
      <c r="OF64" s="178"/>
      <c r="OG64" s="178"/>
      <c r="OH64" s="178"/>
      <c r="OI64" s="178"/>
      <c r="OJ64" s="178"/>
      <c r="OK64" s="178"/>
      <c r="OL64" s="178"/>
      <c r="OM64" s="178"/>
      <c r="ON64" s="178"/>
      <c r="QQ64" s="165"/>
      <c r="QR64" s="166"/>
    </row>
    <row r="65" spans="3:465" ht="5.15" customHeight="1" x14ac:dyDescent="0.35">
      <c r="C65" s="161"/>
      <c r="D65" s="162"/>
      <c r="E65" s="164"/>
      <c r="I65" s="333"/>
      <c r="J65" s="334"/>
      <c r="K65" s="334"/>
      <c r="L65" s="334"/>
      <c r="M65" s="334"/>
      <c r="N65" s="334"/>
      <c r="O65" s="334"/>
      <c r="P65" s="334"/>
      <c r="Q65" s="334"/>
      <c r="R65" s="334"/>
      <c r="S65" s="334"/>
      <c r="T65" s="334"/>
      <c r="U65" s="334"/>
      <c r="V65" s="334"/>
      <c r="W65" s="334"/>
      <c r="X65" s="334"/>
      <c r="Y65" s="334"/>
      <c r="Z65" s="334"/>
      <c r="AA65" s="334"/>
      <c r="AB65" s="334"/>
      <c r="AC65" s="334"/>
      <c r="AD65" s="334"/>
      <c r="AE65" s="334"/>
      <c r="AF65" s="334"/>
      <c r="AG65" s="334"/>
      <c r="AH65" s="334"/>
      <c r="AI65" s="334"/>
      <c r="AJ65" s="334"/>
      <c r="AK65" s="334"/>
      <c r="AL65" s="334"/>
      <c r="AM65" s="334"/>
      <c r="AN65" s="334"/>
      <c r="AO65" s="334"/>
      <c r="AP65" s="334"/>
      <c r="AQ65" s="334"/>
      <c r="AR65" s="334"/>
      <c r="AS65" s="334"/>
      <c r="AT65" s="334"/>
      <c r="AU65" s="334"/>
      <c r="AV65" s="334"/>
      <c r="AW65" s="341"/>
      <c r="AX65" s="346"/>
      <c r="AY65" s="347"/>
      <c r="AZ65" s="347"/>
      <c r="BA65" s="347"/>
      <c r="BB65" s="348"/>
      <c r="BC65" s="164"/>
      <c r="BD65" s="164"/>
      <c r="CB65" s="164"/>
      <c r="CC65" s="164"/>
      <c r="DZ65" s="164"/>
      <c r="EA65" s="164"/>
      <c r="EB65" s="164"/>
      <c r="EC65" s="164"/>
      <c r="ED65" s="169"/>
      <c r="EE65" s="164"/>
      <c r="EF65" s="164"/>
      <c r="EG65" s="164"/>
      <c r="EH65" s="164"/>
      <c r="EI65" s="164"/>
      <c r="EJ65" s="164"/>
      <c r="EK65" s="164"/>
      <c r="EL65" s="164"/>
      <c r="EM65" s="164"/>
      <c r="EN65" s="164"/>
      <c r="EO65" s="164"/>
      <c r="EP65" s="164"/>
      <c r="EQ65" s="164"/>
      <c r="ER65" s="164"/>
      <c r="ES65" s="164"/>
      <c r="ET65" s="164"/>
      <c r="EU65" s="164"/>
      <c r="EV65" s="164"/>
      <c r="EW65" s="164"/>
      <c r="EX65" s="164"/>
      <c r="EY65" s="164"/>
      <c r="EZ65" s="164"/>
      <c r="FA65" s="164"/>
      <c r="FB65" s="164"/>
      <c r="GO65" s="164"/>
      <c r="GP65" s="164"/>
      <c r="GQ65" s="164"/>
      <c r="GR65" s="164"/>
      <c r="GS65" s="164"/>
      <c r="GT65" s="164"/>
      <c r="GU65" s="164"/>
      <c r="GV65" s="164"/>
      <c r="GW65" s="164"/>
      <c r="GX65" s="164"/>
      <c r="GY65" s="164"/>
      <c r="GZ65" s="164"/>
      <c r="HA65" s="164"/>
      <c r="HB65" s="164"/>
      <c r="HC65" s="164"/>
      <c r="IX65" s="164"/>
      <c r="IY65" s="164"/>
      <c r="IZ65" s="164"/>
      <c r="JA65" s="164"/>
      <c r="JB65" s="164"/>
      <c r="JC65" s="164"/>
      <c r="JD65" s="164"/>
      <c r="JE65" s="164"/>
      <c r="JF65" s="164"/>
      <c r="JG65" s="164"/>
      <c r="JH65" s="164"/>
      <c r="JI65" s="164"/>
      <c r="JW65" s="164"/>
      <c r="JX65" s="164"/>
      <c r="JY65" s="164"/>
      <c r="JZ65" s="164"/>
      <c r="KA65" s="164"/>
      <c r="KB65" s="164"/>
      <c r="KC65" s="164"/>
      <c r="KD65" s="164"/>
      <c r="KE65" s="164"/>
      <c r="KF65" s="164"/>
      <c r="KG65" s="164"/>
      <c r="KH65" s="164"/>
      <c r="KI65" s="164"/>
      <c r="KJ65" s="164"/>
      <c r="KK65" s="164"/>
      <c r="KL65" s="164"/>
      <c r="KM65" s="164"/>
      <c r="KN65" s="164"/>
      <c r="KO65" s="164"/>
      <c r="KP65" s="164"/>
      <c r="KQ65" s="164"/>
      <c r="KR65" s="164"/>
      <c r="KS65" s="164"/>
      <c r="KT65" s="164"/>
      <c r="KU65" s="164"/>
      <c r="KV65" s="164"/>
      <c r="KW65" s="164"/>
      <c r="KX65" s="164"/>
      <c r="KY65" s="164"/>
      <c r="KZ65" s="164"/>
      <c r="LA65" s="164"/>
      <c r="LB65" s="164"/>
      <c r="LC65" s="164"/>
      <c r="LD65" s="169"/>
      <c r="LE65" s="164"/>
      <c r="LF65" s="164"/>
      <c r="LG65" s="164"/>
      <c r="LH65" s="164"/>
      <c r="LI65" s="164"/>
      <c r="LJ65" s="164"/>
      <c r="LK65" s="164"/>
      <c r="LL65" s="164"/>
      <c r="LM65" s="164"/>
      <c r="LN65" s="164"/>
      <c r="LO65" s="164"/>
      <c r="LP65" s="164"/>
      <c r="LQ65" s="164"/>
      <c r="LR65" s="164"/>
      <c r="LS65" s="164"/>
      <c r="LT65" s="164"/>
      <c r="LU65" s="164"/>
      <c r="LV65" s="164"/>
      <c r="LW65" s="164"/>
      <c r="LX65" s="164"/>
      <c r="LY65" s="164"/>
      <c r="LZ65" s="164"/>
      <c r="MA65" s="164"/>
      <c r="MB65" s="164"/>
      <c r="MC65" s="164"/>
      <c r="MD65" s="164"/>
      <c r="ME65" s="164"/>
      <c r="MF65" s="164"/>
      <c r="MG65" s="164"/>
      <c r="MH65" s="164"/>
      <c r="MI65" s="164"/>
      <c r="MJ65" s="164"/>
      <c r="MK65" s="164"/>
      <c r="ML65" s="164"/>
      <c r="MM65" s="164"/>
      <c r="MN65" s="164"/>
      <c r="MO65" s="164"/>
      <c r="MP65" s="191"/>
      <c r="MQ65" s="178"/>
      <c r="MR65" s="178"/>
      <c r="MS65" s="178"/>
      <c r="MT65" s="178"/>
      <c r="MU65" s="178"/>
      <c r="MV65" s="178"/>
      <c r="MW65" s="178"/>
      <c r="MX65" s="178"/>
      <c r="MY65" s="178"/>
      <c r="MZ65" s="178"/>
      <c r="NA65" s="178"/>
      <c r="NB65" s="178"/>
      <c r="NC65" s="178"/>
      <c r="ND65" s="178"/>
      <c r="NE65" s="178"/>
      <c r="NF65" s="178"/>
      <c r="NG65" s="178"/>
      <c r="NH65" s="178"/>
      <c r="NI65" s="178"/>
      <c r="NJ65" s="178"/>
      <c r="NK65" s="178"/>
      <c r="NL65" s="178"/>
      <c r="NM65" s="178"/>
      <c r="NN65" s="178"/>
      <c r="NO65" s="178"/>
      <c r="NP65" s="178"/>
      <c r="NQ65" s="178"/>
      <c r="NR65" s="178"/>
      <c r="NS65" s="178"/>
      <c r="NT65" s="178"/>
      <c r="NU65" s="178"/>
      <c r="NV65" s="178"/>
      <c r="NW65" s="178"/>
      <c r="NX65" s="178"/>
      <c r="NY65" s="178"/>
      <c r="NZ65" s="178"/>
      <c r="OA65" s="178"/>
      <c r="OB65" s="178"/>
      <c r="OC65" s="178"/>
      <c r="OD65" s="178"/>
      <c r="OE65" s="178"/>
      <c r="OF65" s="178"/>
      <c r="OG65" s="178"/>
      <c r="OH65" s="178"/>
      <c r="OI65" s="178"/>
      <c r="OJ65" s="178"/>
      <c r="OK65" s="178"/>
      <c r="OL65" s="178"/>
      <c r="OM65" s="178"/>
      <c r="ON65" s="178"/>
      <c r="QQ65" s="165"/>
      <c r="QR65" s="166"/>
    </row>
    <row r="66" spans="3:465" ht="5.15" customHeight="1" x14ac:dyDescent="0.35">
      <c r="C66" s="161"/>
      <c r="D66" s="162"/>
      <c r="E66" s="164"/>
      <c r="I66" s="333"/>
      <c r="J66" s="334"/>
      <c r="K66" s="334"/>
      <c r="L66" s="334"/>
      <c r="M66" s="334"/>
      <c r="N66" s="334"/>
      <c r="O66" s="334"/>
      <c r="P66" s="334"/>
      <c r="Q66" s="334"/>
      <c r="R66" s="334"/>
      <c r="S66" s="334"/>
      <c r="T66" s="334"/>
      <c r="U66" s="334"/>
      <c r="V66" s="334"/>
      <c r="W66" s="334"/>
      <c r="X66" s="334"/>
      <c r="Y66" s="334"/>
      <c r="Z66" s="334"/>
      <c r="AA66" s="334"/>
      <c r="AB66" s="334"/>
      <c r="AC66" s="334"/>
      <c r="AD66" s="334"/>
      <c r="AE66" s="334"/>
      <c r="AF66" s="334"/>
      <c r="AG66" s="334"/>
      <c r="AH66" s="334"/>
      <c r="AI66" s="334"/>
      <c r="AJ66" s="334"/>
      <c r="AK66" s="334"/>
      <c r="AL66" s="334"/>
      <c r="AM66" s="334"/>
      <c r="AN66" s="334"/>
      <c r="AO66" s="334"/>
      <c r="AP66" s="334"/>
      <c r="AQ66" s="334"/>
      <c r="AR66" s="334"/>
      <c r="AS66" s="334"/>
      <c r="AT66" s="334"/>
      <c r="AU66" s="334"/>
      <c r="AV66" s="334"/>
      <c r="AW66" s="341"/>
      <c r="AX66" s="346"/>
      <c r="AY66" s="347"/>
      <c r="AZ66" s="347"/>
      <c r="BA66" s="347"/>
      <c r="BB66" s="348"/>
      <c r="BC66" s="164"/>
      <c r="BD66" s="164"/>
      <c r="CB66" s="164"/>
      <c r="CC66" s="164"/>
      <c r="DZ66" s="164"/>
      <c r="EA66" s="164"/>
      <c r="EB66" s="164"/>
      <c r="EC66" s="164"/>
      <c r="ED66" s="169"/>
      <c r="EE66" s="164"/>
      <c r="EF66" s="164"/>
      <c r="EG66" s="164"/>
      <c r="EH66" s="164"/>
      <c r="EI66" s="164"/>
      <c r="EJ66" s="164"/>
      <c r="EK66" s="164"/>
      <c r="EL66" s="164"/>
      <c r="EM66" s="164"/>
      <c r="EN66" s="164"/>
      <c r="EO66" s="164"/>
      <c r="EP66" s="164"/>
      <c r="EQ66" s="164"/>
      <c r="ER66" s="164"/>
      <c r="ES66" s="164"/>
      <c r="ET66" s="164"/>
      <c r="EU66" s="164"/>
      <c r="EV66" s="164"/>
      <c r="EW66" s="164"/>
      <c r="EX66" s="164"/>
      <c r="EY66" s="164"/>
      <c r="EZ66" s="164"/>
      <c r="FA66" s="164"/>
      <c r="FB66" s="164"/>
      <c r="GO66" s="164"/>
      <c r="GP66" s="164"/>
      <c r="GQ66" s="164"/>
      <c r="GR66" s="164"/>
      <c r="GS66" s="164"/>
      <c r="GT66" s="164"/>
      <c r="GU66" s="164"/>
      <c r="GV66" s="164"/>
      <c r="GW66" s="164"/>
      <c r="GX66" s="164"/>
      <c r="GY66" s="164"/>
      <c r="GZ66" s="164"/>
      <c r="HA66" s="164"/>
      <c r="HB66" s="164"/>
      <c r="HC66" s="164"/>
      <c r="IX66" s="164"/>
      <c r="IY66" s="164"/>
      <c r="IZ66" s="164"/>
      <c r="JA66" s="164"/>
      <c r="JB66" s="164"/>
      <c r="JC66" s="164"/>
      <c r="JD66" s="164"/>
      <c r="JE66" s="164"/>
      <c r="JF66" s="164"/>
      <c r="JG66" s="164"/>
      <c r="JH66" s="164"/>
      <c r="JI66" s="164"/>
      <c r="JJ66" s="164"/>
      <c r="JK66" s="164"/>
      <c r="JL66" s="164"/>
      <c r="JM66" s="164"/>
      <c r="JN66" s="164"/>
      <c r="JO66" s="164"/>
      <c r="JP66" s="164"/>
      <c r="JQ66" s="164"/>
      <c r="JR66" s="164"/>
      <c r="JS66" s="164"/>
      <c r="JT66" s="164"/>
      <c r="JU66" s="164"/>
      <c r="JV66" s="164"/>
      <c r="JW66" s="164"/>
      <c r="JX66" s="164"/>
      <c r="JY66" s="164"/>
      <c r="JZ66" s="164"/>
      <c r="KA66" s="164"/>
      <c r="KB66" s="164"/>
      <c r="KC66" s="164"/>
      <c r="KD66" s="164"/>
      <c r="KE66" s="164"/>
      <c r="KF66" s="164"/>
      <c r="KG66" s="164"/>
      <c r="KH66" s="164"/>
      <c r="KI66" s="164"/>
      <c r="KJ66" s="164"/>
      <c r="KK66" s="164"/>
      <c r="KL66" s="164"/>
      <c r="KM66" s="164"/>
      <c r="KN66" s="164"/>
      <c r="KO66" s="164"/>
      <c r="KP66" s="164"/>
      <c r="KQ66" s="164"/>
      <c r="KR66" s="164"/>
      <c r="KS66" s="164"/>
      <c r="KT66" s="164"/>
      <c r="KU66" s="164"/>
      <c r="KV66" s="164"/>
      <c r="KW66" s="164"/>
      <c r="KX66" s="164"/>
      <c r="KY66" s="164"/>
      <c r="KZ66" s="164"/>
      <c r="LA66" s="164"/>
      <c r="LB66" s="164"/>
      <c r="LC66" s="164"/>
      <c r="LD66" s="169"/>
      <c r="LE66" s="164"/>
      <c r="LF66" s="164"/>
      <c r="LG66" s="164"/>
      <c r="LH66" s="164"/>
      <c r="LI66" s="164"/>
      <c r="LJ66" s="164"/>
      <c r="LK66" s="164"/>
      <c r="LL66" s="164"/>
      <c r="LM66" s="164"/>
      <c r="LN66" s="164"/>
      <c r="LO66" s="164"/>
      <c r="LP66" s="164"/>
      <c r="LQ66" s="164"/>
      <c r="LR66" s="164"/>
      <c r="LS66" s="164"/>
      <c r="LT66" s="164"/>
      <c r="LU66" s="164"/>
      <c r="LV66" s="164"/>
      <c r="LW66" s="164"/>
      <c r="LX66" s="164"/>
      <c r="LY66" s="164"/>
      <c r="LZ66" s="164"/>
      <c r="MA66" s="164"/>
      <c r="MB66" s="164"/>
      <c r="MC66" s="164"/>
      <c r="MD66" s="164"/>
      <c r="ME66" s="164"/>
      <c r="MF66" s="164"/>
      <c r="MG66" s="164"/>
      <c r="MH66" s="164"/>
      <c r="MI66" s="164"/>
      <c r="MJ66" s="164"/>
      <c r="MK66" s="164"/>
      <c r="ML66" s="164"/>
      <c r="MM66" s="164"/>
      <c r="MN66" s="164"/>
      <c r="MO66" s="164"/>
      <c r="MP66" s="178"/>
      <c r="MQ66" s="178"/>
      <c r="MR66" s="178"/>
      <c r="MS66" s="178"/>
      <c r="MT66" s="178"/>
      <c r="MU66" s="178"/>
      <c r="MV66" s="178"/>
      <c r="MW66" s="178"/>
      <c r="MX66" s="178"/>
      <c r="MY66" s="178"/>
      <c r="MZ66" s="178"/>
      <c r="NA66" s="178"/>
      <c r="NB66" s="178"/>
      <c r="NC66" s="178"/>
      <c r="ND66" s="178"/>
      <c r="NE66" s="178"/>
      <c r="NF66" s="178"/>
      <c r="NG66" s="178"/>
      <c r="NH66" s="178"/>
      <c r="NI66" s="178"/>
      <c r="NJ66" s="178"/>
      <c r="NK66" s="178"/>
      <c r="NL66" s="178"/>
      <c r="NM66" s="178"/>
      <c r="NN66" s="178"/>
      <c r="NO66" s="178"/>
      <c r="NP66" s="178"/>
      <c r="NQ66" s="178"/>
      <c r="NR66" s="178"/>
      <c r="NS66" s="178"/>
      <c r="NT66" s="178"/>
      <c r="NU66" s="178"/>
      <c r="NV66" s="178"/>
      <c r="NW66" s="178"/>
      <c r="NX66" s="178"/>
      <c r="NY66" s="178"/>
      <c r="NZ66" s="178"/>
      <c r="OA66" s="178"/>
      <c r="OB66" s="178"/>
      <c r="OC66" s="178"/>
      <c r="OD66" s="178"/>
      <c r="OE66" s="178"/>
      <c r="OF66" s="178"/>
      <c r="OG66" s="178"/>
      <c r="OH66" s="178"/>
      <c r="OI66" s="178"/>
      <c r="OJ66" s="178"/>
      <c r="OK66" s="178"/>
      <c r="OL66" s="178"/>
      <c r="OM66" s="178"/>
      <c r="ON66" s="178"/>
      <c r="QM66" s="164"/>
      <c r="QO66" s="164"/>
      <c r="QP66" s="164"/>
      <c r="QQ66" s="165"/>
      <c r="QR66" s="166"/>
    </row>
    <row r="67" spans="3:465" ht="5.15" customHeight="1" x14ac:dyDescent="0.35">
      <c r="C67" s="161"/>
      <c r="D67" s="162"/>
      <c r="E67" s="164"/>
      <c r="I67" s="333"/>
      <c r="J67" s="334"/>
      <c r="K67" s="334"/>
      <c r="L67" s="334"/>
      <c r="M67" s="334"/>
      <c r="N67" s="334"/>
      <c r="O67" s="334"/>
      <c r="P67" s="334"/>
      <c r="Q67" s="334"/>
      <c r="R67" s="334"/>
      <c r="S67" s="334"/>
      <c r="T67" s="334"/>
      <c r="U67" s="334"/>
      <c r="V67" s="334"/>
      <c r="W67" s="334"/>
      <c r="X67" s="334"/>
      <c r="Y67" s="334"/>
      <c r="Z67" s="334"/>
      <c r="AA67" s="334"/>
      <c r="AB67" s="334"/>
      <c r="AC67" s="334"/>
      <c r="AD67" s="334"/>
      <c r="AE67" s="334"/>
      <c r="AF67" s="334"/>
      <c r="AG67" s="334"/>
      <c r="AH67" s="334"/>
      <c r="AI67" s="334"/>
      <c r="AJ67" s="334"/>
      <c r="AK67" s="334"/>
      <c r="AL67" s="334"/>
      <c r="AM67" s="334"/>
      <c r="AN67" s="334"/>
      <c r="AO67" s="334"/>
      <c r="AP67" s="334"/>
      <c r="AQ67" s="334"/>
      <c r="AR67" s="334"/>
      <c r="AS67" s="334"/>
      <c r="AT67" s="334"/>
      <c r="AU67" s="334"/>
      <c r="AV67" s="334"/>
      <c r="AW67" s="341"/>
      <c r="AX67" s="346"/>
      <c r="AY67" s="347"/>
      <c r="AZ67" s="347"/>
      <c r="BA67" s="347"/>
      <c r="BB67" s="348"/>
      <c r="BC67" s="164"/>
      <c r="BD67" s="164"/>
      <c r="CB67" s="164"/>
      <c r="CC67" s="164"/>
      <c r="DZ67" s="164"/>
      <c r="EA67" s="164"/>
      <c r="EB67" s="164"/>
      <c r="EC67" s="164"/>
      <c r="ED67" s="169"/>
      <c r="EE67" s="164"/>
      <c r="EF67" s="164"/>
      <c r="EG67" s="164"/>
      <c r="EH67" s="164"/>
      <c r="EI67" s="164"/>
      <c r="EJ67" s="164"/>
      <c r="EK67" s="164"/>
      <c r="EL67" s="164"/>
      <c r="EM67" s="164"/>
      <c r="EN67" s="164"/>
      <c r="EO67" s="164"/>
      <c r="EP67" s="164"/>
      <c r="EQ67" s="164"/>
      <c r="ER67" s="164"/>
      <c r="ES67" s="164"/>
      <c r="ET67" s="164"/>
      <c r="EU67" s="164"/>
      <c r="EV67" s="164"/>
      <c r="EW67" s="164"/>
      <c r="EX67" s="164"/>
      <c r="EY67" s="164"/>
      <c r="EZ67" s="164"/>
      <c r="FA67" s="164"/>
      <c r="FB67" s="164"/>
      <c r="GO67" s="164"/>
      <c r="GP67" s="164"/>
      <c r="GQ67" s="164"/>
      <c r="GR67" s="164"/>
      <c r="GS67" s="164"/>
      <c r="GT67" s="164"/>
      <c r="GU67" s="164"/>
      <c r="GV67" s="164"/>
      <c r="GW67" s="164"/>
      <c r="GX67" s="164"/>
      <c r="GY67" s="164"/>
      <c r="GZ67" s="164"/>
      <c r="HA67" s="164"/>
      <c r="HB67" s="164"/>
      <c r="HC67" s="164"/>
      <c r="IX67" s="164"/>
      <c r="IY67" s="164"/>
      <c r="IZ67" s="164"/>
      <c r="JA67" s="164"/>
      <c r="JB67" s="164"/>
      <c r="JC67" s="164"/>
      <c r="JD67" s="164"/>
      <c r="JE67" s="164"/>
      <c r="JF67" s="164"/>
      <c r="JG67" s="164"/>
      <c r="JH67" s="164"/>
      <c r="JI67" s="164"/>
      <c r="JJ67" s="164"/>
      <c r="JK67" s="164"/>
      <c r="JL67" s="164"/>
      <c r="JM67" s="164"/>
      <c r="JN67" s="164"/>
      <c r="JO67" s="164"/>
      <c r="JP67" s="164"/>
      <c r="JQ67" s="164"/>
      <c r="JR67" s="164"/>
      <c r="JS67" s="164"/>
      <c r="JT67" s="164"/>
      <c r="JU67" s="164"/>
      <c r="JV67" s="164"/>
      <c r="JW67" s="164"/>
      <c r="JX67" s="164"/>
      <c r="JY67" s="164"/>
      <c r="JZ67" s="164"/>
      <c r="KA67" s="164"/>
      <c r="KB67" s="164"/>
      <c r="KC67" s="164"/>
      <c r="KD67" s="164"/>
      <c r="KE67" s="164"/>
      <c r="KF67" s="164"/>
      <c r="KG67" s="164"/>
      <c r="KH67" s="164"/>
      <c r="KI67" s="164"/>
      <c r="KJ67" s="164"/>
      <c r="KK67" s="164"/>
      <c r="KL67" s="164"/>
      <c r="KS67" s="164"/>
      <c r="KT67" s="164"/>
      <c r="KU67" s="164"/>
      <c r="KV67" s="164"/>
      <c r="KW67" s="164"/>
      <c r="KX67" s="164"/>
      <c r="KY67" s="164"/>
      <c r="KZ67" s="164"/>
      <c r="LA67" s="164"/>
      <c r="LB67" s="164"/>
      <c r="LC67" s="164"/>
      <c r="LD67" s="169"/>
      <c r="LE67" s="164"/>
      <c r="LF67" s="164"/>
      <c r="LG67" s="164"/>
      <c r="LH67" s="164"/>
      <c r="LI67" s="164"/>
      <c r="LJ67" s="164"/>
      <c r="LK67" s="164"/>
      <c r="LL67" s="164"/>
      <c r="LM67" s="164"/>
      <c r="LN67" s="164"/>
      <c r="LO67" s="164"/>
      <c r="LP67" s="164"/>
      <c r="LQ67" s="164"/>
      <c r="LR67" s="164"/>
      <c r="LS67" s="164"/>
      <c r="LT67" s="164"/>
      <c r="LU67" s="164"/>
      <c r="LV67" s="164"/>
      <c r="LW67" s="164"/>
      <c r="LX67" s="164"/>
      <c r="LY67" s="164"/>
      <c r="LZ67" s="164"/>
      <c r="MA67" s="164"/>
      <c r="MB67" s="164"/>
      <c r="MC67" s="164"/>
      <c r="MD67" s="164"/>
      <c r="ME67" s="164"/>
      <c r="MF67" s="164"/>
      <c r="MG67" s="164"/>
      <c r="MH67" s="164"/>
      <c r="MI67" s="164"/>
      <c r="MJ67" s="164"/>
      <c r="MK67" s="164"/>
      <c r="ML67" s="164"/>
      <c r="MM67" s="164"/>
      <c r="MN67" s="164"/>
      <c r="MO67" s="164"/>
      <c r="MP67" s="178"/>
      <c r="MQ67" s="178"/>
      <c r="MR67" s="178"/>
      <c r="MS67" s="178"/>
      <c r="MT67" s="178"/>
      <c r="MU67" s="178"/>
      <c r="MV67" s="178"/>
      <c r="MW67" s="178"/>
      <c r="MX67" s="178"/>
      <c r="MY67" s="178"/>
      <c r="MZ67" s="178"/>
      <c r="NA67" s="178"/>
      <c r="NB67" s="178"/>
      <c r="NC67" s="178"/>
      <c r="ND67" s="178"/>
      <c r="NE67" s="178"/>
      <c r="NF67" s="178"/>
      <c r="NG67" s="178"/>
      <c r="NH67" s="178"/>
      <c r="NI67" s="178"/>
      <c r="NJ67" s="178"/>
      <c r="NK67" s="178"/>
      <c r="NL67" s="178"/>
      <c r="NM67" s="178"/>
      <c r="NN67" s="178"/>
      <c r="NO67" s="178"/>
      <c r="NP67" s="178"/>
      <c r="NQ67" s="178"/>
      <c r="NR67" s="178"/>
      <c r="NS67" s="178"/>
      <c r="NT67" s="178"/>
      <c r="NU67" s="178"/>
      <c r="NV67" s="178"/>
      <c r="NW67" s="178"/>
      <c r="NX67" s="178"/>
      <c r="NY67" s="178"/>
      <c r="NZ67" s="178"/>
      <c r="OA67" s="178"/>
      <c r="OB67" s="178"/>
      <c r="OC67" s="178"/>
      <c r="OD67" s="178"/>
      <c r="OE67" s="178"/>
      <c r="OF67" s="178"/>
      <c r="OG67" s="178"/>
      <c r="OH67" s="178"/>
      <c r="OI67" s="178"/>
      <c r="OJ67" s="178"/>
      <c r="OK67" s="178"/>
      <c r="OL67" s="178"/>
      <c r="OM67" s="178"/>
      <c r="ON67" s="178"/>
      <c r="QQ67" s="165"/>
      <c r="QR67" s="166"/>
    </row>
    <row r="68" spans="3:465" ht="5.15" customHeight="1" x14ac:dyDescent="0.35">
      <c r="C68" s="161"/>
      <c r="D68" s="162"/>
      <c r="E68" s="164"/>
      <c r="I68" s="336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7"/>
      <c r="AD68" s="337"/>
      <c r="AE68" s="337"/>
      <c r="AF68" s="337"/>
      <c r="AG68" s="337"/>
      <c r="AH68" s="337"/>
      <c r="AI68" s="337"/>
      <c r="AJ68" s="337"/>
      <c r="AK68" s="337"/>
      <c r="AL68" s="337"/>
      <c r="AM68" s="337"/>
      <c r="AN68" s="337"/>
      <c r="AO68" s="337"/>
      <c r="AP68" s="337"/>
      <c r="AQ68" s="337"/>
      <c r="AR68" s="337"/>
      <c r="AS68" s="337"/>
      <c r="AT68" s="337"/>
      <c r="AU68" s="337"/>
      <c r="AV68" s="337"/>
      <c r="AW68" s="342"/>
      <c r="AX68" s="349"/>
      <c r="AY68" s="350"/>
      <c r="AZ68" s="350"/>
      <c r="BA68" s="350"/>
      <c r="BB68" s="351"/>
      <c r="BC68" s="164"/>
      <c r="BD68" s="164"/>
      <c r="CB68" s="164"/>
      <c r="CC68" s="164"/>
      <c r="DZ68" s="164"/>
      <c r="EA68" s="164"/>
      <c r="EB68" s="164"/>
      <c r="EC68" s="164"/>
      <c r="ED68" s="169"/>
      <c r="EE68" s="164"/>
      <c r="EF68" s="164"/>
      <c r="EG68" s="164"/>
      <c r="EH68" s="164"/>
      <c r="EI68" s="164"/>
      <c r="EJ68" s="164"/>
      <c r="EK68" s="164"/>
      <c r="EL68" s="164"/>
      <c r="EM68" s="164"/>
      <c r="EN68" s="164"/>
      <c r="EO68" s="164"/>
      <c r="EP68" s="164"/>
      <c r="EQ68" s="164"/>
      <c r="ER68" s="164"/>
      <c r="ES68" s="164"/>
      <c r="GO68" s="164"/>
      <c r="GP68" s="164"/>
      <c r="GQ68" s="164"/>
      <c r="GR68" s="164"/>
      <c r="GS68" s="164"/>
      <c r="GT68" s="164"/>
      <c r="GU68" s="164"/>
      <c r="GV68" s="164"/>
      <c r="GW68" s="164"/>
      <c r="GX68" s="164"/>
      <c r="GY68" s="164"/>
      <c r="GZ68" s="164"/>
      <c r="HA68" s="164"/>
      <c r="HB68" s="164"/>
      <c r="HC68" s="164"/>
      <c r="IX68" s="164"/>
      <c r="IY68" s="164"/>
      <c r="IZ68" s="164"/>
      <c r="JA68" s="164"/>
      <c r="JB68" s="164"/>
      <c r="JC68" s="164"/>
      <c r="JD68" s="164"/>
      <c r="JE68" s="164"/>
      <c r="JF68" s="164"/>
      <c r="JG68" s="164"/>
      <c r="JH68" s="164"/>
      <c r="JI68" s="164"/>
      <c r="JJ68" s="164"/>
      <c r="JK68" s="164"/>
      <c r="JL68" s="164"/>
      <c r="JM68" s="164"/>
      <c r="JN68" s="164"/>
      <c r="JO68" s="164"/>
      <c r="JP68" s="164"/>
      <c r="JQ68" s="164"/>
      <c r="JR68" s="164"/>
      <c r="JS68" s="164"/>
      <c r="JT68" s="164"/>
      <c r="JU68" s="164"/>
      <c r="JV68" s="164"/>
      <c r="JW68" s="164"/>
      <c r="JX68" s="164"/>
      <c r="JY68" s="164"/>
      <c r="JZ68" s="164"/>
      <c r="KA68" s="164"/>
      <c r="KB68" s="164"/>
      <c r="KC68" s="164"/>
      <c r="KD68" s="164"/>
      <c r="KE68" s="164"/>
      <c r="KF68" s="164"/>
      <c r="KG68" s="164"/>
      <c r="KH68" s="164"/>
      <c r="KI68" s="164"/>
      <c r="KJ68" s="164"/>
      <c r="KK68" s="164"/>
      <c r="KL68" s="164"/>
      <c r="KS68" s="164"/>
      <c r="KT68" s="164"/>
      <c r="KU68" s="164"/>
      <c r="KV68" s="164"/>
      <c r="KW68" s="164"/>
      <c r="KX68" s="164"/>
      <c r="KY68" s="164"/>
      <c r="KZ68" s="164"/>
      <c r="LA68" s="164"/>
      <c r="LB68" s="164"/>
      <c r="LC68" s="164"/>
      <c r="LD68" s="169"/>
      <c r="LE68" s="164"/>
      <c r="LF68" s="164"/>
      <c r="LG68" s="164"/>
      <c r="LH68" s="164"/>
      <c r="LI68" s="164"/>
      <c r="LJ68" s="164"/>
      <c r="LK68" s="164"/>
      <c r="LL68" s="164"/>
      <c r="LM68" s="164"/>
      <c r="LN68" s="164"/>
      <c r="LO68" s="164"/>
      <c r="LP68" s="164"/>
      <c r="LQ68" s="164"/>
      <c r="LR68" s="164"/>
      <c r="LS68" s="164"/>
      <c r="LT68" s="164"/>
      <c r="LU68" s="164"/>
      <c r="LV68" s="164"/>
      <c r="LW68" s="164"/>
      <c r="LX68" s="164"/>
      <c r="LY68" s="164"/>
      <c r="LZ68" s="164"/>
      <c r="MA68" s="164"/>
      <c r="MB68" s="164"/>
      <c r="MC68" s="164"/>
      <c r="MD68" s="164"/>
      <c r="ME68" s="164"/>
      <c r="MF68" s="164"/>
      <c r="MG68" s="164"/>
      <c r="MH68" s="164"/>
      <c r="MI68" s="164"/>
      <c r="MJ68" s="164"/>
      <c r="MK68" s="164"/>
      <c r="ML68" s="164"/>
      <c r="MM68" s="164"/>
      <c r="MN68" s="164"/>
      <c r="MP68" s="178"/>
      <c r="MQ68" s="178"/>
      <c r="MR68" s="178"/>
      <c r="MS68" s="178"/>
      <c r="MT68" s="178"/>
      <c r="MU68" s="178"/>
      <c r="MV68" s="178"/>
      <c r="MW68" s="178"/>
      <c r="MX68" s="178"/>
      <c r="MY68" s="178"/>
      <c r="MZ68" s="178"/>
      <c r="NA68" s="178"/>
      <c r="NB68" s="178"/>
      <c r="NC68" s="178"/>
      <c r="ND68" s="178"/>
      <c r="NE68" s="178"/>
      <c r="NF68" s="178"/>
      <c r="NG68" s="178"/>
      <c r="NH68" s="178"/>
      <c r="NI68" s="178"/>
      <c r="NJ68" s="178"/>
      <c r="NK68" s="178"/>
      <c r="NL68" s="178"/>
      <c r="NM68" s="178"/>
      <c r="NN68" s="178"/>
      <c r="NO68" s="178"/>
      <c r="NP68" s="178"/>
      <c r="NQ68" s="178"/>
      <c r="NR68" s="178"/>
      <c r="NS68" s="178"/>
      <c r="NT68" s="178"/>
      <c r="NU68" s="178"/>
      <c r="NV68" s="178"/>
      <c r="NW68" s="178"/>
      <c r="NX68" s="178"/>
      <c r="NY68" s="178"/>
      <c r="NZ68" s="178"/>
      <c r="OA68" s="178"/>
      <c r="OB68" s="178"/>
      <c r="OC68" s="178"/>
      <c r="OD68" s="178"/>
      <c r="OE68" s="178"/>
      <c r="OF68" s="178"/>
      <c r="OG68" s="178"/>
      <c r="OH68" s="178"/>
      <c r="OI68" s="178"/>
      <c r="OJ68" s="178"/>
      <c r="OK68" s="178"/>
      <c r="OL68" s="178"/>
      <c r="OM68" s="178"/>
      <c r="ON68" s="178"/>
      <c r="QQ68" s="165"/>
      <c r="QR68" s="166"/>
    </row>
    <row r="69" spans="3:465" ht="5.15" customHeight="1" x14ac:dyDescent="0.35">
      <c r="C69" s="161"/>
      <c r="D69" s="162"/>
      <c r="E69" s="164"/>
      <c r="H69" s="164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2"/>
      <c r="AB69" s="182"/>
      <c r="AC69" s="182"/>
      <c r="AD69" s="182"/>
      <c r="AE69" s="183"/>
      <c r="BC69" s="164"/>
      <c r="BD69" s="164"/>
      <c r="CB69" s="164"/>
      <c r="CC69" s="164"/>
      <c r="DZ69" s="164"/>
      <c r="EA69" s="164"/>
      <c r="EB69" s="164"/>
      <c r="EC69" s="164"/>
      <c r="ED69" s="169"/>
      <c r="EE69" s="164"/>
      <c r="EF69" s="164"/>
      <c r="EG69" s="164"/>
      <c r="EH69" s="164"/>
      <c r="EI69" s="164"/>
      <c r="EJ69" s="164"/>
      <c r="EK69" s="164"/>
      <c r="EL69" s="164"/>
      <c r="EM69" s="164"/>
      <c r="EN69" s="164"/>
      <c r="EO69" s="164"/>
      <c r="EP69" s="164"/>
      <c r="EQ69" s="164"/>
      <c r="ER69" s="164"/>
      <c r="ES69" s="164"/>
      <c r="GO69" s="164"/>
      <c r="GP69" s="164"/>
      <c r="GQ69" s="164"/>
      <c r="GR69" s="164"/>
      <c r="GS69" s="164"/>
      <c r="GT69" s="164"/>
      <c r="GU69" s="164"/>
      <c r="GV69" s="164"/>
      <c r="GW69" s="164"/>
      <c r="GX69" s="164"/>
      <c r="GY69" s="164"/>
      <c r="GZ69" s="164"/>
      <c r="HA69" s="164"/>
      <c r="HB69" s="164"/>
      <c r="IX69" s="164"/>
      <c r="IY69" s="164"/>
      <c r="IZ69" s="164"/>
      <c r="JA69" s="164"/>
      <c r="JB69" s="164"/>
      <c r="JC69" s="164"/>
      <c r="JD69" s="164"/>
      <c r="JE69" s="164"/>
      <c r="JF69" s="164"/>
      <c r="JG69" s="164"/>
      <c r="JH69" s="164"/>
      <c r="JI69" s="164"/>
      <c r="JJ69" s="164"/>
      <c r="JK69" s="164"/>
      <c r="JL69" s="164"/>
      <c r="JM69" s="164"/>
      <c r="JN69" s="164"/>
      <c r="JO69" s="164"/>
      <c r="JP69" s="164"/>
      <c r="JQ69" s="164"/>
      <c r="JR69" s="164"/>
      <c r="JS69" s="164"/>
      <c r="JT69" s="164"/>
      <c r="JU69" s="164"/>
      <c r="JV69" s="164"/>
      <c r="JW69" s="164"/>
      <c r="JX69" s="164"/>
      <c r="JY69" s="164"/>
      <c r="JZ69" s="164"/>
      <c r="KA69" s="164"/>
      <c r="KB69" s="164"/>
      <c r="KC69" s="164"/>
      <c r="KD69" s="164"/>
      <c r="KE69" s="164"/>
      <c r="KF69" s="164"/>
      <c r="KG69" s="164"/>
      <c r="KH69" s="164"/>
      <c r="KI69" s="164"/>
      <c r="KJ69" s="164"/>
      <c r="KK69" s="164"/>
      <c r="KL69" s="164"/>
      <c r="KS69" s="164"/>
      <c r="KT69" s="164"/>
      <c r="KU69" s="164"/>
      <c r="KV69" s="164"/>
      <c r="KW69" s="164"/>
      <c r="KX69" s="164"/>
      <c r="KY69" s="164"/>
      <c r="KZ69" s="164"/>
      <c r="LA69" s="164"/>
      <c r="LB69" s="164"/>
      <c r="LC69" s="164"/>
      <c r="LD69" s="169"/>
      <c r="LE69" s="164"/>
      <c r="LF69" s="164"/>
      <c r="LG69" s="164"/>
      <c r="LH69" s="164"/>
      <c r="LI69" s="164"/>
      <c r="LJ69" s="164"/>
      <c r="LK69" s="164"/>
      <c r="LL69" s="164"/>
      <c r="LM69" s="164"/>
      <c r="LN69" s="164"/>
      <c r="LO69" s="164"/>
      <c r="LP69" s="164"/>
      <c r="LQ69" s="164"/>
      <c r="LR69" s="164"/>
      <c r="LS69" s="164"/>
      <c r="LT69" s="164"/>
      <c r="LU69" s="164"/>
      <c r="LV69" s="164"/>
      <c r="LW69" s="164"/>
      <c r="LX69" s="164"/>
      <c r="LY69" s="164"/>
      <c r="LZ69" s="164"/>
      <c r="MA69" s="164"/>
      <c r="MB69" s="164"/>
      <c r="MC69" s="164"/>
      <c r="MD69" s="164"/>
      <c r="ME69" s="164"/>
      <c r="MF69" s="164"/>
      <c r="MG69" s="164"/>
      <c r="MH69" s="164"/>
      <c r="MI69" s="164"/>
      <c r="MJ69" s="164"/>
      <c r="MK69" s="164"/>
      <c r="MP69" s="178"/>
      <c r="MQ69" s="178"/>
      <c r="MR69" s="178"/>
      <c r="MS69" s="178"/>
      <c r="MT69" s="178"/>
      <c r="MU69" s="178"/>
      <c r="MV69" s="178"/>
      <c r="MW69" s="178"/>
      <c r="MX69" s="178"/>
      <c r="MY69" s="178"/>
      <c r="MZ69" s="178"/>
      <c r="NA69" s="178"/>
      <c r="NB69" s="178"/>
      <c r="NC69" s="178"/>
      <c r="ND69" s="178"/>
      <c r="NE69" s="178"/>
      <c r="NF69" s="178"/>
      <c r="NG69" s="178"/>
      <c r="NH69" s="178"/>
      <c r="NI69" s="178"/>
      <c r="NJ69" s="178"/>
      <c r="NK69" s="178"/>
      <c r="NL69" s="178"/>
      <c r="NM69" s="178"/>
      <c r="NN69" s="178"/>
      <c r="NO69" s="178"/>
      <c r="NP69" s="178"/>
      <c r="NQ69" s="178"/>
      <c r="NR69" s="178"/>
      <c r="NS69" s="178"/>
      <c r="NT69" s="178"/>
      <c r="NU69" s="178"/>
      <c r="NV69" s="178"/>
      <c r="NW69" s="178"/>
      <c r="NX69" s="178"/>
      <c r="NY69" s="178"/>
      <c r="NZ69" s="178"/>
      <c r="OA69" s="178"/>
      <c r="OB69" s="178"/>
      <c r="OC69" s="178"/>
      <c r="OD69" s="178"/>
      <c r="OE69" s="178"/>
      <c r="OF69" s="178"/>
      <c r="OG69" s="178"/>
      <c r="OH69" s="178"/>
      <c r="OI69" s="178"/>
      <c r="OJ69" s="178"/>
      <c r="OK69" s="178"/>
      <c r="OL69" s="178"/>
      <c r="OM69" s="178"/>
      <c r="ON69" s="178"/>
      <c r="QM69" s="164"/>
      <c r="QN69" s="163"/>
      <c r="QO69" s="164"/>
      <c r="QP69" s="164"/>
      <c r="QQ69" s="165"/>
      <c r="QR69" s="166"/>
      <c r="QT69" s="189"/>
      <c r="QU69" s="189"/>
      <c r="QV69" s="189"/>
      <c r="QW69" s="190"/>
    </row>
    <row r="70" spans="3:465" ht="5.15" customHeight="1" x14ac:dyDescent="0.35">
      <c r="C70" s="161"/>
      <c r="D70" s="162"/>
      <c r="E70" s="164"/>
      <c r="H70" s="164"/>
      <c r="I70" s="330" t="s">
        <v>274</v>
      </c>
      <c r="J70" s="331"/>
      <c r="K70" s="331"/>
      <c r="L70" s="331"/>
      <c r="M70" s="331"/>
      <c r="N70" s="331"/>
      <c r="O70" s="331"/>
      <c r="P70" s="331"/>
      <c r="Q70" s="331"/>
      <c r="R70" s="331"/>
      <c r="S70" s="331"/>
      <c r="T70" s="331"/>
      <c r="U70" s="331"/>
      <c r="V70" s="331"/>
      <c r="W70" s="331"/>
      <c r="X70" s="331"/>
      <c r="Y70" s="331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  <c r="AM70" s="331"/>
      <c r="AN70" s="331"/>
      <c r="AO70" s="331"/>
      <c r="AP70" s="331"/>
      <c r="AQ70" s="331"/>
      <c r="AR70" s="331"/>
      <c r="AS70" s="331"/>
      <c r="AT70" s="331"/>
      <c r="AU70" s="331"/>
      <c r="AV70" s="331"/>
      <c r="AW70" s="340"/>
      <c r="AX70" s="343">
        <v>2</v>
      </c>
      <c r="AY70" s="344"/>
      <c r="AZ70" s="344"/>
      <c r="BA70" s="344"/>
      <c r="BB70" s="345"/>
      <c r="BC70" s="164"/>
      <c r="BD70" s="164"/>
      <c r="BZ70" s="312" t="s">
        <v>426</v>
      </c>
      <c r="CA70" s="312"/>
      <c r="CB70" s="312"/>
      <c r="CC70" s="312"/>
      <c r="CD70" s="312"/>
      <c r="CE70" s="312"/>
      <c r="CF70" s="312"/>
      <c r="CG70" s="312"/>
      <c r="CH70" s="312"/>
      <c r="CI70" s="312"/>
      <c r="CJ70" s="312"/>
      <c r="CK70" s="312"/>
      <c r="CL70" s="312"/>
      <c r="CM70" s="312"/>
      <c r="CN70" s="312"/>
      <c r="CO70" s="312"/>
      <c r="CP70" s="312"/>
      <c r="CQ70" s="312"/>
      <c r="CR70" s="312"/>
      <c r="CS70" s="312"/>
      <c r="CT70" s="312"/>
      <c r="CU70" s="312"/>
      <c r="CV70" s="312"/>
      <c r="CW70" s="312"/>
      <c r="CX70" s="312"/>
      <c r="CY70" s="312"/>
      <c r="CZ70" s="312"/>
      <c r="DA70" s="312"/>
      <c r="DB70" s="312"/>
      <c r="DC70" s="312"/>
      <c r="DD70" s="312"/>
      <c r="DE70" s="312"/>
      <c r="DF70" s="312"/>
      <c r="DG70" s="312"/>
      <c r="DH70" s="312"/>
      <c r="DI70" s="312"/>
      <c r="DJ70" s="312"/>
      <c r="DK70" s="312"/>
      <c r="DL70" s="312"/>
      <c r="DM70" s="312"/>
      <c r="DN70" s="311">
        <v>1</v>
      </c>
      <c r="DO70" s="311"/>
      <c r="DP70" s="311"/>
      <c r="DQ70" s="311"/>
      <c r="DR70" s="311"/>
      <c r="DS70" s="311"/>
      <c r="DZ70" s="164"/>
      <c r="EA70" s="164"/>
      <c r="EB70" s="164"/>
      <c r="EC70" s="164"/>
      <c r="ED70" s="169"/>
      <c r="EE70" s="164"/>
      <c r="EF70" s="164"/>
      <c r="EG70" s="164"/>
      <c r="EH70" s="164"/>
      <c r="EI70" s="164"/>
      <c r="EJ70" s="164"/>
      <c r="EK70" s="164"/>
      <c r="EL70" s="164"/>
      <c r="EM70" s="164"/>
      <c r="EN70" s="164"/>
      <c r="EO70" s="164"/>
      <c r="EP70" s="164"/>
      <c r="EQ70" s="164"/>
      <c r="ER70" s="164"/>
      <c r="ES70" s="164"/>
      <c r="GO70" s="164"/>
      <c r="GP70" s="164"/>
      <c r="GQ70" s="164"/>
      <c r="GR70" s="164"/>
      <c r="GS70" s="164"/>
      <c r="GT70" s="164"/>
      <c r="GU70" s="164"/>
      <c r="GV70" s="164"/>
      <c r="GW70" s="164"/>
      <c r="GX70" s="164"/>
      <c r="GY70" s="164"/>
      <c r="GZ70" s="164"/>
      <c r="HA70" s="164"/>
      <c r="HB70" s="164"/>
      <c r="IX70" s="164"/>
      <c r="IY70" s="164"/>
      <c r="IZ70" s="164"/>
      <c r="JA70" s="164"/>
      <c r="JB70" s="164"/>
      <c r="JC70" s="164"/>
      <c r="JD70" s="164"/>
      <c r="JE70" s="164"/>
      <c r="JF70" s="164"/>
      <c r="JG70" s="164"/>
      <c r="JH70" s="164"/>
      <c r="JI70" s="164"/>
      <c r="JJ70" s="164"/>
      <c r="JK70" s="164"/>
      <c r="JL70" s="164"/>
      <c r="JM70" s="164"/>
      <c r="JN70" s="164"/>
      <c r="JO70" s="164"/>
      <c r="JP70" s="164"/>
      <c r="JQ70" s="164"/>
      <c r="JR70" s="164"/>
      <c r="JS70" s="164"/>
      <c r="JT70" s="164"/>
      <c r="JU70" s="164"/>
      <c r="JV70" s="164"/>
      <c r="JW70" s="164"/>
      <c r="JX70" s="164"/>
      <c r="JY70" s="164"/>
      <c r="JZ70" s="164"/>
      <c r="KA70" s="164"/>
      <c r="KB70" s="164"/>
      <c r="KC70" s="164"/>
      <c r="KD70" s="164"/>
      <c r="KE70" s="164"/>
      <c r="KF70" s="164"/>
      <c r="KG70" s="164"/>
      <c r="KH70" s="164"/>
      <c r="KI70" s="164"/>
      <c r="KJ70" s="164"/>
      <c r="KK70" s="164"/>
      <c r="KL70" s="164"/>
      <c r="KS70" s="164"/>
      <c r="KT70" s="164"/>
      <c r="KU70" s="164"/>
      <c r="KV70" s="164"/>
      <c r="KW70" s="164"/>
      <c r="KX70" s="164"/>
      <c r="KY70" s="164"/>
      <c r="KZ70" s="164"/>
      <c r="LA70" s="164"/>
      <c r="LB70" s="164"/>
      <c r="LC70" s="164"/>
      <c r="LD70" s="169"/>
      <c r="LE70" s="164"/>
      <c r="LF70" s="164"/>
      <c r="LG70" s="164"/>
      <c r="LH70" s="164"/>
      <c r="LI70" s="164"/>
      <c r="LJ70" s="164"/>
      <c r="LK70" s="164"/>
      <c r="LL70" s="164"/>
      <c r="LM70" s="164"/>
      <c r="LN70" s="164"/>
      <c r="LO70" s="164"/>
      <c r="MP70" s="178"/>
      <c r="MQ70" s="178"/>
      <c r="MR70" s="178"/>
      <c r="MS70" s="178"/>
      <c r="MT70" s="178"/>
      <c r="MU70" s="178"/>
      <c r="MV70" s="178"/>
      <c r="MW70" s="178"/>
      <c r="MX70" s="178"/>
      <c r="MY70" s="178"/>
      <c r="MZ70" s="178"/>
      <c r="NA70" s="178"/>
      <c r="NB70" s="178"/>
      <c r="NC70" s="178"/>
      <c r="ND70" s="178"/>
      <c r="NE70" s="178"/>
      <c r="NF70" s="178"/>
      <c r="NG70" s="178"/>
      <c r="NH70" s="178"/>
      <c r="NI70" s="178"/>
      <c r="NJ70" s="178"/>
      <c r="NK70" s="178"/>
      <c r="NL70" s="178"/>
      <c r="NM70" s="178"/>
      <c r="NN70" s="178"/>
      <c r="NO70" s="178"/>
      <c r="NP70" s="178"/>
      <c r="NQ70" s="178"/>
      <c r="NR70" s="178"/>
      <c r="NS70" s="178"/>
      <c r="NT70" s="178"/>
      <c r="NU70" s="178"/>
      <c r="NV70" s="178"/>
      <c r="NW70" s="178"/>
      <c r="NX70" s="178"/>
      <c r="NY70" s="178"/>
      <c r="NZ70" s="178"/>
      <c r="OA70" s="178"/>
      <c r="OB70" s="178"/>
      <c r="OC70" s="178"/>
      <c r="OD70" s="178"/>
      <c r="OE70" s="178"/>
      <c r="OF70" s="178"/>
      <c r="OG70" s="178"/>
      <c r="OH70" s="178"/>
      <c r="OI70" s="178"/>
      <c r="OJ70" s="178"/>
      <c r="OK70" s="178"/>
      <c r="OL70" s="178"/>
      <c r="OM70" s="178"/>
      <c r="ON70" s="178"/>
      <c r="OO70" s="164"/>
      <c r="OP70" s="164"/>
      <c r="OQ70" s="164"/>
      <c r="OR70" s="164"/>
      <c r="OS70" s="164"/>
      <c r="OT70" s="164"/>
      <c r="OU70" s="164"/>
      <c r="OV70" s="164"/>
      <c r="OW70" s="164"/>
      <c r="OX70" s="164"/>
      <c r="OY70" s="164"/>
      <c r="OZ70" s="164"/>
      <c r="PA70" s="164"/>
      <c r="PB70" s="164"/>
      <c r="PC70" s="164"/>
      <c r="PD70" s="164"/>
      <c r="PE70" s="164"/>
      <c r="PF70" s="164"/>
      <c r="PG70" s="164"/>
      <c r="PH70" s="164"/>
      <c r="PI70" s="164"/>
      <c r="PJ70" s="164"/>
      <c r="PK70" s="164"/>
      <c r="PL70" s="164"/>
      <c r="PM70" s="164"/>
      <c r="PN70" s="164"/>
      <c r="PO70" s="164"/>
      <c r="QJ70" s="163"/>
      <c r="QK70" s="163"/>
      <c r="QL70" s="163"/>
      <c r="QN70" s="163"/>
      <c r="QQ70" s="165"/>
      <c r="QR70" s="166"/>
    </row>
    <row r="71" spans="3:465" ht="5.15" customHeight="1" x14ac:dyDescent="0.35">
      <c r="C71" s="161"/>
      <c r="D71" s="162"/>
      <c r="E71" s="164"/>
      <c r="H71" s="164"/>
      <c r="I71" s="333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4"/>
      <c r="W71" s="334"/>
      <c r="X71" s="334"/>
      <c r="Y71" s="334"/>
      <c r="Z71" s="334"/>
      <c r="AA71" s="334"/>
      <c r="AB71" s="334"/>
      <c r="AC71" s="334"/>
      <c r="AD71" s="334"/>
      <c r="AE71" s="334"/>
      <c r="AF71" s="334"/>
      <c r="AG71" s="334"/>
      <c r="AH71" s="334"/>
      <c r="AI71" s="334"/>
      <c r="AJ71" s="334"/>
      <c r="AK71" s="334"/>
      <c r="AL71" s="334"/>
      <c r="AM71" s="334"/>
      <c r="AN71" s="334"/>
      <c r="AO71" s="334"/>
      <c r="AP71" s="334"/>
      <c r="AQ71" s="334"/>
      <c r="AR71" s="334"/>
      <c r="AS71" s="334"/>
      <c r="AT71" s="334"/>
      <c r="AU71" s="334"/>
      <c r="AV71" s="334"/>
      <c r="AW71" s="341"/>
      <c r="AX71" s="346"/>
      <c r="AY71" s="347"/>
      <c r="AZ71" s="347"/>
      <c r="BA71" s="347"/>
      <c r="BB71" s="348"/>
      <c r="BC71" s="164"/>
      <c r="BD71" s="164"/>
      <c r="BZ71" s="312"/>
      <c r="CA71" s="312"/>
      <c r="CB71" s="312"/>
      <c r="CC71" s="312"/>
      <c r="CD71" s="312"/>
      <c r="CE71" s="312"/>
      <c r="CF71" s="312"/>
      <c r="CG71" s="312"/>
      <c r="CH71" s="312"/>
      <c r="CI71" s="312"/>
      <c r="CJ71" s="312"/>
      <c r="CK71" s="312"/>
      <c r="CL71" s="312"/>
      <c r="CM71" s="312"/>
      <c r="CN71" s="312"/>
      <c r="CO71" s="312"/>
      <c r="CP71" s="312"/>
      <c r="CQ71" s="312"/>
      <c r="CR71" s="312"/>
      <c r="CS71" s="312"/>
      <c r="CT71" s="312"/>
      <c r="CU71" s="312"/>
      <c r="CV71" s="312"/>
      <c r="CW71" s="312"/>
      <c r="CX71" s="312"/>
      <c r="CY71" s="312"/>
      <c r="CZ71" s="312"/>
      <c r="DA71" s="312"/>
      <c r="DB71" s="312"/>
      <c r="DC71" s="312"/>
      <c r="DD71" s="312"/>
      <c r="DE71" s="312"/>
      <c r="DF71" s="312"/>
      <c r="DG71" s="312"/>
      <c r="DH71" s="312"/>
      <c r="DI71" s="312"/>
      <c r="DJ71" s="312"/>
      <c r="DK71" s="312"/>
      <c r="DL71" s="312"/>
      <c r="DM71" s="312"/>
      <c r="DN71" s="311"/>
      <c r="DO71" s="311"/>
      <c r="DP71" s="311"/>
      <c r="DQ71" s="311"/>
      <c r="DR71" s="311"/>
      <c r="DS71" s="311"/>
      <c r="DZ71" s="164"/>
      <c r="EA71" s="164"/>
      <c r="EB71" s="164"/>
      <c r="EC71" s="164"/>
      <c r="ED71" s="169"/>
      <c r="EE71" s="164"/>
      <c r="EF71" s="164"/>
      <c r="EG71" s="164"/>
      <c r="EH71" s="164"/>
      <c r="EI71" s="164"/>
      <c r="EJ71" s="164"/>
      <c r="EK71" s="164"/>
      <c r="EL71" s="164"/>
      <c r="EM71" s="164"/>
      <c r="EN71" s="164"/>
      <c r="EO71" s="164"/>
      <c r="EP71" s="164"/>
      <c r="EQ71" s="164"/>
      <c r="ER71" s="164"/>
      <c r="ES71" s="164"/>
      <c r="ET71" s="312" t="s">
        <v>275</v>
      </c>
      <c r="EU71" s="312"/>
      <c r="EV71" s="312"/>
      <c r="EW71" s="312"/>
      <c r="EX71" s="312"/>
      <c r="EY71" s="312"/>
      <c r="EZ71" s="312"/>
      <c r="FA71" s="312"/>
      <c r="FB71" s="312"/>
      <c r="FC71" s="312"/>
      <c r="FD71" s="312"/>
      <c r="FE71" s="312"/>
      <c r="FF71" s="312"/>
      <c r="FG71" s="312"/>
      <c r="FH71" s="312"/>
      <c r="FI71" s="312"/>
      <c r="FJ71" s="312"/>
      <c r="FK71" s="312"/>
      <c r="FL71" s="312"/>
      <c r="FM71" s="312"/>
      <c r="FN71" s="312"/>
      <c r="FO71" s="312"/>
      <c r="FP71" s="312"/>
      <c r="FQ71" s="312"/>
      <c r="FR71" s="312"/>
      <c r="FS71" s="312"/>
      <c r="FT71" s="312"/>
      <c r="FU71" s="312"/>
      <c r="FV71" s="312"/>
      <c r="FW71" s="312"/>
      <c r="FX71" s="312"/>
      <c r="FY71" s="312"/>
      <c r="FZ71" s="312"/>
      <c r="GA71" s="312"/>
      <c r="GB71" s="312"/>
      <c r="GC71" s="312"/>
      <c r="GD71" s="312"/>
      <c r="GE71" s="312"/>
      <c r="GF71" s="312"/>
      <c r="GG71" s="312"/>
      <c r="GH71" s="311">
        <v>2</v>
      </c>
      <c r="GI71" s="311"/>
      <c r="GJ71" s="311"/>
      <c r="GK71" s="311"/>
      <c r="GL71" s="311"/>
      <c r="GM71" s="311"/>
      <c r="GO71" s="164"/>
      <c r="GP71" s="164"/>
      <c r="GQ71" s="164"/>
      <c r="GR71" s="164"/>
      <c r="GS71" s="164"/>
      <c r="GT71" s="164"/>
      <c r="GU71" s="164"/>
      <c r="GV71" s="164"/>
      <c r="GW71" s="164"/>
      <c r="GX71" s="164"/>
      <c r="GY71" s="164"/>
      <c r="GZ71" s="164"/>
      <c r="HA71" s="164"/>
      <c r="HB71" s="164"/>
      <c r="HV71" s="164"/>
      <c r="HW71" s="164"/>
      <c r="HX71" s="164"/>
      <c r="HY71" s="164"/>
      <c r="HZ71" s="164"/>
      <c r="IA71" s="164"/>
      <c r="IB71" s="164"/>
      <c r="IC71" s="164"/>
      <c r="ID71" s="164"/>
      <c r="IE71" s="164"/>
      <c r="IF71" s="164"/>
      <c r="IG71" s="164"/>
      <c r="IH71" s="164"/>
      <c r="II71" s="164"/>
      <c r="IJ71" s="164"/>
      <c r="IK71" s="164"/>
      <c r="IL71" s="164"/>
      <c r="IM71" s="164"/>
      <c r="IN71" s="164"/>
      <c r="IO71" s="164"/>
      <c r="IP71" s="164"/>
      <c r="IQ71" s="164"/>
      <c r="IR71" s="164"/>
      <c r="IS71" s="164"/>
      <c r="IT71" s="164"/>
      <c r="IU71" s="164"/>
      <c r="IV71" s="164"/>
      <c r="IW71" s="164"/>
      <c r="IX71" s="164"/>
      <c r="IY71" s="164"/>
      <c r="IZ71" s="164"/>
      <c r="JA71" s="164"/>
      <c r="JB71" s="164"/>
      <c r="JC71" s="164"/>
      <c r="JD71" s="164"/>
      <c r="JE71" s="164"/>
      <c r="JF71" s="164"/>
      <c r="JG71" s="164"/>
      <c r="JH71" s="164"/>
      <c r="JI71" s="164"/>
      <c r="JJ71" s="164"/>
      <c r="JK71" s="164"/>
      <c r="JL71" s="164"/>
      <c r="JM71" s="164"/>
      <c r="JN71" s="164"/>
      <c r="JO71" s="164"/>
      <c r="JP71" s="164"/>
      <c r="JQ71" s="164"/>
      <c r="JR71" s="164"/>
      <c r="JS71" s="164"/>
      <c r="JT71" s="164"/>
      <c r="JU71" s="164"/>
      <c r="JV71" s="164"/>
      <c r="JW71" s="164"/>
      <c r="JX71" s="164"/>
      <c r="JY71" s="164"/>
      <c r="JZ71" s="164"/>
      <c r="KA71" s="164"/>
      <c r="KB71" s="164"/>
      <c r="KC71" s="164"/>
      <c r="KD71" s="164"/>
      <c r="KE71" s="164"/>
      <c r="KF71" s="164"/>
      <c r="KG71" s="164"/>
      <c r="KH71" s="164"/>
      <c r="KI71" s="164"/>
      <c r="KJ71" s="164"/>
      <c r="KK71" s="164"/>
      <c r="KL71" s="164"/>
      <c r="KM71" s="164"/>
      <c r="LD71" s="169"/>
      <c r="LE71" s="164"/>
      <c r="LF71" s="164"/>
      <c r="LN71" s="178"/>
      <c r="LO71" s="178"/>
      <c r="LP71" s="178"/>
      <c r="LQ71" s="178"/>
      <c r="LR71" s="178"/>
      <c r="LS71" s="178"/>
      <c r="LT71" s="178"/>
      <c r="LU71" s="178"/>
      <c r="LV71" s="178"/>
      <c r="LW71" s="178"/>
      <c r="LX71" s="178"/>
      <c r="LY71" s="178"/>
      <c r="LZ71" s="178"/>
      <c r="MA71" s="178"/>
      <c r="MB71" s="178"/>
      <c r="MC71" s="178"/>
      <c r="MD71" s="178"/>
      <c r="ME71" s="178"/>
      <c r="MF71" s="178"/>
      <c r="MG71" s="178"/>
      <c r="MH71" s="178"/>
      <c r="MI71" s="178"/>
      <c r="MJ71" s="178"/>
      <c r="MK71" s="178"/>
      <c r="ML71" s="178"/>
      <c r="MM71" s="178"/>
      <c r="MN71" s="178"/>
      <c r="MO71" s="178"/>
      <c r="MP71" s="178"/>
      <c r="MQ71" s="178"/>
      <c r="MR71" s="178"/>
      <c r="MS71" s="178"/>
      <c r="MT71" s="178"/>
      <c r="MU71" s="178"/>
      <c r="MV71" s="178"/>
      <c r="MW71" s="178"/>
      <c r="MX71" s="178"/>
      <c r="MY71" s="178"/>
      <c r="MZ71" s="178"/>
      <c r="NA71" s="178"/>
      <c r="NB71" s="178"/>
      <c r="NC71" s="178"/>
      <c r="ND71" s="178"/>
      <c r="NE71" s="178"/>
      <c r="NF71" s="178"/>
      <c r="NG71" s="178"/>
      <c r="NH71" s="178"/>
      <c r="NI71" s="178"/>
      <c r="NJ71" s="178"/>
      <c r="NK71" s="178"/>
      <c r="NL71" s="178"/>
      <c r="PC71" s="164"/>
      <c r="PD71" s="164"/>
      <c r="PE71" s="164"/>
      <c r="PF71" s="164"/>
      <c r="PG71" s="164"/>
      <c r="PH71" s="164"/>
      <c r="QI71" s="163"/>
      <c r="QJ71" s="163"/>
      <c r="QK71" s="163"/>
      <c r="QL71" s="163"/>
      <c r="QN71" s="163"/>
      <c r="QQ71" s="165"/>
      <c r="QR71" s="166"/>
    </row>
    <row r="72" spans="3:465" ht="5.15" customHeight="1" x14ac:dyDescent="0.35">
      <c r="C72" s="161"/>
      <c r="D72" s="162"/>
      <c r="E72" s="164"/>
      <c r="H72" s="164"/>
      <c r="I72" s="333"/>
      <c r="J72" s="334"/>
      <c r="K72" s="334"/>
      <c r="L72" s="334"/>
      <c r="M72" s="334"/>
      <c r="N72" s="334"/>
      <c r="O72" s="334"/>
      <c r="P72" s="334"/>
      <c r="Q72" s="334"/>
      <c r="R72" s="334"/>
      <c r="S72" s="334"/>
      <c r="T72" s="334"/>
      <c r="U72" s="334"/>
      <c r="V72" s="334"/>
      <c r="W72" s="334"/>
      <c r="X72" s="334"/>
      <c r="Y72" s="334"/>
      <c r="Z72" s="334"/>
      <c r="AA72" s="334"/>
      <c r="AB72" s="334"/>
      <c r="AC72" s="334"/>
      <c r="AD72" s="334"/>
      <c r="AE72" s="334"/>
      <c r="AF72" s="334"/>
      <c r="AG72" s="334"/>
      <c r="AH72" s="334"/>
      <c r="AI72" s="334"/>
      <c r="AJ72" s="334"/>
      <c r="AK72" s="334"/>
      <c r="AL72" s="334"/>
      <c r="AM72" s="334"/>
      <c r="AN72" s="334"/>
      <c r="AO72" s="334"/>
      <c r="AP72" s="334"/>
      <c r="AQ72" s="334"/>
      <c r="AR72" s="334"/>
      <c r="AS72" s="334"/>
      <c r="AT72" s="334"/>
      <c r="AU72" s="334"/>
      <c r="AV72" s="334"/>
      <c r="AW72" s="341"/>
      <c r="AX72" s="346"/>
      <c r="AY72" s="347"/>
      <c r="AZ72" s="347"/>
      <c r="BA72" s="347"/>
      <c r="BB72" s="348"/>
      <c r="BC72" s="164"/>
      <c r="BD72" s="164"/>
      <c r="BZ72" s="312"/>
      <c r="CA72" s="312"/>
      <c r="CB72" s="312"/>
      <c r="CC72" s="312"/>
      <c r="CD72" s="312"/>
      <c r="CE72" s="312"/>
      <c r="CF72" s="312"/>
      <c r="CG72" s="312"/>
      <c r="CH72" s="312"/>
      <c r="CI72" s="312"/>
      <c r="CJ72" s="312"/>
      <c r="CK72" s="312"/>
      <c r="CL72" s="312"/>
      <c r="CM72" s="312"/>
      <c r="CN72" s="312"/>
      <c r="CO72" s="312"/>
      <c r="CP72" s="312"/>
      <c r="CQ72" s="312"/>
      <c r="CR72" s="312"/>
      <c r="CS72" s="312"/>
      <c r="CT72" s="312"/>
      <c r="CU72" s="312"/>
      <c r="CV72" s="312"/>
      <c r="CW72" s="312"/>
      <c r="CX72" s="312"/>
      <c r="CY72" s="312"/>
      <c r="CZ72" s="312"/>
      <c r="DA72" s="312"/>
      <c r="DB72" s="312"/>
      <c r="DC72" s="312"/>
      <c r="DD72" s="312"/>
      <c r="DE72" s="312"/>
      <c r="DF72" s="312"/>
      <c r="DG72" s="312"/>
      <c r="DH72" s="312"/>
      <c r="DI72" s="312"/>
      <c r="DJ72" s="312"/>
      <c r="DK72" s="312"/>
      <c r="DL72" s="312"/>
      <c r="DM72" s="312"/>
      <c r="DN72" s="311"/>
      <c r="DO72" s="311"/>
      <c r="DP72" s="311"/>
      <c r="DQ72" s="311"/>
      <c r="DR72" s="311"/>
      <c r="DS72" s="311"/>
      <c r="DZ72" s="164"/>
      <c r="EA72" s="164"/>
      <c r="EB72" s="164"/>
      <c r="EC72" s="164"/>
      <c r="ED72" s="169"/>
      <c r="EE72" s="164"/>
      <c r="EF72" s="164"/>
      <c r="EG72" s="164"/>
      <c r="EH72" s="164"/>
      <c r="EI72" s="164"/>
      <c r="EJ72" s="164"/>
      <c r="EK72" s="164"/>
      <c r="EL72" s="164"/>
      <c r="EM72" s="164"/>
      <c r="EN72" s="164"/>
      <c r="EO72" s="164"/>
      <c r="EP72" s="164"/>
      <c r="EQ72" s="164"/>
      <c r="ER72" s="164"/>
      <c r="ES72" s="164"/>
      <c r="ET72" s="312"/>
      <c r="EU72" s="312"/>
      <c r="EV72" s="312"/>
      <c r="EW72" s="312"/>
      <c r="EX72" s="312"/>
      <c r="EY72" s="312"/>
      <c r="EZ72" s="312"/>
      <c r="FA72" s="312"/>
      <c r="FB72" s="312"/>
      <c r="FC72" s="312"/>
      <c r="FD72" s="312"/>
      <c r="FE72" s="312"/>
      <c r="FF72" s="312"/>
      <c r="FG72" s="312"/>
      <c r="FH72" s="312"/>
      <c r="FI72" s="312"/>
      <c r="FJ72" s="312"/>
      <c r="FK72" s="312"/>
      <c r="FL72" s="312"/>
      <c r="FM72" s="312"/>
      <c r="FN72" s="312"/>
      <c r="FO72" s="312"/>
      <c r="FP72" s="312"/>
      <c r="FQ72" s="312"/>
      <c r="FR72" s="312"/>
      <c r="FS72" s="312"/>
      <c r="FT72" s="312"/>
      <c r="FU72" s="312"/>
      <c r="FV72" s="312"/>
      <c r="FW72" s="312"/>
      <c r="FX72" s="312"/>
      <c r="FY72" s="312"/>
      <c r="FZ72" s="312"/>
      <c r="GA72" s="312"/>
      <c r="GB72" s="312"/>
      <c r="GC72" s="312"/>
      <c r="GD72" s="312"/>
      <c r="GE72" s="312"/>
      <c r="GF72" s="312"/>
      <c r="GG72" s="312"/>
      <c r="GH72" s="311"/>
      <c r="GI72" s="311"/>
      <c r="GJ72" s="311"/>
      <c r="GK72" s="311"/>
      <c r="GL72" s="311"/>
      <c r="GM72" s="311"/>
      <c r="GO72" s="164"/>
      <c r="GP72" s="164"/>
      <c r="GQ72" s="164"/>
      <c r="GR72" s="164"/>
      <c r="GS72" s="164"/>
      <c r="GT72" s="164"/>
      <c r="GU72" s="164"/>
      <c r="GV72" s="164"/>
      <c r="GW72" s="164"/>
      <c r="GX72" s="164"/>
      <c r="GY72" s="164"/>
      <c r="GZ72" s="164"/>
      <c r="HA72" s="164"/>
      <c r="HB72" s="164"/>
      <c r="HV72" s="164"/>
      <c r="HW72" s="164"/>
      <c r="HX72" s="164"/>
      <c r="HY72" s="164"/>
      <c r="HZ72" s="164"/>
      <c r="IA72" s="164"/>
      <c r="IB72" s="164"/>
      <c r="IC72" s="164"/>
      <c r="ID72" s="164"/>
      <c r="IE72" s="164"/>
      <c r="IF72" s="164"/>
      <c r="IG72" s="164"/>
      <c r="IH72" s="164"/>
      <c r="II72" s="164"/>
      <c r="IJ72" s="164"/>
      <c r="IK72" s="164"/>
      <c r="IL72" s="164"/>
      <c r="IM72" s="164"/>
      <c r="IN72" s="164"/>
      <c r="IO72" s="164"/>
      <c r="IP72" s="164"/>
      <c r="IQ72" s="164"/>
      <c r="IR72" s="164"/>
      <c r="IS72" s="164"/>
      <c r="IT72" s="164"/>
      <c r="IU72" s="164"/>
      <c r="IV72" s="164"/>
      <c r="IW72" s="164"/>
      <c r="IX72" s="164"/>
      <c r="IY72" s="164"/>
      <c r="IZ72" s="164"/>
      <c r="JA72" s="164"/>
      <c r="JB72" s="164"/>
      <c r="JC72" s="164"/>
      <c r="JD72" s="164"/>
      <c r="JE72" s="164"/>
      <c r="JF72" s="164"/>
      <c r="JG72" s="164"/>
      <c r="JH72" s="164"/>
      <c r="JI72" s="164"/>
      <c r="JJ72" s="164"/>
      <c r="JK72" s="164"/>
      <c r="JL72" s="164"/>
      <c r="JM72" s="164"/>
      <c r="JN72" s="164"/>
      <c r="JO72" s="164"/>
      <c r="JP72" s="164"/>
      <c r="JQ72" s="164"/>
      <c r="JR72" s="164"/>
      <c r="JS72" s="164"/>
      <c r="JT72" s="164"/>
      <c r="JU72" s="164"/>
      <c r="JV72" s="164"/>
      <c r="JW72" s="164"/>
      <c r="JX72" s="164"/>
      <c r="JY72" s="164"/>
      <c r="JZ72" s="164"/>
      <c r="KA72" s="164"/>
      <c r="KB72" s="164"/>
      <c r="KC72" s="164"/>
      <c r="KD72" s="164"/>
      <c r="KE72" s="164"/>
      <c r="KF72" s="164"/>
      <c r="KG72" s="164"/>
      <c r="KH72" s="164"/>
      <c r="KI72" s="164"/>
      <c r="KJ72" s="164"/>
      <c r="KK72" s="164"/>
      <c r="KL72" s="164"/>
      <c r="KM72" s="164"/>
      <c r="LD72" s="169"/>
      <c r="LE72" s="164"/>
      <c r="LF72" s="164"/>
      <c r="LN72" s="178"/>
      <c r="LO72" s="178"/>
      <c r="LP72" s="178"/>
      <c r="LQ72" s="178"/>
      <c r="LR72" s="178"/>
      <c r="LS72" s="178"/>
      <c r="LT72" s="178"/>
      <c r="LU72" s="178"/>
      <c r="LV72" s="178"/>
      <c r="LW72" s="178"/>
      <c r="LX72" s="178"/>
      <c r="LY72" s="178"/>
      <c r="LZ72" s="178"/>
      <c r="MA72" s="178"/>
      <c r="MB72" s="178"/>
      <c r="MC72" s="178"/>
      <c r="MD72" s="178"/>
      <c r="ME72" s="178"/>
      <c r="MF72" s="178"/>
      <c r="MG72" s="178"/>
      <c r="MH72" s="178"/>
      <c r="MI72" s="178"/>
      <c r="MJ72" s="178"/>
      <c r="MK72" s="178"/>
      <c r="ML72" s="178"/>
      <c r="MM72" s="178"/>
      <c r="MN72" s="178"/>
      <c r="MO72" s="178"/>
      <c r="MP72" s="178"/>
      <c r="MQ72" s="178"/>
      <c r="MR72" s="178"/>
      <c r="MS72" s="178"/>
      <c r="MT72" s="178"/>
      <c r="MU72" s="178"/>
      <c r="MV72" s="178"/>
      <c r="MW72" s="178"/>
      <c r="MX72" s="178"/>
      <c r="MY72" s="178"/>
      <c r="MZ72" s="178"/>
      <c r="NA72" s="178"/>
      <c r="NB72" s="178"/>
      <c r="NC72" s="178"/>
      <c r="ND72" s="178"/>
      <c r="NE72" s="178"/>
      <c r="NF72" s="178"/>
      <c r="NG72" s="178"/>
      <c r="NH72" s="178"/>
      <c r="NI72" s="178"/>
      <c r="NJ72" s="178"/>
      <c r="NK72" s="178"/>
      <c r="NL72" s="178"/>
      <c r="QK72" s="163"/>
      <c r="QL72" s="163"/>
      <c r="QN72" s="163"/>
      <c r="QQ72" s="165"/>
      <c r="QR72" s="166"/>
    </row>
    <row r="73" spans="3:465" ht="5.15" customHeight="1" x14ac:dyDescent="0.35">
      <c r="C73" s="161"/>
      <c r="D73" s="162"/>
      <c r="E73" s="164"/>
      <c r="H73" s="164"/>
      <c r="I73" s="333"/>
      <c r="J73" s="334"/>
      <c r="K73" s="334"/>
      <c r="L73" s="334"/>
      <c r="M73" s="334"/>
      <c r="N73" s="334"/>
      <c r="O73" s="334"/>
      <c r="P73" s="334"/>
      <c r="Q73" s="334"/>
      <c r="R73" s="334"/>
      <c r="S73" s="334"/>
      <c r="T73" s="334"/>
      <c r="U73" s="334"/>
      <c r="V73" s="334"/>
      <c r="W73" s="334"/>
      <c r="X73" s="334"/>
      <c r="Y73" s="334"/>
      <c r="Z73" s="334"/>
      <c r="AA73" s="334"/>
      <c r="AB73" s="334"/>
      <c r="AC73" s="334"/>
      <c r="AD73" s="334"/>
      <c r="AE73" s="334"/>
      <c r="AF73" s="334"/>
      <c r="AG73" s="334"/>
      <c r="AH73" s="334"/>
      <c r="AI73" s="334"/>
      <c r="AJ73" s="334"/>
      <c r="AK73" s="334"/>
      <c r="AL73" s="334"/>
      <c r="AM73" s="334"/>
      <c r="AN73" s="334"/>
      <c r="AO73" s="334"/>
      <c r="AP73" s="334"/>
      <c r="AQ73" s="334"/>
      <c r="AR73" s="334"/>
      <c r="AS73" s="334"/>
      <c r="AT73" s="334"/>
      <c r="AU73" s="334"/>
      <c r="AV73" s="334"/>
      <c r="AW73" s="341"/>
      <c r="AX73" s="346"/>
      <c r="AY73" s="347"/>
      <c r="AZ73" s="347"/>
      <c r="BA73" s="347"/>
      <c r="BB73" s="348"/>
      <c r="BC73" s="164"/>
      <c r="BD73" s="164"/>
      <c r="BZ73" s="312"/>
      <c r="CA73" s="312"/>
      <c r="CB73" s="312"/>
      <c r="CC73" s="312"/>
      <c r="CD73" s="312"/>
      <c r="CE73" s="312"/>
      <c r="CF73" s="312"/>
      <c r="CG73" s="312"/>
      <c r="CH73" s="312"/>
      <c r="CI73" s="312"/>
      <c r="CJ73" s="312"/>
      <c r="CK73" s="312"/>
      <c r="CL73" s="312"/>
      <c r="CM73" s="312"/>
      <c r="CN73" s="312"/>
      <c r="CO73" s="312"/>
      <c r="CP73" s="312"/>
      <c r="CQ73" s="312"/>
      <c r="CR73" s="312"/>
      <c r="CS73" s="312"/>
      <c r="CT73" s="312"/>
      <c r="CU73" s="312"/>
      <c r="CV73" s="312"/>
      <c r="CW73" s="312"/>
      <c r="CX73" s="312"/>
      <c r="CY73" s="312"/>
      <c r="CZ73" s="312"/>
      <c r="DA73" s="312"/>
      <c r="DB73" s="312"/>
      <c r="DC73" s="312"/>
      <c r="DD73" s="312"/>
      <c r="DE73" s="312"/>
      <c r="DF73" s="312"/>
      <c r="DG73" s="312"/>
      <c r="DH73" s="312"/>
      <c r="DI73" s="312"/>
      <c r="DJ73" s="312"/>
      <c r="DK73" s="312"/>
      <c r="DL73" s="312"/>
      <c r="DM73" s="312"/>
      <c r="DN73" s="311"/>
      <c r="DO73" s="311"/>
      <c r="DP73" s="311"/>
      <c r="DQ73" s="311"/>
      <c r="DR73" s="311"/>
      <c r="DS73" s="311"/>
      <c r="DZ73" s="164"/>
      <c r="EA73" s="164"/>
      <c r="EB73" s="164"/>
      <c r="EC73" s="164"/>
      <c r="ED73" s="169"/>
      <c r="EE73" s="164"/>
      <c r="EF73" s="164"/>
      <c r="EG73" s="164"/>
      <c r="EH73" s="164"/>
      <c r="EI73" s="164"/>
      <c r="EJ73" s="164"/>
      <c r="EK73" s="164"/>
      <c r="EL73" s="164"/>
      <c r="EM73" s="164"/>
      <c r="EN73" s="164"/>
      <c r="EO73" s="164"/>
      <c r="EP73" s="164"/>
      <c r="EQ73" s="164"/>
      <c r="ER73" s="164"/>
      <c r="ES73" s="164"/>
      <c r="ET73" s="312"/>
      <c r="EU73" s="312"/>
      <c r="EV73" s="312"/>
      <c r="EW73" s="312"/>
      <c r="EX73" s="312"/>
      <c r="EY73" s="312"/>
      <c r="EZ73" s="312"/>
      <c r="FA73" s="312"/>
      <c r="FB73" s="312"/>
      <c r="FC73" s="312"/>
      <c r="FD73" s="312"/>
      <c r="FE73" s="312"/>
      <c r="FF73" s="312"/>
      <c r="FG73" s="312"/>
      <c r="FH73" s="312"/>
      <c r="FI73" s="312"/>
      <c r="FJ73" s="312"/>
      <c r="FK73" s="312"/>
      <c r="FL73" s="312"/>
      <c r="FM73" s="312"/>
      <c r="FN73" s="312"/>
      <c r="FO73" s="312"/>
      <c r="FP73" s="312"/>
      <c r="FQ73" s="312"/>
      <c r="FR73" s="312"/>
      <c r="FS73" s="312"/>
      <c r="FT73" s="312"/>
      <c r="FU73" s="312"/>
      <c r="FV73" s="312"/>
      <c r="FW73" s="312"/>
      <c r="FX73" s="312"/>
      <c r="FY73" s="312"/>
      <c r="FZ73" s="312"/>
      <c r="GA73" s="312"/>
      <c r="GB73" s="312"/>
      <c r="GC73" s="312"/>
      <c r="GD73" s="312"/>
      <c r="GE73" s="312"/>
      <c r="GF73" s="312"/>
      <c r="GG73" s="312"/>
      <c r="GH73" s="311"/>
      <c r="GI73" s="311"/>
      <c r="GJ73" s="311"/>
      <c r="GK73" s="311"/>
      <c r="GL73" s="311"/>
      <c r="GM73" s="311"/>
      <c r="GO73" s="164"/>
      <c r="GP73" s="164"/>
      <c r="GQ73" s="164"/>
      <c r="GR73" s="164"/>
      <c r="GS73" s="164"/>
      <c r="GT73" s="164"/>
      <c r="GU73" s="164"/>
      <c r="GV73" s="164"/>
      <c r="GW73" s="164"/>
      <c r="GX73" s="164"/>
      <c r="GY73" s="164"/>
      <c r="GZ73" s="164"/>
      <c r="HA73" s="164"/>
      <c r="HB73" s="164"/>
      <c r="HT73" s="164"/>
      <c r="HU73" s="164"/>
      <c r="HV73" s="164"/>
      <c r="HW73" s="164"/>
      <c r="HX73" s="164"/>
      <c r="HY73" s="164"/>
      <c r="HZ73" s="164"/>
      <c r="IA73" s="164"/>
      <c r="IB73" s="164"/>
      <c r="IC73" s="164"/>
      <c r="ID73" s="164"/>
      <c r="IE73" s="164"/>
      <c r="IF73" s="164"/>
      <c r="IG73" s="164"/>
      <c r="IH73" s="164"/>
      <c r="II73" s="164"/>
      <c r="IJ73" s="164"/>
      <c r="IK73" s="164"/>
      <c r="IL73" s="164"/>
      <c r="IM73" s="164"/>
      <c r="IN73" s="164"/>
      <c r="IO73" s="164"/>
      <c r="IP73" s="164"/>
      <c r="IQ73" s="164"/>
      <c r="IR73" s="164"/>
      <c r="IS73" s="164"/>
      <c r="IT73" s="164"/>
      <c r="IU73" s="164"/>
      <c r="IV73" s="164"/>
      <c r="IW73" s="164"/>
      <c r="IX73" s="164"/>
      <c r="IY73" s="164"/>
      <c r="IZ73" s="164"/>
      <c r="JA73" s="164"/>
      <c r="JB73" s="164"/>
      <c r="JC73" s="164"/>
      <c r="JD73" s="164"/>
      <c r="JE73" s="164"/>
      <c r="JF73" s="164"/>
      <c r="JG73" s="164"/>
      <c r="JH73" s="164"/>
      <c r="JI73" s="164"/>
      <c r="JJ73" s="164"/>
      <c r="JK73" s="164"/>
      <c r="JL73" s="164"/>
      <c r="JM73" s="164"/>
      <c r="JN73" s="164"/>
      <c r="JO73" s="164"/>
      <c r="JP73" s="164"/>
      <c r="JQ73" s="164"/>
      <c r="JR73" s="164"/>
      <c r="JS73" s="164"/>
      <c r="JT73" s="164"/>
      <c r="JU73" s="164"/>
      <c r="JV73" s="164"/>
      <c r="JW73" s="164"/>
      <c r="JX73" s="164"/>
      <c r="JY73" s="164"/>
      <c r="JZ73" s="164"/>
      <c r="KA73" s="164"/>
      <c r="KB73" s="164"/>
      <c r="KC73" s="164"/>
      <c r="KD73" s="164"/>
      <c r="KE73" s="164"/>
      <c r="KF73" s="164"/>
      <c r="KG73" s="164"/>
      <c r="KH73" s="164"/>
      <c r="KI73" s="164"/>
      <c r="KJ73" s="164"/>
      <c r="KK73" s="164"/>
      <c r="KL73" s="164"/>
      <c r="KM73" s="164"/>
      <c r="LD73" s="169"/>
      <c r="LE73" s="164"/>
      <c r="LF73" s="164"/>
      <c r="LN73" s="178"/>
      <c r="LO73" s="178"/>
      <c r="LP73" s="178"/>
      <c r="LQ73" s="178"/>
      <c r="LR73" s="178"/>
      <c r="LS73" s="178"/>
      <c r="LT73" s="178"/>
      <c r="LU73" s="178"/>
      <c r="LV73" s="178"/>
      <c r="LW73" s="178"/>
      <c r="LX73" s="178"/>
      <c r="LY73" s="178"/>
      <c r="LZ73" s="178"/>
      <c r="MA73" s="178"/>
      <c r="MB73" s="178"/>
      <c r="MC73" s="178"/>
      <c r="MD73" s="178"/>
      <c r="ME73" s="178"/>
      <c r="MF73" s="178"/>
      <c r="MG73" s="178"/>
      <c r="MH73" s="178"/>
      <c r="MI73" s="178"/>
      <c r="MJ73" s="178"/>
      <c r="MK73" s="178"/>
      <c r="ML73" s="178"/>
      <c r="MM73" s="178"/>
      <c r="MN73" s="178"/>
      <c r="MO73" s="178"/>
      <c r="MP73" s="178"/>
      <c r="MQ73" s="178"/>
      <c r="MR73" s="178"/>
      <c r="MS73" s="178"/>
      <c r="MT73" s="178"/>
      <c r="MU73" s="178"/>
      <c r="MV73" s="178"/>
      <c r="MW73" s="178"/>
      <c r="MX73" s="178"/>
      <c r="MY73" s="178"/>
      <c r="MZ73" s="178"/>
      <c r="NA73" s="178"/>
      <c r="NB73" s="178"/>
      <c r="NC73" s="178"/>
      <c r="ND73" s="178"/>
      <c r="NE73" s="178"/>
      <c r="NF73" s="178"/>
      <c r="NG73" s="178"/>
      <c r="NH73" s="178"/>
      <c r="NI73" s="178"/>
      <c r="NJ73" s="178"/>
      <c r="NK73" s="178"/>
      <c r="NL73" s="178"/>
      <c r="QK73" s="163"/>
      <c r="QL73" s="163"/>
      <c r="QN73" s="163"/>
      <c r="QQ73" s="165"/>
      <c r="QR73" s="166"/>
    </row>
    <row r="74" spans="3:465" ht="5.15" customHeight="1" x14ac:dyDescent="0.35">
      <c r="C74" s="161"/>
      <c r="D74" s="162"/>
      <c r="E74" s="164"/>
      <c r="H74" s="164"/>
      <c r="I74" s="333"/>
      <c r="J74" s="334"/>
      <c r="K74" s="334"/>
      <c r="L74" s="334"/>
      <c r="M74" s="334"/>
      <c r="N74" s="334"/>
      <c r="O74" s="334"/>
      <c r="P74" s="334"/>
      <c r="Q74" s="334"/>
      <c r="R74" s="334"/>
      <c r="S74" s="334"/>
      <c r="T74" s="334"/>
      <c r="U74" s="334"/>
      <c r="V74" s="334"/>
      <c r="W74" s="334"/>
      <c r="X74" s="334"/>
      <c r="Y74" s="334"/>
      <c r="Z74" s="334"/>
      <c r="AA74" s="334"/>
      <c r="AB74" s="334"/>
      <c r="AC74" s="334"/>
      <c r="AD74" s="334"/>
      <c r="AE74" s="334"/>
      <c r="AF74" s="334"/>
      <c r="AG74" s="334"/>
      <c r="AH74" s="334"/>
      <c r="AI74" s="334"/>
      <c r="AJ74" s="334"/>
      <c r="AK74" s="334"/>
      <c r="AL74" s="334"/>
      <c r="AM74" s="334"/>
      <c r="AN74" s="334"/>
      <c r="AO74" s="334"/>
      <c r="AP74" s="334"/>
      <c r="AQ74" s="334"/>
      <c r="AR74" s="334"/>
      <c r="AS74" s="334"/>
      <c r="AT74" s="334"/>
      <c r="AU74" s="334"/>
      <c r="AV74" s="334"/>
      <c r="AW74" s="341"/>
      <c r="AX74" s="346"/>
      <c r="AY74" s="347"/>
      <c r="AZ74" s="347"/>
      <c r="BA74" s="347"/>
      <c r="BB74" s="348"/>
      <c r="BC74" s="164"/>
      <c r="BD74" s="164"/>
      <c r="BZ74" s="312"/>
      <c r="CA74" s="312"/>
      <c r="CB74" s="312"/>
      <c r="CC74" s="312"/>
      <c r="CD74" s="312"/>
      <c r="CE74" s="312"/>
      <c r="CF74" s="312"/>
      <c r="CG74" s="312"/>
      <c r="CH74" s="312"/>
      <c r="CI74" s="312"/>
      <c r="CJ74" s="312"/>
      <c r="CK74" s="312"/>
      <c r="CL74" s="312"/>
      <c r="CM74" s="312"/>
      <c r="CN74" s="312"/>
      <c r="CO74" s="312"/>
      <c r="CP74" s="312"/>
      <c r="CQ74" s="312"/>
      <c r="CR74" s="312"/>
      <c r="CS74" s="312"/>
      <c r="CT74" s="312"/>
      <c r="CU74" s="312"/>
      <c r="CV74" s="312"/>
      <c r="CW74" s="312"/>
      <c r="CX74" s="312"/>
      <c r="CY74" s="312"/>
      <c r="CZ74" s="312"/>
      <c r="DA74" s="312"/>
      <c r="DB74" s="312"/>
      <c r="DC74" s="312"/>
      <c r="DD74" s="312"/>
      <c r="DE74" s="312"/>
      <c r="DF74" s="312"/>
      <c r="DG74" s="312"/>
      <c r="DH74" s="312"/>
      <c r="DI74" s="312"/>
      <c r="DJ74" s="312"/>
      <c r="DK74" s="312"/>
      <c r="DL74" s="312"/>
      <c r="DM74" s="312"/>
      <c r="DN74" s="311"/>
      <c r="DO74" s="311"/>
      <c r="DP74" s="311"/>
      <c r="DQ74" s="311"/>
      <c r="DR74" s="311"/>
      <c r="DS74" s="311"/>
      <c r="DZ74" s="164"/>
      <c r="EA74" s="164"/>
      <c r="EB74" s="164"/>
      <c r="EC74" s="164"/>
      <c r="ED74" s="169"/>
      <c r="EE74" s="164"/>
      <c r="EF74" s="164"/>
      <c r="EG74" s="164"/>
      <c r="EH74" s="164"/>
      <c r="EI74" s="164"/>
      <c r="EJ74" s="164"/>
      <c r="EK74" s="164"/>
      <c r="EL74" s="164"/>
      <c r="EM74" s="164"/>
      <c r="EN74" s="164"/>
      <c r="EO74" s="164"/>
      <c r="EP74" s="164"/>
      <c r="EQ74" s="164"/>
      <c r="ER74" s="164"/>
      <c r="ES74" s="164"/>
      <c r="ET74" s="312"/>
      <c r="EU74" s="312"/>
      <c r="EV74" s="312"/>
      <c r="EW74" s="312"/>
      <c r="EX74" s="312"/>
      <c r="EY74" s="312"/>
      <c r="EZ74" s="312"/>
      <c r="FA74" s="312"/>
      <c r="FB74" s="312"/>
      <c r="FC74" s="312"/>
      <c r="FD74" s="312"/>
      <c r="FE74" s="312"/>
      <c r="FF74" s="312"/>
      <c r="FG74" s="312"/>
      <c r="FH74" s="312"/>
      <c r="FI74" s="312"/>
      <c r="FJ74" s="312"/>
      <c r="FK74" s="312"/>
      <c r="FL74" s="312"/>
      <c r="FM74" s="312"/>
      <c r="FN74" s="312"/>
      <c r="FO74" s="312"/>
      <c r="FP74" s="312"/>
      <c r="FQ74" s="312"/>
      <c r="FR74" s="312"/>
      <c r="FS74" s="312"/>
      <c r="FT74" s="312"/>
      <c r="FU74" s="312"/>
      <c r="FV74" s="312"/>
      <c r="FW74" s="312"/>
      <c r="FX74" s="312"/>
      <c r="FY74" s="312"/>
      <c r="FZ74" s="312"/>
      <c r="GA74" s="312"/>
      <c r="GB74" s="312"/>
      <c r="GC74" s="312"/>
      <c r="GD74" s="312"/>
      <c r="GE74" s="312"/>
      <c r="GF74" s="312"/>
      <c r="GG74" s="312"/>
      <c r="GH74" s="311"/>
      <c r="GI74" s="311"/>
      <c r="GJ74" s="311"/>
      <c r="GK74" s="311"/>
      <c r="GL74" s="311"/>
      <c r="GM74" s="311"/>
      <c r="GO74" s="164"/>
      <c r="GP74" s="164"/>
      <c r="GQ74" s="164"/>
      <c r="GR74" s="164"/>
      <c r="GS74" s="164"/>
      <c r="GT74" s="164"/>
      <c r="GU74" s="164"/>
      <c r="GV74" s="164"/>
      <c r="GW74" s="164"/>
      <c r="GX74" s="164"/>
      <c r="GY74" s="164"/>
      <c r="GZ74" s="164"/>
      <c r="HA74" s="164"/>
      <c r="HB74" s="164"/>
      <c r="JD74" s="164"/>
      <c r="JE74" s="164"/>
      <c r="JF74" s="164"/>
      <c r="JG74" s="164"/>
      <c r="JH74" s="164"/>
      <c r="JI74" s="164"/>
      <c r="JJ74" s="164"/>
      <c r="JK74" s="164"/>
      <c r="JL74" s="164"/>
      <c r="JM74" s="164"/>
      <c r="JN74" s="164"/>
      <c r="JO74" s="164"/>
      <c r="JP74" s="164"/>
      <c r="JQ74" s="164"/>
      <c r="JR74" s="164"/>
      <c r="JS74" s="164"/>
      <c r="JT74" s="164"/>
      <c r="JU74" s="164"/>
      <c r="JV74" s="164"/>
      <c r="JW74" s="164"/>
      <c r="JX74" s="164"/>
      <c r="JY74" s="164"/>
      <c r="JZ74" s="164"/>
      <c r="KA74" s="164"/>
      <c r="KB74" s="164"/>
      <c r="KC74" s="164"/>
      <c r="KD74" s="164"/>
      <c r="KE74" s="164"/>
      <c r="KF74" s="164"/>
      <c r="KG74" s="164"/>
      <c r="KH74" s="164"/>
      <c r="KI74" s="164"/>
      <c r="KJ74" s="164"/>
      <c r="KK74" s="164"/>
      <c r="KL74" s="164"/>
      <c r="KM74" s="164"/>
      <c r="LD74" s="169"/>
      <c r="LE74" s="164"/>
      <c r="LF74" s="164"/>
      <c r="LI74" s="192"/>
      <c r="LJ74" s="192"/>
      <c r="LK74" s="192"/>
      <c r="QK74" s="163"/>
      <c r="QL74" s="163"/>
      <c r="QN74" s="163"/>
      <c r="QQ74" s="165"/>
      <c r="QR74" s="166"/>
    </row>
    <row r="75" spans="3:465" ht="5.15" customHeight="1" thickBot="1" x14ac:dyDescent="0.4">
      <c r="C75" s="161"/>
      <c r="D75" s="162"/>
      <c r="E75" s="164"/>
      <c r="H75" s="164"/>
      <c r="I75" s="333"/>
      <c r="J75" s="334"/>
      <c r="K75" s="334"/>
      <c r="L75" s="334"/>
      <c r="M75" s="334"/>
      <c r="N75" s="334"/>
      <c r="O75" s="334"/>
      <c r="P75" s="334"/>
      <c r="Q75" s="334"/>
      <c r="R75" s="334"/>
      <c r="S75" s="334"/>
      <c r="T75" s="334"/>
      <c r="U75" s="334"/>
      <c r="V75" s="334"/>
      <c r="W75" s="334"/>
      <c r="X75" s="334"/>
      <c r="Y75" s="334"/>
      <c r="Z75" s="334"/>
      <c r="AA75" s="334"/>
      <c r="AB75" s="334"/>
      <c r="AC75" s="334"/>
      <c r="AD75" s="334"/>
      <c r="AE75" s="334"/>
      <c r="AF75" s="334"/>
      <c r="AG75" s="334"/>
      <c r="AH75" s="334"/>
      <c r="AI75" s="334"/>
      <c r="AJ75" s="334"/>
      <c r="AK75" s="334"/>
      <c r="AL75" s="334"/>
      <c r="AM75" s="334"/>
      <c r="AN75" s="334"/>
      <c r="AO75" s="334"/>
      <c r="AP75" s="334"/>
      <c r="AQ75" s="334"/>
      <c r="AR75" s="334"/>
      <c r="AS75" s="334"/>
      <c r="AT75" s="334"/>
      <c r="AU75" s="334"/>
      <c r="AV75" s="334"/>
      <c r="AW75" s="341"/>
      <c r="AX75" s="346"/>
      <c r="AY75" s="347"/>
      <c r="AZ75" s="347"/>
      <c r="BA75" s="347"/>
      <c r="BB75" s="348"/>
      <c r="BC75" s="164"/>
      <c r="BD75" s="164"/>
      <c r="BZ75" s="312"/>
      <c r="CA75" s="312"/>
      <c r="CB75" s="312"/>
      <c r="CC75" s="312"/>
      <c r="CD75" s="312"/>
      <c r="CE75" s="312"/>
      <c r="CF75" s="312"/>
      <c r="CG75" s="312"/>
      <c r="CH75" s="312"/>
      <c r="CI75" s="312"/>
      <c r="CJ75" s="312"/>
      <c r="CK75" s="312"/>
      <c r="CL75" s="312"/>
      <c r="CM75" s="312"/>
      <c r="CN75" s="312"/>
      <c r="CO75" s="312"/>
      <c r="CP75" s="312"/>
      <c r="CQ75" s="312"/>
      <c r="CR75" s="312"/>
      <c r="CS75" s="312"/>
      <c r="CT75" s="312"/>
      <c r="CU75" s="312"/>
      <c r="CV75" s="312"/>
      <c r="CW75" s="312"/>
      <c r="CX75" s="312"/>
      <c r="CY75" s="312"/>
      <c r="CZ75" s="312"/>
      <c r="DA75" s="312"/>
      <c r="DB75" s="312"/>
      <c r="DC75" s="312"/>
      <c r="DD75" s="312"/>
      <c r="DE75" s="312"/>
      <c r="DF75" s="312"/>
      <c r="DG75" s="312"/>
      <c r="DH75" s="312"/>
      <c r="DI75" s="312"/>
      <c r="DJ75" s="312"/>
      <c r="DK75" s="312"/>
      <c r="DL75" s="312"/>
      <c r="DM75" s="312"/>
      <c r="DN75" s="311"/>
      <c r="DO75" s="311"/>
      <c r="DP75" s="311"/>
      <c r="DQ75" s="311"/>
      <c r="DR75" s="311"/>
      <c r="DS75" s="311"/>
      <c r="DZ75" s="164"/>
      <c r="EA75" s="164"/>
      <c r="EB75" s="164"/>
      <c r="EC75" s="164"/>
      <c r="ED75" s="169"/>
      <c r="EE75" s="164"/>
      <c r="EF75" s="164"/>
      <c r="EG75" s="164"/>
      <c r="EH75" s="164"/>
      <c r="EI75" s="164"/>
      <c r="EJ75" s="164"/>
      <c r="EK75" s="164"/>
      <c r="EL75" s="164"/>
      <c r="EM75" s="164"/>
      <c r="EN75" s="164"/>
      <c r="EO75" s="164"/>
      <c r="EP75" s="164"/>
      <c r="EQ75" s="164"/>
      <c r="ER75" s="164"/>
      <c r="ES75" s="164"/>
      <c r="ET75" s="312"/>
      <c r="EU75" s="312"/>
      <c r="EV75" s="312"/>
      <c r="EW75" s="312"/>
      <c r="EX75" s="312"/>
      <c r="EY75" s="312"/>
      <c r="EZ75" s="312"/>
      <c r="FA75" s="312"/>
      <c r="FB75" s="312"/>
      <c r="FC75" s="312"/>
      <c r="FD75" s="312"/>
      <c r="FE75" s="312"/>
      <c r="FF75" s="312"/>
      <c r="FG75" s="312"/>
      <c r="FH75" s="312"/>
      <c r="FI75" s="312"/>
      <c r="FJ75" s="312"/>
      <c r="FK75" s="312"/>
      <c r="FL75" s="312"/>
      <c r="FM75" s="312"/>
      <c r="FN75" s="312"/>
      <c r="FO75" s="312"/>
      <c r="FP75" s="312"/>
      <c r="FQ75" s="312"/>
      <c r="FR75" s="312"/>
      <c r="FS75" s="312"/>
      <c r="FT75" s="312"/>
      <c r="FU75" s="312"/>
      <c r="FV75" s="312"/>
      <c r="FW75" s="312"/>
      <c r="FX75" s="312"/>
      <c r="FY75" s="312"/>
      <c r="FZ75" s="312"/>
      <c r="GA75" s="312"/>
      <c r="GB75" s="312"/>
      <c r="GC75" s="312"/>
      <c r="GD75" s="312"/>
      <c r="GE75" s="312"/>
      <c r="GF75" s="312"/>
      <c r="GG75" s="312"/>
      <c r="GH75" s="311"/>
      <c r="GI75" s="311"/>
      <c r="GJ75" s="311"/>
      <c r="GK75" s="311"/>
      <c r="GL75" s="311"/>
      <c r="GM75" s="311"/>
      <c r="GO75" s="164"/>
      <c r="GP75" s="164"/>
      <c r="GQ75" s="164"/>
      <c r="GR75" s="164"/>
      <c r="GS75" s="164"/>
      <c r="GT75" s="164"/>
      <c r="GU75" s="164"/>
      <c r="GV75" s="164"/>
      <c r="GW75" s="164"/>
      <c r="GX75" s="164"/>
      <c r="GY75" s="164"/>
      <c r="GZ75" s="164"/>
      <c r="HA75" s="164"/>
      <c r="HB75" s="164"/>
      <c r="HL75" s="164"/>
      <c r="JD75" s="164"/>
      <c r="JE75" s="164"/>
      <c r="JF75" s="164"/>
      <c r="JG75" s="164"/>
      <c r="JH75" s="164"/>
      <c r="JI75" s="164"/>
      <c r="JJ75" s="164"/>
      <c r="JK75" s="164"/>
      <c r="JL75" s="164"/>
      <c r="JM75" s="164"/>
      <c r="JN75" s="164"/>
      <c r="JO75" s="164"/>
      <c r="JP75" s="164"/>
      <c r="JQ75" s="164"/>
      <c r="JR75" s="164"/>
      <c r="JS75" s="164"/>
      <c r="JT75" s="164"/>
      <c r="JU75" s="164"/>
      <c r="JV75" s="164"/>
      <c r="JW75" s="164"/>
      <c r="JX75" s="164"/>
      <c r="JY75" s="164"/>
      <c r="JZ75" s="164"/>
      <c r="KA75" s="164"/>
      <c r="KB75" s="164"/>
      <c r="KC75" s="164"/>
      <c r="KD75" s="164"/>
      <c r="KE75" s="164"/>
      <c r="KF75" s="164"/>
      <c r="KG75" s="164"/>
      <c r="KH75" s="164"/>
      <c r="KI75" s="164"/>
      <c r="KJ75" s="164"/>
      <c r="KK75" s="164"/>
      <c r="KL75" s="164"/>
      <c r="KM75" s="164"/>
      <c r="LD75" s="169"/>
      <c r="LE75" s="164"/>
      <c r="LF75" s="164"/>
      <c r="LJ75" s="192"/>
      <c r="LK75" s="192"/>
      <c r="LL75" s="192"/>
      <c r="QK75" s="163"/>
      <c r="QL75" s="163"/>
      <c r="QN75" s="163"/>
      <c r="QQ75" s="165"/>
      <c r="QR75" s="166"/>
    </row>
    <row r="76" spans="3:465" ht="5.15" customHeight="1" thickBot="1" x14ac:dyDescent="0.4">
      <c r="C76" s="161"/>
      <c r="D76" s="162"/>
      <c r="E76" s="164"/>
      <c r="H76" s="164"/>
      <c r="I76" s="333"/>
      <c r="J76" s="334"/>
      <c r="K76" s="334"/>
      <c r="L76" s="334"/>
      <c r="M76" s="334"/>
      <c r="N76" s="334"/>
      <c r="O76" s="334"/>
      <c r="P76" s="334"/>
      <c r="Q76" s="334"/>
      <c r="R76" s="334"/>
      <c r="S76" s="334"/>
      <c r="T76" s="334"/>
      <c r="U76" s="334"/>
      <c r="V76" s="334"/>
      <c r="W76" s="334"/>
      <c r="X76" s="334"/>
      <c r="Y76" s="334"/>
      <c r="Z76" s="334"/>
      <c r="AA76" s="334"/>
      <c r="AB76" s="334"/>
      <c r="AC76" s="334"/>
      <c r="AD76" s="334"/>
      <c r="AE76" s="334"/>
      <c r="AF76" s="334"/>
      <c r="AG76" s="334"/>
      <c r="AH76" s="334"/>
      <c r="AI76" s="334"/>
      <c r="AJ76" s="334"/>
      <c r="AK76" s="334"/>
      <c r="AL76" s="334"/>
      <c r="AM76" s="334"/>
      <c r="AN76" s="334"/>
      <c r="AO76" s="334"/>
      <c r="AP76" s="334"/>
      <c r="AQ76" s="334"/>
      <c r="AR76" s="334"/>
      <c r="AS76" s="334"/>
      <c r="AT76" s="334"/>
      <c r="AU76" s="334"/>
      <c r="AV76" s="334"/>
      <c r="AW76" s="341"/>
      <c r="AX76" s="346"/>
      <c r="AY76" s="347"/>
      <c r="AZ76" s="347"/>
      <c r="BA76" s="347"/>
      <c r="BB76" s="348"/>
      <c r="BC76" s="164"/>
      <c r="BD76" s="164"/>
      <c r="BZ76" s="312"/>
      <c r="CA76" s="312"/>
      <c r="CB76" s="312"/>
      <c r="CC76" s="312"/>
      <c r="CD76" s="312"/>
      <c r="CE76" s="312"/>
      <c r="CF76" s="312"/>
      <c r="CG76" s="312"/>
      <c r="CH76" s="312"/>
      <c r="CI76" s="312"/>
      <c r="CJ76" s="312"/>
      <c r="CK76" s="312"/>
      <c r="CL76" s="312"/>
      <c r="CM76" s="312"/>
      <c r="CN76" s="312"/>
      <c r="CO76" s="312"/>
      <c r="CP76" s="312"/>
      <c r="CQ76" s="312"/>
      <c r="CR76" s="312"/>
      <c r="CS76" s="312"/>
      <c r="CT76" s="312"/>
      <c r="CU76" s="312"/>
      <c r="CV76" s="312"/>
      <c r="CW76" s="312"/>
      <c r="CX76" s="312"/>
      <c r="CY76" s="312"/>
      <c r="CZ76" s="312"/>
      <c r="DA76" s="312"/>
      <c r="DB76" s="312"/>
      <c r="DC76" s="312"/>
      <c r="DD76" s="312"/>
      <c r="DE76" s="312"/>
      <c r="DF76" s="312"/>
      <c r="DG76" s="312"/>
      <c r="DH76" s="312"/>
      <c r="DI76" s="312"/>
      <c r="DJ76" s="312"/>
      <c r="DK76" s="312"/>
      <c r="DL76" s="312"/>
      <c r="DM76" s="312"/>
      <c r="DN76" s="311"/>
      <c r="DO76" s="311"/>
      <c r="DP76" s="311"/>
      <c r="DQ76" s="311"/>
      <c r="DR76" s="311"/>
      <c r="DS76" s="311"/>
      <c r="DT76" s="174"/>
      <c r="DU76" s="174"/>
      <c r="DV76" s="174"/>
      <c r="DW76" s="174"/>
      <c r="DX76" s="174"/>
      <c r="DY76" s="174"/>
      <c r="DZ76" s="174"/>
      <c r="EA76" s="174"/>
      <c r="EB76" s="174"/>
      <c r="EC76" s="174"/>
      <c r="ED76" s="173"/>
      <c r="EE76" s="174"/>
      <c r="EF76" s="174"/>
      <c r="EG76" s="174"/>
      <c r="EH76" s="174"/>
      <c r="EI76" s="174"/>
      <c r="EJ76" s="174"/>
      <c r="EK76" s="174"/>
      <c r="EL76" s="174"/>
      <c r="EM76" s="174"/>
      <c r="EN76" s="174"/>
      <c r="EO76" s="174"/>
      <c r="EP76" s="174"/>
      <c r="EQ76" s="174"/>
      <c r="ER76" s="174"/>
      <c r="ES76" s="193"/>
      <c r="ET76" s="312"/>
      <c r="EU76" s="312"/>
      <c r="EV76" s="312"/>
      <c r="EW76" s="312"/>
      <c r="EX76" s="312"/>
      <c r="EY76" s="312"/>
      <c r="EZ76" s="312"/>
      <c r="FA76" s="312"/>
      <c r="FB76" s="312"/>
      <c r="FC76" s="312"/>
      <c r="FD76" s="312"/>
      <c r="FE76" s="312"/>
      <c r="FF76" s="312"/>
      <c r="FG76" s="312"/>
      <c r="FH76" s="312"/>
      <c r="FI76" s="312"/>
      <c r="FJ76" s="312"/>
      <c r="FK76" s="312"/>
      <c r="FL76" s="312"/>
      <c r="FM76" s="312"/>
      <c r="FN76" s="312"/>
      <c r="FO76" s="312"/>
      <c r="FP76" s="312"/>
      <c r="FQ76" s="312"/>
      <c r="FR76" s="312"/>
      <c r="FS76" s="312"/>
      <c r="FT76" s="312"/>
      <c r="FU76" s="312"/>
      <c r="FV76" s="312"/>
      <c r="FW76" s="312"/>
      <c r="FX76" s="312"/>
      <c r="FY76" s="312"/>
      <c r="FZ76" s="312"/>
      <c r="GA76" s="312"/>
      <c r="GB76" s="312"/>
      <c r="GC76" s="312"/>
      <c r="GD76" s="312"/>
      <c r="GE76" s="312"/>
      <c r="GF76" s="312"/>
      <c r="GG76" s="312"/>
      <c r="GH76" s="311"/>
      <c r="GI76" s="311"/>
      <c r="GJ76" s="311"/>
      <c r="GK76" s="311"/>
      <c r="GL76" s="311"/>
      <c r="GM76" s="311"/>
      <c r="GO76" s="164"/>
      <c r="GP76" s="164"/>
      <c r="GQ76" s="164"/>
      <c r="GR76" s="164"/>
      <c r="GS76" s="164"/>
      <c r="GT76" s="164"/>
      <c r="GU76" s="164"/>
      <c r="GV76" s="164"/>
      <c r="GW76" s="164"/>
      <c r="GX76" s="164"/>
      <c r="GY76" s="164"/>
      <c r="GZ76" s="164"/>
      <c r="HA76" s="164"/>
      <c r="HB76" s="164"/>
      <c r="HL76" s="164"/>
      <c r="KB76" s="169"/>
      <c r="KC76" s="164"/>
      <c r="KD76" s="164"/>
      <c r="KG76" s="164"/>
      <c r="KH76" s="164"/>
      <c r="KI76" s="164"/>
      <c r="KJ76" s="164"/>
      <c r="KK76" s="164"/>
      <c r="KL76" s="164"/>
      <c r="KM76" s="164"/>
      <c r="LD76" s="194"/>
      <c r="LE76" s="171"/>
      <c r="LF76" s="171"/>
      <c r="LJ76" s="192"/>
      <c r="LK76" s="192"/>
      <c r="LL76" s="192"/>
      <c r="QK76" s="163"/>
      <c r="QL76" s="163"/>
      <c r="QM76" s="164"/>
      <c r="QN76" s="163"/>
      <c r="QO76" s="164"/>
      <c r="QP76" s="164"/>
      <c r="QQ76" s="165"/>
      <c r="QR76" s="166"/>
    </row>
    <row r="77" spans="3:465" ht="5.15" customHeight="1" x14ac:dyDescent="0.35">
      <c r="C77" s="161"/>
      <c r="D77" s="162"/>
      <c r="E77" s="164"/>
      <c r="H77" s="164"/>
      <c r="I77" s="333"/>
      <c r="J77" s="334"/>
      <c r="K77" s="334"/>
      <c r="L77" s="334"/>
      <c r="M77" s="334"/>
      <c r="N77" s="334"/>
      <c r="O77" s="334"/>
      <c r="P77" s="334"/>
      <c r="Q77" s="334"/>
      <c r="R77" s="334"/>
      <c r="S77" s="334"/>
      <c r="T77" s="334"/>
      <c r="U77" s="334"/>
      <c r="V77" s="334"/>
      <c r="W77" s="334"/>
      <c r="X77" s="334"/>
      <c r="Y77" s="334"/>
      <c r="Z77" s="334"/>
      <c r="AA77" s="334"/>
      <c r="AB77" s="334"/>
      <c r="AC77" s="334"/>
      <c r="AD77" s="334"/>
      <c r="AE77" s="334"/>
      <c r="AF77" s="334"/>
      <c r="AG77" s="334"/>
      <c r="AH77" s="334"/>
      <c r="AI77" s="334"/>
      <c r="AJ77" s="334"/>
      <c r="AK77" s="334"/>
      <c r="AL77" s="334"/>
      <c r="AM77" s="334"/>
      <c r="AN77" s="334"/>
      <c r="AO77" s="334"/>
      <c r="AP77" s="334"/>
      <c r="AQ77" s="334"/>
      <c r="AR77" s="334"/>
      <c r="AS77" s="334"/>
      <c r="AT77" s="334"/>
      <c r="AU77" s="334"/>
      <c r="AV77" s="334"/>
      <c r="AW77" s="341"/>
      <c r="AX77" s="346"/>
      <c r="AY77" s="347"/>
      <c r="AZ77" s="347"/>
      <c r="BA77" s="347"/>
      <c r="BB77" s="348"/>
      <c r="BC77" s="164"/>
      <c r="BD77" s="164"/>
      <c r="BZ77" s="312"/>
      <c r="CA77" s="312"/>
      <c r="CB77" s="312"/>
      <c r="CC77" s="312"/>
      <c r="CD77" s="312"/>
      <c r="CE77" s="312"/>
      <c r="CF77" s="312"/>
      <c r="CG77" s="312"/>
      <c r="CH77" s="312"/>
      <c r="CI77" s="312"/>
      <c r="CJ77" s="312"/>
      <c r="CK77" s="312"/>
      <c r="CL77" s="312"/>
      <c r="CM77" s="312"/>
      <c r="CN77" s="312"/>
      <c r="CO77" s="312"/>
      <c r="CP77" s="312"/>
      <c r="CQ77" s="312"/>
      <c r="CR77" s="312"/>
      <c r="CS77" s="312"/>
      <c r="CT77" s="312"/>
      <c r="CU77" s="312"/>
      <c r="CV77" s="312"/>
      <c r="CW77" s="312"/>
      <c r="CX77" s="312"/>
      <c r="CY77" s="312"/>
      <c r="CZ77" s="312"/>
      <c r="DA77" s="312"/>
      <c r="DB77" s="312"/>
      <c r="DC77" s="312"/>
      <c r="DD77" s="312"/>
      <c r="DE77" s="312"/>
      <c r="DF77" s="312"/>
      <c r="DG77" s="312"/>
      <c r="DH77" s="312"/>
      <c r="DI77" s="312"/>
      <c r="DJ77" s="312"/>
      <c r="DK77" s="312"/>
      <c r="DL77" s="312"/>
      <c r="DM77" s="312"/>
      <c r="DN77" s="311"/>
      <c r="DO77" s="311"/>
      <c r="DP77" s="311"/>
      <c r="DQ77" s="311"/>
      <c r="DR77" s="311"/>
      <c r="DS77" s="311"/>
      <c r="DT77" s="164"/>
      <c r="DU77" s="164"/>
      <c r="DV77" s="164"/>
      <c r="DW77" s="164"/>
      <c r="DX77" s="164"/>
      <c r="DY77" s="164"/>
      <c r="DZ77" s="164"/>
      <c r="EA77" s="164"/>
      <c r="EB77" s="164"/>
      <c r="EC77" s="164"/>
      <c r="ED77" s="169"/>
      <c r="EE77" s="164"/>
      <c r="EF77" s="164"/>
      <c r="EG77" s="164"/>
      <c r="EH77" s="164"/>
      <c r="EI77" s="164"/>
      <c r="EJ77" s="164"/>
      <c r="EK77" s="164"/>
      <c r="EL77" s="164"/>
      <c r="EM77" s="164"/>
      <c r="EN77" s="164"/>
      <c r="EO77" s="164"/>
      <c r="EP77" s="164"/>
      <c r="EQ77" s="164"/>
      <c r="ER77" s="164"/>
      <c r="ES77" s="165"/>
      <c r="ET77" s="312"/>
      <c r="EU77" s="312"/>
      <c r="EV77" s="312"/>
      <c r="EW77" s="312"/>
      <c r="EX77" s="312"/>
      <c r="EY77" s="312"/>
      <c r="EZ77" s="312"/>
      <c r="FA77" s="312"/>
      <c r="FB77" s="312"/>
      <c r="FC77" s="312"/>
      <c r="FD77" s="312"/>
      <c r="FE77" s="312"/>
      <c r="FF77" s="312"/>
      <c r="FG77" s="312"/>
      <c r="FH77" s="312"/>
      <c r="FI77" s="312"/>
      <c r="FJ77" s="312"/>
      <c r="FK77" s="312"/>
      <c r="FL77" s="312"/>
      <c r="FM77" s="312"/>
      <c r="FN77" s="312"/>
      <c r="FO77" s="312"/>
      <c r="FP77" s="312"/>
      <c r="FQ77" s="312"/>
      <c r="FR77" s="312"/>
      <c r="FS77" s="312"/>
      <c r="FT77" s="312"/>
      <c r="FU77" s="312"/>
      <c r="FV77" s="312"/>
      <c r="FW77" s="312"/>
      <c r="FX77" s="312"/>
      <c r="FY77" s="312"/>
      <c r="FZ77" s="312"/>
      <c r="GA77" s="312"/>
      <c r="GB77" s="312"/>
      <c r="GC77" s="312"/>
      <c r="GD77" s="312"/>
      <c r="GE77" s="312"/>
      <c r="GF77" s="312"/>
      <c r="GG77" s="312"/>
      <c r="GH77" s="311"/>
      <c r="GI77" s="311"/>
      <c r="GJ77" s="311"/>
      <c r="GK77" s="311"/>
      <c r="GL77" s="311"/>
      <c r="GM77" s="311"/>
      <c r="GO77" s="164"/>
      <c r="GP77" s="164"/>
      <c r="GQ77" s="164"/>
      <c r="GR77" s="164"/>
      <c r="GS77" s="164"/>
      <c r="GT77" s="164"/>
      <c r="GU77" s="164"/>
      <c r="GV77" s="164"/>
      <c r="GW77" s="164"/>
      <c r="GX77" s="164"/>
      <c r="GY77" s="164"/>
      <c r="GZ77" s="164"/>
      <c r="HA77" s="164"/>
      <c r="HB77" s="164"/>
      <c r="HL77" s="164"/>
      <c r="IK77" s="173"/>
      <c r="IL77" s="174"/>
      <c r="IM77" s="174"/>
      <c r="IN77" s="174"/>
      <c r="IO77" s="174"/>
      <c r="IP77" s="174"/>
      <c r="IQ77" s="174"/>
      <c r="IR77" s="174"/>
      <c r="IS77" s="174"/>
      <c r="IT77" s="174"/>
      <c r="IU77" s="174"/>
      <c r="IV77" s="174"/>
      <c r="IW77" s="174"/>
      <c r="IX77" s="174"/>
      <c r="IY77" s="174"/>
      <c r="IZ77" s="174"/>
      <c r="JA77" s="174"/>
      <c r="JB77" s="174"/>
      <c r="JC77" s="174"/>
      <c r="JD77" s="174"/>
      <c r="JE77" s="174"/>
      <c r="JF77" s="174"/>
      <c r="JG77" s="174"/>
      <c r="JH77" s="174"/>
      <c r="JI77" s="174"/>
      <c r="JJ77" s="174"/>
      <c r="JK77" s="174"/>
      <c r="JL77" s="174"/>
      <c r="JM77" s="174"/>
      <c r="JN77" s="174"/>
      <c r="JO77" s="174"/>
      <c r="JP77" s="174"/>
      <c r="JQ77" s="174"/>
      <c r="JR77" s="174"/>
      <c r="JS77" s="174"/>
      <c r="JT77" s="174"/>
      <c r="JU77" s="174"/>
      <c r="JV77" s="174"/>
      <c r="JW77" s="174"/>
      <c r="JX77" s="174"/>
      <c r="JY77" s="174"/>
      <c r="JZ77" s="174"/>
      <c r="KA77" s="174"/>
      <c r="KB77" s="174"/>
      <c r="KC77" s="174"/>
      <c r="KD77" s="174"/>
      <c r="KE77" s="174"/>
      <c r="KF77" s="174"/>
      <c r="KG77" s="174"/>
      <c r="KH77" s="174"/>
      <c r="KI77" s="174"/>
      <c r="KJ77" s="176"/>
      <c r="KK77" s="173"/>
      <c r="KL77" s="174"/>
      <c r="KM77" s="174"/>
      <c r="KN77" s="174"/>
      <c r="KO77" s="174"/>
      <c r="KP77" s="174"/>
      <c r="KQ77" s="174"/>
      <c r="KR77" s="174"/>
      <c r="KS77" s="174"/>
      <c r="KT77" s="174"/>
      <c r="KU77" s="174"/>
      <c r="KV77" s="174"/>
      <c r="KW77" s="174"/>
      <c r="KX77" s="174"/>
      <c r="KY77" s="174"/>
      <c r="KZ77" s="174"/>
      <c r="LA77" s="174"/>
      <c r="LB77" s="174"/>
      <c r="LC77" s="174"/>
      <c r="LD77" s="174"/>
      <c r="LE77" s="174"/>
      <c r="LF77" s="174"/>
      <c r="LG77" s="174"/>
      <c r="LH77" s="174"/>
      <c r="LI77" s="174"/>
      <c r="LJ77" s="174"/>
      <c r="LK77" s="174"/>
      <c r="LL77" s="174"/>
      <c r="LM77" s="174"/>
      <c r="LN77" s="174"/>
      <c r="LO77" s="174"/>
      <c r="LP77" s="174"/>
      <c r="LQ77" s="174"/>
      <c r="LR77" s="174"/>
      <c r="LS77" s="174"/>
      <c r="LT77" s="174"/>
      <c r="LU77" s="174"/>
      <c r="LV77" s="174"/>
      <c r="LW77" s="174"/>
      <c r="LX77" s="174"/>
      <c r="LY77" s="174"/>
      <c r="LZ77" s="174"/>
      <c r="MA77" s="174"/>
      <c r="MB77" s="174"/>
      <c r="MC77" s="174"/>
      <c r="MD77" s="174"/>
      <c r="ME77" s="174"/>
      <c r="MF77" s="174"/>
      <c r="MG77" s="176"/>
      <c r="MH77" s="174"/>
      <c r="MI77" s="174"/>
      <c r="MJ77" s="174"/>
      <c r="MK77" s="174"/>
      <c r="ML77" s="174"/>
      <c r="MM77" s="174"/>
      <c r="MN77" s="174"/>
      <c r="MO77" s="174"/>
      <c r="MP77" s="174"/>
      <c r="MQ77" s="174"/>
      <c r="MR77" s="174"/>
      <c r="MS77" s="174"/>
      <c r="MT77" s="174"/>
      <c r="MU77" s="174"/>
      <c r="MV77" s="174"/>
      <c r="MW77" s="174"/>
      <c r="MX77" s="174"/>
      <c r="MY77" s="174"/>
      <c r="MZ77" s="174"/>
      <c r="NA77" s="174"/>
      <c r="NB77" s="174"/>
      <c r="NC77" s="174"/>
      <c r="ND77" s="174"/>
      <c r="NE77" s="174"/>
      <c r="NF77" s="174"/>
      <c r="NG77" s="174"/>
      <c r="NH77" s="174"/>
      <c r="NI77" s="174"/>
      <c r="NJ77" s="174"/>
      <c r="NK77" s="174"/>
      <c r="NL77" s="174"/>
      <c r="NM77" s="174"/>
      <c r="NN77" s="174"/>
      <c r="NO77" s="174"/>
      <c r="NP77" s="174"/>
      <c r="NQ77" s="174"/>
      <c r="NR77" s="174"/>
      <c r="NS77" s="174"/>
      <c r="NT77" s="174"/>
      <c r="NU77" s="174"/>
      <c r="NV77" s="174"/>
      <c r="NW77" s="174"/>
      <c r="NX77" s="174"/>
      <c r="NY77" s="174"/>
      <c r="NZ77" s="174"/>
      <c r="OA77" s="174"/>
      <c r="OB77" s="174"/>
      <c r="OC77" s="174"/>
      <c r="OD77" s="176"/>
      <c r="QK77" s="163"/>
      <c r="QL77" s="163"/>
      <c r="QN77" s="163"/>
      <c r="QQ77" s="165"/>
      <c r="QR77" s="166"/>
    </row>
    <row r="78" spans="3:465" ht="5.15" customHeight="1" x14ac:dyDescent="0.35">
      <c r="C78" s="161"/>
      <c r="D78" s="162"/>
      <c r="E78" s="164"/>
      <c r="H78" s="164"/>
      <c r="I78" s="336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37"/>
      <c r="AH78" s="337"/>
      <c r="AI78" s="337"/>
      <c r="AJ78" s="337"/>
      <c r="AK78" s="337"/>
      <c r="AL78" s="337"/>
      <c r="AM78" s="337"/>
      <c r="AN78" s="337"/>
      <c r="AO78" s="337"/>
      <c r="AP78" s="337"/>
      <c r="AQ78" s="337"/>
      <c r="AR78" s="337"/>
      <c r="AS78" s="337"/>
      <c r="AT78" s="337"/>
      <c r="AU78" s="337"/>
      <c r="AV78" s="337"/>
      <c r="AW78" s="342"/>
      <c r="AX78" s="349"/>
      <c r="AY78" s="350"/>
      <c r="AZ78" s="350"/>
      <c r="BA78" s="350"/>
      <c r="BB78" s="351"/>
      <c r="BC78" s="164"/>
      <c r="BD78" s="164"/>
      <c r="BZ78" s="312"/>
      <c r="CA78" s="312"/>
      <c r="CB78" s="312"/>
      <c r="CC78" s="312"/>
      <c r="CD78" s="312"/>
      <c r="CE78" s="312"/>
      <c r="CF78" s="312"/>
      <c r="CG78" s="312"/>
      <c r="CH78" s="312"/>
      <c r="CI78" s="312"/>
      <c r="CJ78" s="312"/>
      <c r="CK78" s="312"/>
      <c r="CL78" s="312"/>
      <c r="CM78" s="312"/>
      <c r="CN78" s="312"/>
      <c r="CO78" s="312"/>
      <c r="CP78" s="312"/>
      <c r="CQ78" s="312"/>
      <c r="CR78" s="312"/>
      <c r="CS78" s="312"/>
      <c r="CT78" s="312"/>
      <c r="CU78" s="312"/>
      <c r="CV78" s="312"/>
      <c r="CW78" s="312"/>
      <c r="CX78" s="312"/>
      <c r="CY78" s="312"/>
      <c r="CZ78" s="312"/>
      <c r="DA78" s="312"/>
      <c r="DB78" s="312"/>
      <c r="DC78" s="312"/>
      <c r="DD78" s="312"/>
      <c r="DE78" s="312"/>
      <c r="DF78" s="312"/>
      <c r="DG78" s="312"/>
      <c r="DH78" s="312"/>
      <c r="DI78" s="312"/>
      <c r="DJ78" s="312"/>
      <c r="DK78" s="312"/>
      <c r="DL78" s="312"/>
      <c r="DM78" s="312"/>
      <c r="DN78" s="311"/>
      <c r="DO78" s="311"/>
      <c r="DP78" s="311"/>
      <c r="DQ78" s="311"/>
      <c r="DR78" s="311"/>
      <c r="DS78" s="311"/>
      <c r="DT78" s="164"/>
      <c r="DU78" s="164"/>
      <c r="DV78" s="164"/>
      <c r="DW78" s="164"/>
      <c r="DX78" s="164"/>
      <c r="DY78" s="164"/>
      <c r="DZ78" s="164"/>
      <c r="EA78" s="164"/>
      <c r="EB78" s="164"/>
      <c r="EC78" s="164"/>
      <c r="ED78" s="169"/>
      <c r="EE78" s="164"/>
      <c r="EF78" s="164"/>
      <c r="EG78" s="164"/>
      <c r="EH78" s="164"/>
      <c r="EI78" s="164"/>
      <c r="EJ78" s="164"/>
      <c r="EK78" s="164"/>
      <c r="EL78" s="164"/>
      <c r="EM78" s="164"/>
      <c r="EN78" s="164"/>
      <c r="EO78" s="164"/>
      <c r="EP78" s="164"/>
      <c r="EQ78" s="164"/>
      <c r="ER78" s="164"/>
      <c r="ES78" s="165"/>
      <c r="ET78" s="312"/>
      <c r="EU78" s="312"/>
      <c r="EV78" s="312"/>
      <c r="EW78" s="312"/>
      <c r="EX78" s="312"/>
      <c r="EY78" s="312"/>
      <c r="EZ78" s="312"/>
      <c r="FA78" s="312"/>
      <c r="FB78" s="312"/>
      <c r="FC78" s="312"/>
      <c r="FD78" s="312"/>
      <c r="FE78" s="312"/>
      <c r="FF78" s="312"/>
      <c r="FG78" s="312"/>
      <c r="FH78" s="312"/>
      <c r="FI78" s="312"/>
      <c r="FJ78" s="312"/>
      <c r="FK78" s="312"/>
      <c r="FL78" s="312"/>
      <c r="FM78" s="312"/>
      <c r="FN78" s="312"/>
      <c r="FO78" s="312"/>
      <c r="FP78" s="312"/>
      <c r="FQ78" s="312"/>
      <c r="FR78" s="312"/>
      <c r="FS78" s="312"/>
      <c r="FT78" s="312"/>
      <c r="FU78" s="312"/>
      <c r="FV78" s="312"/>
      <c r="FW78" s="312"/>
      <c r="FX78" s="312"/>
      <c r="FY78" s="312"/>
      <c r="FZ78" s="312"/>
      <c r="GA78" s="312"/>
      <c r="GB78" s="312"/>
      <c r="GC78" s="312"/>
      <c r="GD78" s="312"/>
      <c r="GE78" s="312"/>
      <c r="GF78" s="312"/>
      <c r="GG78" s="312"/>
      <c r="GH78" s="311"/>
      <c r="GI78" s="311"/>
      <c r="GJ78" s="311"/>
      <c r="GK78" s="311"/>
      <c r="GL78" s="311"/>
      <c r="GM78" s="311"/>
      <c r="GO78" s="164"/>
      <c r="GP78" s="164"/>
      <c r="GQ78" s="164"/>
      <c r="GR78" s="164"/>
      <c r="GS78" s="164"/>
      <c r="GT78" s="164"/>
      <c r="GU78" s="164"/>
      <c r="GV78" s="164"/>
      <c r="GW78" s="164"/>
      <c r="GX78" s="164"/>
      <c r="GY78" s="164"/>
      <c r="GZ78" s="164"/>
      <c r="HA78" s="164"/>
      <c r="HB78" s="164"/>
      <c r="HC78" s="164"/>
      <c r="HD78" s="164"/>
      <c r="HE78" s="164"/>
      <c r="HF78" s="164"/>
      <c r="HG78" s="164"/>
      <c r="HH78" s="164"/>
      <c r="HI78" s="164"/>
      <c r="HJ78" s="164"/>
      <c r="HK78" s="164"/>
      <c r="HL78" s="164"/>
      <c r="IK78" s="169"/>
      <c r="IL78" s="164"/>
      <c r="IM78" s="164"/>
      <c r="IN78" s="164"/>
      <c r="IO78" s="164"/>
      <c r="IP78" s="164"/>
      <c r="IQ78" s="164"/>
      <c r="IR78" s="164"/>
      <c r="IS78" s="164"/>
      <c r="IT78" s="164"/>
      <c r="IU78" s="164"/>
      <c r="IV78" s="164"/>
      <c r="IW78" s="164"/>
      <c r="IX78" s="164"/>
      <c r="IY78" s="164"/>
      <c r="IZ78" s="164"/>
      <c r="JA78" s="164"/>
      <c r="JB78" s="164"/>
      <c r="JC78" s="164"/>
      <c r="JD78" s="164"/>
      <c r="JE78" s="164"/>
      <c r="JF78" s="164"/>
      <c r="JG78" s="164"/>
      <c r="JH78" s="164"/>
      <c r="JI78" s="164"/>
      <c r="JJ78" s="164"/>
      <c r="JK78" s="164"/>
      <c r="JL78" s="164"/>
      <c r="JM78" s="164"/>
      <c r="JN78" s="181"/>
      <c r="JO78" s="181"/>
      <c r="JP78" s="181"/>
      <c r="JQ78" s="181"/>
      <c r="JR78" s="181"/>
      <c r="JS78" s="181"/>
      <c r="JT78" s="181"/>
      <c r="JU78" s="181"/>
      <c r="JV78" s="181"/>
      <c r="JW78" s="181"/>
      <c r="JX78" s="181"/>
      <c r="JY78" s="181"/>
      <c r="JZ78" s="181"/>
      <c r="KA78" s="181"/>
      <c r="KB78" s="181"/>
      <c r="KC78" s="181"/>
      <c r="KD78" s="181"/>
      <c r="KE78" s="181"/>
      <c r="KF78" s="181"/>
      <c r="KG78" s="181"/>
      <c r="KH78" s="181"/>
      <c r="KI78" s="181"/>
      <c r="KJ78" s="172"/>
      <c r="KK78" s="180"/>
      <c r="KL78" s="181"/>
      <c r="KM78" s="181"/>
      <c r="KN78" s="181"/>
      <c r="KO78" s="181"/>
      <c r="KP78" s="181"/>
      <c r="KQ78" s="181"/>
      <c r="KR78" s="181"/>
      <c r="KS78" s="181"/>
      <c r="KT78" s="181"/>
      <c r="KU78" s="181"/>
      <c r="KV78" s="181"/>
      <c r="KW78" s="181"/>
      <c r="KX78" s="181"/>
      <c r="KY78" s="181"/>
      <c r="KZ78" s="181"/>
      <c r="LA78" s="181"/>
      <c r="LB78" s="181"/>
      <c r="LC78" s="181"/>
      <c r="LD78" s="181"/>
      <c r="LE78" s="181"/>
      <c r="LF78" s="164"/>
      <c r="LG78" s="164"/>
      <c r="LH78" s="164"/>
      <c r="LI78" s="164"/>
      <c r="LJ78" s="164"/>
      <c r="LK78" s="181"/>
      <c r="LL78" s="181"/>
      <c r="LM78" s="181"/>
      <c r="LN78" s="181"/>
      <c r="LO78" s="181"/>
      <c r="LP78" s="181"/>
      <c r="LQ78" s="181"/>
      <c r="LR78" s="181"/>
      <c r="LS78" s="181"/>
      <c r="LT78" s="181"/>
      <c r="LU78" s="181"/>
      <c r="LV78" s="181"/>
      <c r="LW78" s="181"/>
      <c r="LX78" s="181"/>
      <c r="LY78" s="181"/>
      <c r="LZ78" s="181"/>
      <c r="MA78" s="181"/>
      <c r="MB78" s="181"/>
      <c r="MC78" s="181"/>
      <c r="MD78" s="181"/>
      <c r="ME78" s="181"/>
      <c r="MF78" s="181"/>
      <c r="MG78" s="195"/>
      <c r="MH78" s="164"/>
      <c r="MI78" s="164"/>
      <c r="MJ78" s="164"/>
      <c r="MK78" s="164"/>
      <c r="ML78" s="164"/>
      <c r="MM78" s="164"/>
      <c r="MN78" s="164"/>
      <c r="MO78" s="164"/>
      <c r="MP78" s="164"/>
      <c r="MQ78" s="164"/>
      <c r="MR78" s="164"/>
      <c r="MS78" s="164"/>
      <c r="MT78" s="164"/>
      <c r="MU78" s="164"/>
      <c r="MV78" s="164"/>
      <c r="MW78" s="164"/>
      <c r="MX78" s="164"/>
      <c r="MY78" s="164"/>
      <c r="MZ78" s="164"/>
      <c r="NA78" s="164"/>
      <c r="NB78" s="164"/>
      <c r="NC78" s="164"/>
      <c r="ND78" s="164"/>
      <c r="NE78" s="164"/>
      <c r="NF78" s="164"/>
      <c r="NG78" s="164"/>
      <c r="NH78" s="164"/>
      <c r="NI78" s="164"/>
      <c r="NJ78" s="164"/>
      <c r="NK78" s="164"/>
      <c r="NL78" s="164"/>
      <c r="NM78" s="164"/>
      <c r="NN78" s="164"/>
      <c r="NO78" s="164"/>
      <c r="NP78" s="164"/>
      <c r="NQ78" s="164"/>
      <c r="NR78" s="164"/>
      <c r="NS78" s="164"/>
      <c r="NT78" s="164"/>
      <c r="NU78" s="164"/>
      <c r="NV78" s="164"/>
      <c r="NW78" s="164"/>
      <c r="NX78" s="164"/>
      <c r="NY78" s="164"/>
      <c r="NZ78" s="164"/>
      <c r="OA78" s="164"/>
      <c r="OB78" s="164"/>
      <c r="OC78" s="164"/>
      <c r="OD78" s="172"/>
      <c r="QK78" s="163"/>
      <c r="QL78" s="163"/>
      <c r="QN78" s="163"/>
      <c r="QQ78" s="165"/>
      <c r="QR78" s="166"/>
    </row>
    <row r="79" spans="3:465" ht="5.15" customHeight="1" x14ac:dyDescent="0.35">
      <c r="C79" s="161"/>
      <c r="D79" s="162"/>
      <c r="E79" s="164"/>
      <c r="G79" s="164"/>
      <c r="I79" s="330" t="s">
        <v>57</v>
      </c>
      <c r="J79" s="331"/>
      <c r="K79" s="331"/>
      <c r="L79" s="331"/>
      <c r="M79" s="331"/>
      <c r="N79" s="331"/>
      <c r="O79" s="331"/>
      <c r="P79" s="331"/>
      <c r="Q79" s="331"/>
      <c r="R79" s="331"/>
      <c r="S79" s="331"/>
      <c r="T79" s="331"/>
      <c r="U79" s="331"/>
      <c r="V79" s="331"/>
      <c r="W79" s="331"/>
      <c r="X79" s="331"/>
      <c r="Y79" s="331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/>
      <c r="AK79" s="331"/>
      <c r="AL79" s="331"/>
      <c r="AM79" s="331"/>
      <c r="AN79" s="331"/>
      <c r="AO79" s="331"/>
      <c r="AP79" s="331"/>
      <c r="AQ79" s="331"/>
      <c r="AR79" s="331"/>
      <c r="AS79" s="331"/>
      <c r="AT79" s="331"/>
      <c r="AU79" s="331"/>
      <c r="AV79" s="331"/>
      <c r="AW79" s="340"/>
      <c r="AX79" s="343">
        <v>4</v>
      </c>
      <c r="AY79" s="344"/>
      <c r="AZ79" s="344"/>
      <c r="BA79" s="344"/>
      <c r="BB79" s="345"/>
      <c r="BZ79" s="312"/>
      <c r="CA79" s="312"/>
      <c r="CB79" s="312"/>
      <c r="CC79" s="312"/>
      <c r="CD79" s="312"/>
      <c r="CE79" s="312"/>
      <c r="CF79" s="312"/>
      <c r="CG79" s="312"/>
      <c r="CH79" s="312"/>
      <c r="CI79" s="312"/>
      <c r="CJ79" s="312"/>
      <c r="CK79" s="312"/>
      <c r="CL79" s="312"/>
      <c r="CM79" s="312"/>
      <c r="CN79" s="312"/>
      <c r="CO79" s="312"/>
      <c r="CP79" s="312"/>
      <c r="CQ79" s="312"/>
      <c r="CR79" s="312"/>
      <c r="CS79" s="312"/>
      <c r="CT79" s="312"/>
      <c r="CU79" s="312"/>
      <c r="CV79" s="312"/>
      <c r="CW79" s="312"/>
      <c r="CX79" s="312"/>
      <c r="CY79" s="312"/>
      <c r="CZ79" s="312"/>
      <c r="DA79" s="312"/>
      <c r="DB79" s="312"/>
      <c r="DC79" s="312"/>
      <c r="DD79" s="312"/>
      <c r="DE79" s="312"/>
      <c r="DF79" s="312"/>
      <c r="DG79" s="312"/>
      <c r="DH79" s="312"/>
      <c r="DI79" s="312"/>
      <c r="DJ79" s="312"/>
      <c r="DK79" s="312"/>
      <c r="DL79" s="312"/>
      <c r="DM79" s="312"/>
      <c r="DN79" s="311"/>
      <c r="DO79" s="311"/>
      <c r="DP79" s="311"/>
      <c r="DQ79" s="311"/>
      <c r="DR79" s="311"/>
      <c r="DS79" s="311"/>
      <c r="DT79" s="164"/>
      <c r="DU79" s="164"/>
      <c r="DV79" s="164"/>
      <c r="DW79" s="164"/>
      <c r="DX79" s="164"/>
      <c r="DY79" s="164"/>
      <c r="DZ79" s="164"/>
      <c r="EA79" s="164"/>
      <c r="EB79" s="164"/>
      <c r="EC79" s="164"/>
      <c r="ED79" s="169"/>
      <c r="EE79" s="164"/>
      <c r="EF79" s="164"/>
      <c r="EG79" s="164"/>
      <c r="EH79" s="164"/>
      <c r="EI79" s="164"/>
      <c r="EJ79" s="164"/>
      <c r="EK79" s="164"/>
      <c r="EL79" s="164"/>
      <c r="EM79" s="164"/>
      <c r="EN79" s="164"/>
      <c r="EO79" s="164"/>
      <c r="EP79" s="164"/>
      <c r="EQ79" s="164"/>
      <c r="ER79" s="164"/>
      <c r="ES79" s="165"/>
      <c r="ET79" s="312"/>
      <c r="EU79" s="312"/>
      <c r="EV79" s="312"/>
      <c r="EW79" s="312"/>
      <c r="EX79" s="312"/>
      <c r="EY79" s="312"/>
      <c r="EZ79" s="312"/>
      <c r="FA79" s="312"/>
      <c r="FB79" s="312"/>
      <c r="FC79" s="312"/>
      <c r="FD79" s="312"/>
      <c r="FE79" s="312"/>
      <c r="FF79" s="312"/>
      <c r="FG79" s="312"/>
      <c r="FH79" s="312"/>
      <c r="FI79" s="312"/>
      <c r="FJ79" s="312"/>
      <c r="FK79" s="312"/>
      <c r="FL79" s="312"/>
      <c r="FM79" s="312"/>
      <c r="FN79" s="312"/>
      <c r="FO79" s="312"/>
      <c r="FP79" s="312"/>
      <c r="FQ79" s="312"/>
      <c r="FR79" s="312"/>
      <c r="FS79" s="312"/>
      <c r="FT79" s="312"/>
      <c r="FU79" s="312"/>
      <c r="FV79" s="312"/>
      <c r="FW79" s="312"/>
      <c r="FX79" s="312"/>
      <c r="FY79" s="312"/>
      <c r="FZ79" s="312"/>
      <c r="GA79" s="312"/>
      <c r="GB79" s="312"/>
      <c r="GC79" s="312"/>
      <c r="GD79" s="312"/>
      <c r="GE79" s="312"/>
      <c r="GF79" s="312"/>
      <c r="GG79" s="312"/>
      <c r="GH79" s="311"/>
      <c r="GI79" s="311"/>
      <c r="GJ79" s="311"/>
      <c r="GK79" s="311"/>
      <c r="GL79" s="311"/>
      <c r="GM79" s="311"/>
      <c r="GO79" s="164"/>
      <c r="GP79" s="164"/>
      <c r="GQ79" s="164"/>
      <c r="GR79" s="164"/>
      <c r="GS79" s="164"/>
      <c r="GT79" s="164"/>
      <c r="GU79" s="164"/>
      <c r="GV79" s="164"/>
      <c r="GW79" s="164"/>
      <c r="GX79" s="164"/>
      <c r="GY79" s="164"/>
      <c r="GZ79" s="164"/>
      <c r="HA79" s="164"/>
      <c r="HB79" s="164"/>
      <c r="HC79" s="164"/>
      <c r="HD79" s="164"/>
      <c r="HE79" s="164"/>
      <c r="HF79" s="164"/>
      <c r="HG79" s="164"/>
      <c r="HH79" s="164"/>
      <c r="HI79" s="164"/>
      <c r="HJ79" s="164"/>
      <c r="HK79" s="164"/>
      <c r="HL79" s="164"/>
      <c r="HP79" s="300" t="s">
        <v>276</v>
      </c>
      <c r="HQ79" s="301"/>
      <c r="HR79" s="301"/>
      <c r="HS79" s="301"/>
      <c r="HT79" s="301"/>
      <c r="HU79" s="301"/>
      <c r="HV79" s="301"/>
      <c r="HW79" s="301"/>
      <c r="HX79" s="301"/>
      <c r="HY79" s="301"/>
      <c r="HZ79" s="301"/>
      <c r="IA79" s="301"/>
      <c r="IB79" s="301"/>
      <c r="IC79" s="301"/>
      <c r="ID79" s="301"/>
      <c r="IE79" s="301"/>
      <c r="IF79" s="301"/>
      <c r="IG79" s="301"/>
      <c r="IH79" s="301"/>
      <c r="II79" s="301"/>
      <c r="IJ79" s="301"/>
      <c r="IK79" s="301"/>
      <c r="IL79" s="301"/>
      <c r="IM79" s="301"/>
      <c r="IN79" s="301"/>
      <c r="IO79" s="301"/>
      <c r="IP79" s="301"/>
      <c r="IQ79" s="301"/>
      <c r="IR79" s="301"/>
      <c r="IS79" s="301"/>
      <c r="IT79" s="301"/>
      <c r="IU79" s="301"/>
      <c r="IV79" s="301"/>
      <c r="IW79" s="301"/>
      <c r="IX79" s="301"/>
      <c r="IY79" s="301"/>
      <c r="IZ79" s="301"/>
      <c r="JA79" s="301"/>
      <c r="JB79" s="301"/>
      <c r="JC79" s="353"/>
      <c r="JD79" s="300">
        <f>SUM(JD93,JD105,JD115)</f>
        <v>17</v>
      </c>
      <c r="JE79" s="301"/>
      <c r="JF79" s="301"/>
      <c r="JG79" s="301"/>
      <c r="JH79" s="353"/>
      <c r="JN79" s="300" t="s">
        <v>277</v>
      </c>
      <c r="JO79" s="301"/>
      <c r="JP79" s="301"/>
      <c r="JQ79" s="301"/>
      <c r="JR79" s="301"/>
      <c r="JS79" s="301"/>
      <c r="JT79" s="301"/>
      <c r="JU79" s="301"/>
      <c r="JV79" s="301"/>
      <c r="JW79" s="301"/>
      <c r="JX79" s="301"/>
      <c r="JY79" s="301"/>
      <c r="JZ79" s="301"/>
      <c r="KA79" s="301"/>
      <c r="KB79" s="301"/>
      <c r="KC79" s="301"/>
      <c r="KD79" s="301"/>
      <c r="KE79" s="301"/>
      <c r="KF79" s="301"/>
      <c r="KG79" s="301"/>
      <c r="KH79" s="301"/>
      <c r="KI79" s="301"/>
      <c r="KJ79" s="301"/>
      <c r="KK79" s="301"/>
      <c r="KL79" s="301"/>
      <c r="KM79" s="301"/>
      <c r="KN79" s="301"/>
      <c r="KO79" s="301"/>
      <c r="KP79" s="301"/>
      <c r="KQ79" s="301"/>
      <c r="KR79" s="301"/>
      <c r="KS79" s="301"/>
      <c r="KT79" s="301"/>
      <c r="KU79" s="301"/>
      <c r="KV79" s="301"/>
      <c r="KW79" s="301"/>
      <c r="KX79" s="301"/>
      <c r="KY79" s="301"/>
      <c r="KZ79" s="301"/>
      <c r="LA79" s="353"/>
      <c r="LB79" s="300">
        <f>SUM(LB93,LB103,LB113,LB123)</f>
        <v>27</v>
      </c>
      <c r="LC79" s="301"/>
      <c r="LD79" s="301"/>
      <c r="LE79" s="301"/>
      <c r="LF79" s="353"/>
      <c r="LG79" s="167"/>
      <c r="LK79" s="300" t="s">
        <v>278</v>
      </c>
      <c r="LL79" s="301"/>
      <c r="LM79" s="301"/>
      <c r="LN79" s="301"/>
      <c r="LO79" s="301"/>
      <c r="LP79" s="301"/>
      <c r="LQ79" s="301"/>
      <c r="LR79" s="301"/>
      <c r="LS79" s="301"/>
      <c r="LT79" s="301"/>
      <c r="LU79" s="301"/>
      <c r="LV79" s="301"/>
      <c r="LW79" s="301"/>
      <c r="LX79" s="301"/>
      <c r="LY79" s="301"/>
      <c r="LZ79" s="301"/>
      <c r="MA79" s="301"/>
      <c r="MB79" s="301"/>
      <c r="MC79" s="301"/>
      <c r="MD79" s="301"/>
      <c r="ME79" s="301"/>
      <c r="MF79" s="301"/>
      <c r="MG79" s="301"/>
      <c r="MH79" s="301"/>
      <c r="MI79" s="301"/>
      <c r="MJ79" s="301"/>
      <c r="MK79" s="301"/>
      <c r="ML79" s="301"/>
      <c r="MM79" s="301"/>
      <c r="MN79" s="301"/>
      <c r="MO79" s="301"/>
      <c r="MP79" s="301"/>
      <c r="MQ79" s="301"/>
      <c r="MR79" s="301"/>
      <c r="MS79" s="301"/>
      <c r="MT79" s="301"/>
      <c r="MU79" s="301"/>
      <c r="MV79" s="301"/>
      <c r="MW79" s="301"/>
      <c r="MX79" s="353"/>
      <c r="MY79" s="300">
        <f>SUM(MY93:NC142)</f>
        <v>7</v>
      </c>
      <c r="MZ79" s="301"/>
      <c r="NA79" s="301"/>
      <c r="NB79" s="301"/>
      <c r="NC79" s="353"/>
      <c r="NH79" s="356" t="s">
        <v>279</v>
      </c>
      <c r="NI79" s="356"/>
      <c r="NJ79" s="356"/>
      <c r="NK79" s="356"/>
      <c r="NL79" s="356"/>
      <c r="NM79" s="356"/>
      <c r="NN79" s="356"/>
      <c r="NO79" s="356"/>
      <c r="NP79" s="356"/>
      <c r="NQ79" s="356"/>
      <c r="NR79" s="356"/>
      <c r="NS79" s="356"/>
      <c r="NT79" s="356"/>
      <c r="NU79" s="356"/>
      <c r="NV79" s="356"/>
      <c r="NW79" s="356"/>
      <c r="NX79" s="356"/>
      <c r="NY79" s="356"/>
      <c r="NZ79" s="356"/>
      <c r="OA79" s="356"/>
      <c r="OB79" s="356"/>
      <c r="OC79" s="356"/>
      <c r="OD79" s="356"/>
      <c r="OE79" s="356"/>
      <c r="OF79" s="356"/>
      <c r="OG79" s="356"/>
      <c r="OH79" s="356"/>
      <c r="OI79" s="356"/>
      <c r="OJ79" s="356"/>
      <c r="OK79" s="356"/>
      <c r="OL79" s="356"/>
      <c r="OM79" s="356"/>
      <c r="ON79" s="356"/>
      <c r="OO79" s="356"/>
      <c r="OP79" s="356"/>
      <c r="OQ79" s="356"/>
      <c r="OR79" s="356"/>
      <c r="OS79" s="356"/>
      <c r="OT79" s="356"/>
      <c r="OU79" s="356"/>
      <c r="OV79" s="357">
        <f>SUM(OW93:PB112)</f>
        <v>2</v>
      </c>
      <c r="OW79" s="357"/>
      <c r="OX79" s="357"/>
      <c r="OY79" s="357"/>
      <c r="OZ79" s="357"/>
      <c r="PA79" s="357"/>
      <c r="QK79" s="163"/>
      <c r="QL79" s="163"/>
      <c r="QN79" s="163"/>
      <c r="QQ79" s="165"/>
      <c r="QR79" s="166"/>
    </row>
    <row r="80" spans="3:465" ht="5.15" customHeight="1" x14ac:dyDescent="0.35">
      <c r="C80" s="161"/>
      <c r="D80" s="162"/>
      <c r="E80" s="164"/>
      <c r="G80" s="164"/>
      <c r="I80" s="333"/>
      <c r="J80" s="334"/>
      <c r="K80" s="334"/>
      <c r="L80" s="334"/>
      <c r="M80" s="334"/>
      <c r="N80" s="334"/>
      <c r="O80" s="334"/>
      <c r="P80" s="334"/>
      <c r="Q80" s="334"/>
      <c r="R80" s="334"/>
      <c r="S80" s="334"/>
      <c r="T80" s="334"/>
      <c r="U80" s="334"/>
      <c r="V80" s="334"/>
      <c r="W80" s="334"/>
      <c r="X80" s="334"/>
      <c r="Y80" s="334"/>
      <c r="Z80" s="334"/>
      <c r="AA80" s="334"/>
      <c r="AB80" s="334"/>
      <c r="AC80" s="334"/>
      <c r="AD80" s="334"/>
      <c r="AE80" s="334"/>
      <c r="AF80" s="334"/>
      <c r="AG80" s="334"/>
      <c r="AH80" s="334"/>
      <c r="AI80" s="334"/>
      <c r="AJ80" s="334"/>
      <c r="AK80" s="334"/>
      <c r="AL80" s="334"/>
      <c r="AM80" s="334"/>
      <c r="AN80" s="334"/>
      <c r="AO80" s="334"/>
      <c r="AP80" s="334"/>
      <c r="AQ80" s="334"/>
      <c r="AR80" s="334"/>
      <c r="AS80" s="334"/>
      <c r="AT80" s="334"/>
      <c r="AU80" s="334"/>
      <c r="AV80" s="334"/>
      <c r="AW80" s="341"/>
      <c r="AX80" s="346"/>
      <c r="AY80" s="347"/>
      <c r="AZ80" s="347"/>
      <c r="BA80" s="347"/>
      <c r="BB80" s="348"/>
      <c r="CB80" s="164"/>
      <c r="CC80" s="164"/>
      <c r="DT80" s="164"/>
      <c r="DU80" s="164"/>
      <c r="DV80" s="164"/>
      <c r="DW80" s="164"/>
      <c r="DX80" s="164"/>
      <c r="DY80" s="164"/>
      <c r="DZ80" s="164"/>
      <c r="EA80" s="164"/>
      <c r="EB80" s="164"/>
      <c r="EC80" s="164"/>
      <c r="ED80" s="169"/>
      <c r="EE80" s="164"/>
      <c r="EF80" s="164"/>
      <c r="EG80" s="164"/>
      <c r="EH80" s="164"/>
      <c r="EI80" s="164"/>
      <c r="EJ80" s="164"/>
      <c r="EK80" s="164"/>
      <c r="EL80" s="164"/>
      <c r="EM80" s="164"/>
      <c r="EN80" s="164"/>
      <c r="EO80" s="164"/>
      <c r="EP80" s="164"/>
      <c r="EQ80" s="164"/>
      <c r="ER80" s="164"/>
      <c r="ES80" s="165"/>
      <c r="ET80" s="312"/>
      <c r="EU80" s="312"/>
      <c r="EV80" s="312"/>
      <c r="EW80" s="312"/>
      <c r="EX80" s="312"/>
      <c r="EY80" s="312"/>
      <c r="EZ80" s="312"/>
      <c r="FA80" s="312"/>
      <c r="FB80" s="312"/>
      <c r="FC80" s="312"/>
      <c r="FD80" s="312"/>
      <c r="FE80" s="312"/>
      <c r="FF80" s="312"/>
      <c r="FG80" s="312"/>
      <c r="FH80" s="312"/>
      <c r="FI80" s="312"/>
      <c r="FJ80" s="312"/>
      <c r="FK80" s="312"/>
      <c r="FL80" s="312"/>
      <c r="FM80" s="312"/>
      <c r="FN80" s="312"/>
      <c r="FO80" s="312"/>
      <c r="FP80" s="312"/>
      <c r="FQ80" s="312"/>
      <c r="FR80" s="312"/>
      <c r="FS80" s="312"/>
      <c r="FT80" s="312"/>
      <c r="FU80" s="312"/>
      <c r="FV80" s="312"/>
      <c r="FW80" s="312"/>
      <c r="FX80" s="312"/>
      <c r="FY80" s="312"/>
      <c r="FZ80" s="312"/>
      <c r="GA80" s="312"/>
      <c r="GB80" s="312"/>
      <c r="GC80" s="312"/>
      <c r="GD80" s="312"/>
      <c r="GE80" s="312"/>
      <c r="GF80" s="312"/>
      <c r="GG80" s="312"/>
      <c r="GH80" s="311"/>
      <c r="GI80" s="311"/>
      <c r="GJ80" s="311"/>
      <c r="GK80" s="311"/>
      <c r="GL80" s="311"/>
      <c r="GM80" s="311"/>
      <c r="GO80" s="164"/>
      <c r="GP80" s="164"/>
      <c r="GQ80" s="164"/>
      <c r="GR80" s="164"/>
      <c r="GS80" s="164"/>
      <c r="GT80" s="164"/>
      <c r="GU80" s="164"/>
      <c r="GV80" s="164"/>
      <c r="GW80" s="164"/>
      <c r="GX80" s="164"/>
      <c r="GY80" s="164"/>
      <c r="GZ80" s="164"/>
      <c r="HA80" s="164"/>
      <c r="HB80" s="164"/>
      <c r="HC80" s="164"/>
      <c r="HD80" s="164"/>
      <c r="HE80" s="164"/>
      <c r="HF80" s="164"/>
      <c r="HG80" s="164"/>
      <c r="HH80" s="164"/>
      <c r="HI80" s="164"/>
      <c r="HJ80" s="164"/>
      <c r="HK80" s="164"/>
      <c r="HL80" s="164"/>
      <c r="HP80" s="303"/>
      <c r="HQ80" s="304"/>
      <c r="HR80" s="304"/>
      <c r="HS80" s="304"/>
      <c r="HT80" s="304"/>
      <c r="HU80" s="304"/>
      <c r="HV80" s="304"/>
      <c r="HW80" s="304"/>
      <c r="HX80" s="304"/>
      <c r="HY80" s="304"/>
      <c r="HZ80" s="304"/>
      <c r="IA80" s="304"/>
      <c r="IB80" s="304"/>
      <c r="IC80" s="304"/>
      <c r="ID80" s="304"/>
      <c r="IE80" s="304"/>
      <c r="IF80" s="304"/>
      <c r="IG80" s="304"/>
      <c r="IH80" s="304"/>
      <c r="II80" s="304"/>
      <c r="IJ80" s="304"/>
      <c r="IK80" s="304"/>
      <c r="IL80" s="304"/>
      <c r="IM80" s="304"/>
      <c r="IN80" s="304"/>
      <c r="IO80" s="304"/>
      <c r="IP80" s="304"/>
      <c r="IQ80" s="304"/>
      <c r="IR80" s="304"/>
      <c r="IS80" s="304"/>
      <c r="IT80" s="304"/>
      <c r="IU80" s="304"/>
      <c r="IV80" s="304"/>
      <c r="IW80" s="304"/>
      <c r="IX80" s="304"/>
      <c r="IY80" s="304"/>
      <c r="IZ80" s="304"/>
      <c r="JA80" s="304"/>
      <c r="JB80" s="304"/>
      <c r="JC80" s="354"/>
      <c r="JD80" s="303"/>
      <c r="JE80" s="304"/>
      <c r="JF80" s="304"/>
      <c r="JG80" s="304"/>
      <c r="JH80" s="354"/>
      <c r="JN80" s="303"/>
      <c r="JO80" s="304"/>
      <c r="JP80" s="304"/>
      <c r="JQ80" s="304"/>
      <c r="JR80" s="304"/>
      <c r="JS80" s="304"/>
      <c r="JT80" s="304"/>
      <c r="JU80" s="304"/>
      <c r="JV80" s="304"/>
      <c r="JW80" s="304"/>
      <c r="JX80" s="304"/>
      <c r="JY80" s="304"/>
      <c r="JZ80" s="304"/>
      <c r="KA80" s="304"/>
      <c r="KB80" s="304"/>
      <c r="KC80" s="304"/>
      <c r="KD80" s="304"/>
      <c r="KE80" s="304"/>
      <c r="KF80" s="304"/>
      <c r="KG80" s="304"/>
      <c r="KH80" s="304"/>
      <c r="KI80" s="304"/>
      <c r="KJ80" s="304"/>
      <c r="KK80" s="304"/>
      <c r="KL80" s="304"/>
      <c r="KM80" s="304"/>
      <c r="KN80" s="304"/>
      <c r="KO80" s="304"/>
      <c r="KP80" s="304"/>
      <c r="KQ80" s="304"/>
      <c r="KR80" s="304"/>
      <c r="KS80" s="304"/>
      <c r="KT80" s="304"/>
      <c r="KU80" s="304"/>
      <c r="KV80" s="304"/>
      <c r="KW80" s="304"/>
      <c r="KX80" s="304"/>
      <c r="KY80" s="304"/>
      <c r="KZ80" s="304"/>
      <c r="LA80" s="354"/>
      <c r="LB80" s="303"/>
      <c r="LC80" s="304"/>
      <c r="LD80" s="304"/>
      <c r="LE80" s="304"/>
      <c r="LF80" s="354"/>
      <c r="LG80" s="167"/>
      <c r="LK80" s="303"/>
      <c r="LL80" s="304"/>
      <c r="LM80" s="304"/>
      <c r="LN80" s="304"/>
      <c r="LO80" s="304"/>
      <c r="LP80" s="304"/>
      <c r="LQ80" s="304"/>
      <c r="LR80" s="304"/>
      <c r="LS80" s="304"/>
      <c r="LT80" s="304"/>
      <c r="LU80" s="304"/>
      <c r="LV80" s="304"/>
      <c r="LW80" s="304"/>
      <c r="LX80" s="304"/>
      <c r="LY80" s="304"/>
      <c r="LZ80" s="304"/>
      <c r="MA80" s="304"/>
      <c r="MB80" s="304"/>
      <c r="MC80" s="304"/>
      <c r="MD80" s="304"/>
      <c r="ME80" s="304"/>
      <c r="MF80" s="304"/>
      <c r="MG80" s="304"/>
      <c r="MH80" s="304"/>
      <c r="MI80" s="304"/>
      <c r="MJ80" s="304"/>
      <c r="MK80" s="304"/>
      <c r="ML80" s="304"/>
      <c r="MM80" s="304"/>
      <c r="MN80" s="304"/>
      <c r="MO80" s="304"/>
      <c r="MP80" s="304"/>
      <c r="MQ80" s="304"/>
      <c r="MR80" s="304"/>
      <c r="MS80" s="304"/>
      <c r="MT80" s="304"/>
      <c r="MU80" s="304"/>
      <c r="MV80" s="304"/>
      <c r="MW80" s="304"/>
      <c r="MX80" s="354"/>
      <c r="MY80" s="303"/>
      <c r="MZ80" s="304"/>
      <c r="NA80" s="304"/>
      <c r="NB80" s="304"/>
      <c r="NC80" s="354"/>
      <c r="NH80" s="356"/>
      <c r="NI80" s="356"/>
      <c r="NJ80" s="356"/>
      <c r="NK80" s="356"/>
      <c r="NL80" s="356"/>
      <c r="NM80" s="356"/>
      <c r="NN80" s="356"/>
      <c r="NO80" s="356"/>
      <c r="NP80" s="356"/>
      <c r="NQ80" s="356"/>
      <c r="NR80" s="356"/>
      <c r="NS80" s="356"/>
      <c r="NT80" s="356"/>
      <c r="NU80" s="356"/>
      <c r="NV80" s="356"/>
      <c r="NW80" s="356"/>
      <c r="NX80" s="356"/>
      <c r="NY80" s="356"/>
      <c r="NZ80" s="356"/>
      <c r="OA80" s="356"/>
      <c r="OB80" s="356"/>
      <c r="OC80" s="356"/>
      <c r="OD80" s="356"/>
      <c r="OE80" s="356"/>
      <c r="OF80" s="356"/>
      <c r="OG80" s="356"/>
      <c r="OH80" s="356"/>
      <c r="OI80" s="356"/>
      <c r="OJ80" s="356"/>
      <c r="OK80" s="356"/>
      <c r="OL80" s="356"/>
      <c r="OM80" s="356"/>
      <c r="ON80" s="356"/>
      <c r="OO80" s="356"/>
      <c r="OP80" s="356"/>
      <c r="OQ80" s="356"/>
      <c r="OR80" s="356"/>
      <c r="OS80" s="356"/>
      <c r="OT80" s="356"/>
      <c r="OU80" s="356"/>
      <c r="OV80" s="357"/>
      <c r="OW80" s="357"/>
      <c r="OX80" s="357"/>
      <c r="OY80" s="357"/>
      <c r="OZ80" s="357"/>
      <c r="PA80" s="357"/>
      <c r="QK80" s="163"/>
      <c r="QL80" s="163"/>
      <c r="QN80" s="163"/>
      <c r="QQ80" s="165"/>
      <c r="QR80" s="166"/>
    </row>
    <row r="81" spans="3:460" ht="5.15" customHeight="1" x14ac:dyDescent="0.35">
      <c r="C81" s="161"/>
      <c r="D81" s="162"/>
      <c r="E81" s="164"/>
      <c r="G81" s="164"/>
      <c r="I81" s="333"/>
      <c r="J81" s="334"/>
      <c r="K81" s="334"/>
      <c r="L81" s="334"/>
      <c r="M81" s="334"/>
      <c r="N81" s="334"/>
      <c r="O81" s="334"/>
      <c r="P81" s="334"/>
      <c r="Q81" s="334"/>
      <c r="R81" s="334"/>
      <c r="S81" s="334"/>
      <c r="T81" s="334"/>
      <c r="U81" s="334"/>
      <c r="V81" s="334"/>
      <c r="W81" s="334"/>
      <c r="X81" s="334"/>
      <c r="Y81" s="334"/>
      <c r="Z81" s="334"/>
      <c r="AA81" s="334"/>
      <c r="AB81" s="334"/>
      <c r="AC81" s="334"/>
      <c r="AD81" s="334"/>
      <c r="AE81" s="334"/>
      <c r="AF81" s="334"/>
      <c r="AG81" s="334"/>
      <c r="AH81" s="334"/>
      <c r="AI81" s="334"/>
      <c r="AJ81" s="334"/>
      <c r="AK81" s="334"/>
      <c r="AL81" s="334"/>
      <c r="AM81" s="334"/>
      <c r="AN81" s="334"/>
      <c r="AO81" s="334"/>
      <c r="AP81" s="334"/>
      <c r="AQ81" s="334"/>
      <c r="AR81" s="334"/>
      <c r="AS81" s="334"/>
      <c r="AT81" s="334"/>
      <c r="AU81" s="334"/>
      <c r="AV81" s="334"/>
      <c r="AW81" s="341"/>
      <c r="AX81" s="346"/>
      <c r="AY81" s="347"/>
      <c r="AZ81" s="347"/>
      <c r="BA81" s="347"/>
      <c r="BB81" s="348"/>
      <c r="CB81" s="164"/>
      <c r="CC81" s="164"/>
      <c r="DZ81" s="164"/>
      <c r="EA81" s="164"/>
      <c r="EB81" s="164"/>
      <c r="EC81" s="164"/>
      <c r="ED81" s="169"/>
      <c r="EE81" s="164"/>
      <c r="EF81" s="164"/>
      <c r="EG81" s="164"/>
      <c r="EH81" s="164"/>
      <c r="EI81" s="164"/>
      <c r="EJ81" s="164"/>
      <c r="EK81" s="164"/>
      <c r="EL81" s="164"/>
      <c r="EM81" s="164"/>
      <c r="EN81" s="164"/>
      <c r="EO81" s="164"/>
      <c r="EP81" s="164"/>
      <c r="EQ81" s="164"/>
      <c r="ER81" s="164"/>
      <c r="ES81" s="164"/>
      <c r="GO81" s="164"/>
      <c r="GP81" s="164"/>
      <c r="GQ81" s="164"/>
      <c r="GR81" s="164"/>
      <c r="GS81" s="164"/>
      <c r="GT81" s="164"/>
      <c r="GU81" s="164"/>
      <c r="GV81" s="164"/>
      <c r="GW81" s="164"/>
      <c r="GX81" s="164"/>
      <c r="GY81" s="164"/>
      <c r="GZ81" s="164"/>
      <c r="HA81" s="164"/>
      <c r="HB81" s="164"/>
      <c r="HC81" s="164"/>
      <c r="HD81" s="164"/>
      <c r="HE81" s="164"/>
      <c r="HF81" s="164"/>
      <c r="HG81" s="164"/>
      <c r="HH81" s="164"/>
      <c r="HI81" s="164"/>
      <c r="HJ81" s="164"/>
      <c r="HK81" s="164"/>
      <c r="HP81" s="303"/>
      <c r="HQ81" s="304"/>
      <c r="HR81" s="304"/>
      <c r="HS81" s="304"/>
      <c r="HT81" s="304"/>
      <c r="HU81" s="304"/>
      <c r="HV81" s="304"/>
      <c r="HW81" s="304"/>
      <c r="HX81" s="304"/>
      <c r="HY81" s="304"/>
      <c r="HZ81" s="304"/>
      <c r="IA81" s="304"/>
      <c r="IB81" s="304"/>
      <c r="IC81" s="304"/>
      <c r="ID81" s="304"/>
      <c r="IE81" s="304"/>
      <c r="IF81" s="304"/>
      <c r="IG81" s="304"/>
      <c r="IH81" s="304"/>
      <c r="II81" s="304"/>
      <c r="IJ81" s="304"/>
      <c r="IK81" s="304"/>
      <c r="IL81" s="304"/>
      <c r="IM81" s="304"/>
      <c r="IN81" s="304"/>
      <c r="IO81" s="304"/>
      <c r="IP81" s="304"/>
      <c r="IQ81" s="304"/>
      <c r="IR81" s="304"/>
      <c r="IS81" s="304"/>
      <c r="IT81" s="304"/>
      <c r="IU81" s="304"/>
      <c r="IV81" s="304"/>
      <c r="IW81" s="304"/>
      <c r="IX81" s="304"/>
      <c r="IY81" s="304"/>
      <c r="IZ81" s="304"/>
      <c r="JA81" s="304"/>
      <c r="JB81" s="304"/>
      <c r="JC81" s="354"/>
      <c r="JD81" s="303"/>
      <c r="JE81" s="304"/>
      <c r="JF81" s="304"/>
      <c r="JG81" s="304"/>
      <c r="JH81" s="354"/>
      <c r="JN81" s="303"/>
      <c r="JO81" s="304"/>
      <c r="JP81" s="304"/>
      <c r="JQ81" s="304"/>
      <c r="JR81" s="304"/>
      <c r="JS81" s="304"/>
      <c r="JT81" s="304"/>
      <c r="JU81" s="304"/>
      <c r="JV81" s="304"/>
      <c r="JW81" s="304"/>
      <c r="JX81" s="304"/>
      <c r="JY81" s="304"/>
      <c r="JZ81" s="304"/>
      <c r="KA81" s="304"/>
      <c r="KB81" s="304"/>
      <c r="KC81" s="304"/>
      <c r="KD81" s="304"/>
      <c r="KE81" s="304"/>
      <c r="KF81" s="304"/>
      <c r="KG81" s="304"/>
      <c r="KH81" s="304"/>
      <c r="KI81" s="304"/>
      <c r="KJ81" s="304"/>
      <c r="KK81" s="304"/>
      <c r="KL81" s="304"/>
      <c r="KM81" s="304"/>
      <c r="KN81" s="304"/>
      <c r="KO81" s="304"/>
      <c r="KP81" s="304"/>
      <c r="KQ81" s="304"/>
      <c r="KR81" s="304"/>
      <c r="KS81" s="304"/>
      <c r="KT81" s="304"/>
      <c r="KU81" s="304"/>
      <c r="KV81" s="304"/>
      <c r="KW81" s="304"/>
      <c r="KX81" s="304"/>
      <c r="KY81" s="304"/>
      <c r="KZ81" s="304"/>
      <c r="LA81" s="354"/>
      <c r="LB81" s="303"/>
      <c r="LC81" s="304"/>
      <c r="LD81" s="304"/>
      <c r="LE81" s="304"/>
      <c r="LF81" s="354"/>
      <c r="LG81" s="167"/>
      <c r="LK81" s="303"/>
      <c r="LL81" s="304"/>
      <c r="LM81" s="304"/>
      <c r="LN81" s="304"/>
      <c r="LO81" s="304"/>
      <c r="LP81" s="304"/>
      <c r="LQ81" s="304"/>
      <c r="LR81" s="304"/>
      <c r="LS81" s="304"/>
      <c r="LT81" s="304"/>
      <c r="LU81" s="304"/>
      <c r="LV81" s="304"/>
      <c r="LW81" s="304"/>
      <c r="LX81" s="304"/>
      <c r="LY81" s="304"/>
      <c r="LZ81" s="304"/>
      <c r="MA81" s="304"/>
      <c r="MB81" s="304"/>
      <c r="MC81" s="304"/>
      <c r="MD81" s="304"/>
      <c r="ME81" s="304"/>
      <c r="MF81" s="304"/>
      <c r="MG81" s="304"/>
      <c r="MH81" s="304"/>
      <c r="MI81" s="304"/>
      <c r="MJ81" s="304"/>
      <c r="MK81" s="304"/>
      <c r="ML81" s="304"/>
      <c r="MM81" s="304"/>
      <c r="MN81" s="304"/>
      <c r="MO81" s="304"/>
      <c r="MP81" s="304"/>
      <c r="MQ81" s="304"/>
      <c r="MR81" s="304"/>
      <c r="MS81" s="304"/>
      <c r="MT81" s="304"/>
      <c r="MU81" s="304"/>
      <c r="MV81" s="304"/>
      <c r="MW81" s="304"/>
      <c r="MX81" s="354"/>
      <c r="MY81" s="303"/>
      <c r="MZ81" s="304"/>
      <c r="NA81" s="304"/>
      <c r="NB81" s="304"/>
      <c r="NC81" s="354"/>
      <c r="NH81" s="356"/>
      <c r="NI81" s="356"/>
      <c r="NJ81" s="356"/>
      <c r="NK81" s="356"/>
      <c r="NL81" s="356"/>
      <c r="NM81" s="356"/>
      <c r="NN81" s="356"/>
      <c r="NO81" s="356"/>
      <c r="NP81" s="356"/>
      <c r="NQ81" s="356"/>
      <c r="NR81" s="356"/>
      <c r="NS81" s="356"/>
      <c r="NT81" s="356"/>
      <c r="NU81" s="356"/>
      <c r="NV81" s="356"/>
      <c r="NW81" s="356"/>
      <c r="NX81" s="356"/>
      <c r="NY81" s="356"/>
      <c r="NZ81" s="356"/>
      <c r="OA81" s="356"/>
      <c r="OB81" s="356"/>
      <c r="OC81" s="356"/>
      <c r="OD81" s="356"/>
      <c r="OE81" s="356"/>
      <c r="OF81" s="356"/>
      <c r="OG81" s="356"/>
      <c r="OH81" s="356"/>
      <c r="OI81" s="356"/>
      <c r="OJ81" s="356"/>
      <c r="OK81" s="356"/>
      <c r="OL81" s="356"/>
      <c r="OM81" s="356"/>
      <c r="ON81" s="356"/>
      <c r="OO81" s="356"/>
      <c r="OP81" s="356"/>
      <c r="OQ81" s="356"/>
      <c r="OR81" s="356"/>
      <c r="OS81" s="356"/>
      <c r="OT81" s="356"/>
      <c r="OU81" s="356"/>
      <c r="OV81" s="357"/>
      <c r="OW81" s="357"/>
      <c r="OX81" s="357"/>
      <c r="OY81" s="357"/>
      <c r="OZ81" s="357"/>
      <c r="PA81" s="357"/>
      <c r="QI81" s="163"/>
      <c r="QJ81" s="163"/>
      <c r="QK81" s="163"/>
      <c r="QL81" s="163"/>
      <c r="QN81" s="163"/>
      <c r="QQ81" s="165"/>
      <c r="QR81" s="166"/>
    </row>
    <row r="82" spans="3:460" ht="5.15" customHeight="1" x14ac:dyDescent="0.35">
      <c r="C82" s="161"/>
      <c r="D82" s="162"/>
      <c r="E82" s="164"/>
      <c r="I82" s="333"/>
      <c r="J82" s="334"/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4"/>
      <c r="V82" s="334"/>
      <c r="W82" s="334"/>
      <c r="X82" s="334"/>
      <c r="Y82" s="334"/>
      <c r="Z82" s="334"/>
      <c r="AA82" s="334"/>
      <c r="AB82" s="334"/>
      <c r="AC82" s="334"/>
      <c r="AD82" s="334"/>
      <c r="AE82" s="334"/>
      <c r="AF82" s="334"/>
      <c r="AG82" s="334"/>
      <c r="AH82" s="334"/>
      <c r="AI82" s="334"/>
      <c r="AJ82" s="334"/>
      <c r="AK82" s="334"/>
      <c r="AL82" s="334"/>
      <c r="AM82" s="334"/>
      <c r="AN82" s="334"/>
      <c r="AO82" s="334"/>
      <c r="AP82" s="334"/>
      <c r="AQ82" s="334"/>
      <c r="AR82" s="334"/>
      <c r="AS82" s="334"/>
      <c r="AT82" s="334"/>
      <c r="AU82" s="334"/>
      <c r="AV82" s="334"/>
      <c r="AW82" s="341"/>
      <c r="AX82" s="346"/>
      <c r="AY82" s="347"/>
      <c r="AZ82" s="347"/>
      <c r="BA82" s="347"/>
      <c r="BB82" s="348"/>
      <c r="CB82" s="164"/>
      <c r="CC82" s="164"/>
      <c r="DZ82" s="164"/>
      <c r="EA82" s="164"/>
      <c r="EB82" s="164"/>
      <c r="EC82" s="164"/>
      <c r="ED82" s="169"/>
      <c r="EE82" s="164"/>
      <c r="EF82" s="164"/>
      <c r="EG82" s="164"/>
      <c r="EH82" s="164"/>
      <c r="EI82" s="164"/>
      <c r="EJ82" s="164"/>
      <c r="EK82" s="164"/>
      <c r="EL82" s="164"/>
      <c r="EM82" s="164"/>
      <c r="EN82" s="164"/>
      <c r="EO82" s="164"/>
      <c r="EP82" s="164"/>
      <c r="EQ82" s="164"/>
      <c r="ER82" s="164"/>
      <c r="ES82" s="164"/>
      <c r="HP82" s="303"/>
      <c r="HQ82" s="304"/>
      <c r="HR82" s="304"/>
      <c r="HS82" s="304"/>
      <c r="HT82" s="304"/>
      <c r="HU82" s="304"/>
      <c r="HV82" s="304"/>
      <c r="HW82" s="304"/>
      <c r="HX82" s="304"/>
      <c r="HY82" s="304"/>
      <c r="HZ82" s="304"/>
      <c r="IA82" s="304"/>
      <c r="IB82" s="304"/>
      <c r="IC82" s="304"/>
      <c r="ID82" s="304"/>
      <c r="IE82" s="304"/>
      <c r="IF82" s="304"/>
      <c r="IG82" s="304"/>
      <c r="IH82" s="304"/>
      <c r="II82" s="304"/>
      <c r="IJ82" s="304"/>
      <c r="IK82" s="304"/>
      <c r="IL82" s="304"/>
      <c r="IM82" s="304"/>
      <c r="IN82" s="304"/>
      <c r="IO82" s="304"/>
      <c r="IP82" s="304"/>
      <c r="IQ82" s="304"/>
      <c r="IR82" s="304"/>
      <c r="IS82" s="304"/>
      <c r="IT82" s="304"/>
      <c r="IU82" s="304"/>
      <c r="IV82" s="304"/>
      <c r="IW82" s="304"/>
      <c r="IX82" s="304"/>
      <c r="IY82" s="304"/>
      <c r="IZ82" s="304"/>
      <c r="JA82" s="304"/>
      <c r="JB82" s="304"/>
      <c r="JC82" s="354"/>
      <c r="JD82" s="303"/>
      <c r="JE82" s="304"/>
      <c r="JF82" s="304"/>
      <c r="JG82" s="304"/>
      <c r="JH82" s="354"/>
      <c r="JN82" s="303"/>
      <c r="JO82" s="304"/>
      <c r="JP82" s="304"/>
      <c r="JQ82" s="304"/>
      <c r="JR82" s="304"/>
      <c r="JS82" s="304"/>
      <c r="JT82" s="304"/>
      <c r="JU82" s="304"/>
      <c r="JV82" s="304"/>
      <c r="JW82" s="304"/>
      <c r="JX82" s="304"/>
      <c r="JY82" s="304"/>
      <c r="JZ82" s="304"/>
      <c r="KA82" s="304"/>
      <c r="KB82" s="304"/>
      <c r="KC82" s="304"/>
      <c r="KD82" s="304"/>
      <c r="KE82" s="304"/>
      <c r="KF82" s="304"/>
      <c r="KG82" s="304"/>
      <c r="KH82" s="304"/>
      <c r="KI82" s="304"/>
      <c r="KJ82" s="304"/>
      <c r="KK82" s="304"/>
      <c r="KL82" s="304"/>
      <c r="KM82" s="304"/>
      <c r="KN82" s="304"/>
      <c r="KO82" s="304"/>
      <c r="KP82" s="304"/>
      <c r="KQ82" s="304"/>
      <c r="KR82" s="304"/>
      <c r="KS82" s="304"/>
      <c r="KT82" s="304"/>
      <c r="KU82" s="304"/>
      <c r="KV82" s="304"/>
      <c r="KW82" s="304"/>
      <c r="KX82" s="304"/>
      <c r="KY82" s="304"/>
      <c r="KZ82" s="304"/>
      <c r="LA82" s="354"/>
      <c r="LB82" s="303"/>
      <c r="LC82" s="304"/>
      <c r="LD82" s="304"/>
      <c r="LE82" s="304"/>
      <c r="LF82" s="354"/>
      <c r="LG82" s="167"/>
      <c r="LK82" s="303"/>
      <c r="LL82" s="304"/>
      <c r="LM82" s="304"/>
      <c r="LN82" s="304"/>
      <c r="LO82" s="304"/>
      <c r="LP82" s="304"/>
      <c r="LQ82" s="304"/>
      <c r="LR82" s="304"/>
      <c r="LS82" s="304"/>
      <c r="LT82" s="304"/>
      <c r="LU82" s="304"/>
      <c r="LV82" s="304"/>
      <c r="LW82" s="304"/>
      <c r="LX82" s="304"/>
      <c r="LY82" s="304"/>
      <c r="LZ82" s="304"/>
      <c r="MA82" s="304"/>
      <c r="MB82" s="304"/>
      <c r="MC82" s="304"/>
      <c r="MD82" s="304"/>
      <c r="ME82" s="304"/>
      <c r="MF82" s="304"/>
      <c r="MG82" s="304"/>
      <c r="MH82" s="304"/>
      <c r="MI82" s="304"/>
      <c r="MJ82" s="304"/>
      <c r="MK82" s="304"/>
      <c r="ML82" s="304"/>
      <c r="MM82" s="304"/>
      <c r="MN82" s="304"/>
      <c r="MO82" s="304"/>
      <c r="MP82" s="304"/>
      <c r="MQ82" s="304"/>
      <c r="MR82" s="304"/>
      <c r="MS82" s="304"/>
      <c r="MT82" s="304"/>
      <c r="MU82" s="304"/>
      <c r="MV82" s="304"/>
      <c r="MW82" s="304"/>
      <c r="MX82" s="354"/>
      <c r="MY82" s="303"/>
      <c r="MZ82" s="304"/>
      <c r="NA82" s="304"/>
      <c r="NB82" s="304"/>
      <c r="NC82" s="354"/>
      <c r="NH82" s="356"/>
      <c r="NI82" s="356"/>
      <c r="NJ82" s="356"/>
      <c r="NK82" s="356"/>
      <c r="NL82" s="356"/>
      <c r="NM82" s="356"/>
      <c r="NN82" s="356"/>
      <c r="NO82" s="356"/>
      <c r="NP82" s="356"/>
      <c r="NQ82" s="356"/>
      <c r="NR82" s="356"/>
      <c r="NS82" s="356"/>
      <c r="NT82" s="356"/>
      <c r="NU82" s="356"/>
      <c r="NV82" s="356"/>
      <c r="NW82" s="356"/>
      <c r="NX82" s="356"/>
      <c r="NY82" s="356"/>
      <c r="NZ82" s="356"/>
      <c r="OA82" s="356"/>
      <c r="OB82" s="356"/>
      <c r="OC82" s="356"/>
      <c r="OD82" s="356"/>
      <c r="OE82" s="356"/>
      <c r="OF82" s="356"/>
      <c r="OG82" s="356"/>
      <c r="OH82" s="356"/>
      <c r="OI82" s="356"/>
      <c r="OJ82" s="356"/>
      <c r="OK82" s="356"/>
      <c r="OL82" s="356"/>
      <c r="OM82" s="356"/>
      <c r="ON82" s="356"/>
      <c r="OO82" s="356"/>
      <c r="OP82" s="356"/>
      <c r="OQ82" s="356"/>
      <c r="OR82" s="356"/>
      <c r="OS82" s="356"/>
      <c r="OT82" s="356"/>
      <c r="OU82" s="356"/>
      <c r="OV82" s="357"/>
      <c r="OW82" s="357"/>
      <c r="OX82" s="357"/>
      <c r="OY82" s="357"/>
      <c r="OZ82" s="357"/>
      <c r="PA82" s="357"/>
      <c r="QK82" s="163"/>
      <c r="QL82" s="163"/>
      <c r="QM82" s="163"/>
      <c r="QN82" s="163"/>
      <c r="QQ82" s="165"/>
      <c r="QR82" s="166"/>
    </row>
    <row r="83" spans="3:460" ht="5.15" customHeight="1" x14ac:dyDescent="0.35">
      <c r="C83" s="161"/>
      <c r="D83" s="162"/>
      <c r="E83" s="164"/>
      <c r="I83" s="333"/>
      <c r="J83" s="334"/>
      <c r="K83" s="334"/>
      <c r="L83" s="334"/>
      <c r="M83" s="334"/>
      <c r="N83" s="334"/>
      <c r="O83" s="334"/>
      <c r="P83" s="334"/>
      <c r="Q83" s="334"/>
      <c r="R83" s="334"/>
      <c r="S83" s="334"/>
      <c r="T83" s="334"/>
      <c r="U83" s="334"/>
      <c r="V83" s="334"/>
      <c r="W83" s="334"/>
      <c r="X83" s="334"/>
      <c r="Y83" s="334"/>
      <c r="Z83" s="334"/>
      <c r="AA83" s="334"/>
      <c r="AB83" s="334"/>
      <c r="AC83" s="334"/>
      <c r="AD83" s="334"/>
      <c r="AE83" s="334"/>
      <c r="AF83" s="334"/>
      <c r="AG83" s="334"/>
      <c r="AH83" s="334"/>
      <c r="AI83" s="334"/>
      <c r="AJ83" s="334"/>
      <c r="AK83" s="334"/>
      <c r="AL83" s="334"/>
      <c r="AM83" s="334"/>
      <c r="AN83" s="334"/>
      <c r="AO83" s="334"/>
      <c r="AP83" s="334"/>
      <c r="AQ83" s="334"/>
      <c r="AR83" s="334"/>
      <c r="AS83" s="334"/>
      <c r="AT83" s="334"/>
      <c r="AU83" s="334"/>
      <c r="AV83" s="334"/>
      <c r="AW83" s="341"/>
      <c r="AX83" s="346"/>
      <c r="AY83" s="347"/>
      <c r="AZ83" s="347"/>
      <c r="BA83" s="347"/>
      <c r="BB83" s="348"/>
      <c r="CB83" s="164"/>
      <c r="CC83" s="164"/>
      <c r="DZ83" s="164"/>
      <c r="EA83" s="164"/>
      <c r="EB83" s="164"/>
      <c r="EC83" s="164"/>
      <c r="ED83" s="169"/>
      <c r="EE83" s="164"/>
      <c r="EF83" s="164"/>
      <c r="EG83" s="164"/>
      <c r="EH83" s="164"/>
      <c r="EI83" s="164"/>
      <c r="EJ83" s="164"/>
      <c r="EK83" s="164"/>
      <c r="EL83" s="164"/>
      <c r="EM83" s="164"/>
      <c r="EN83" s="164"/>
      <c r="EO83" s="164"/>
      <c r="EP83" s="164"/>
      <c r="EQ83" s="164"/>
      <c r="ER83" s="164"/>
      <c r="ES83" s="164"/>
      <c r="HP83" s="303"/>
      <c r="HQ83" s="304"/>
      <c r="HR83" s="304"/>
      <c r="HS83" s="304"/>
      <c r="HT83" s="304"/>
      <c r="HU83" s="304"/>
      <c r="HV83" s="304"/>
      <c r="HW83" s="304"/>
      <c r="HX83" s="304"/>
      <c r="HY83" s="304"/>
      <c r="HZ83" s="304"/>
      <c r="IA83" s="304"/>
      <c r="IB83" s="304"/>
      <c r="IC83" s="304"/>
      <c r="ID83" s="304"/>
      <c r="IE83" s="304"/>
      <c r="IF83" s="304"/>
      <c r="IG83" s="304"/>
      <c r="IH83" s="304"/>
      <c r="II83" s="304"/>
      <c r="IJ83" s="304"/>
      <c r="IK83" s="304"/>
      <c r="IL83" s="304"/>
      <c r="IM83" s="304"/>
      <c r="IN83" s="304"/>
      <c r="IO83" s="304"/>
      <c r="IP83" s="304"/>
      <c r="IQ83" s="304"/>
      <c r="IR83" s="304"/>
      <c r="IS83" s="304"/>
      <c r="IT83" s="304"/>
      <c r="IU83" s="304"/>
      <c r="IV83" s="304"/>
      <c r="IW83" s="304"/>
      <c r="IX83" s="304"/>
      <c r="IY83" s="304"/>
      <c r="IZ83" s="304"/>
      <c r="JA83" s="304"/>
      <c r="JB83" s="304"/>
      <c r="JC83" s="354"/>
      <c r="JD83" s="303"/>
      <c r="JE83" s="304"/>
      <c r="JF83" s="304"/>
      <c r="JG83" s="304"/>
      <c r="JH83" s="354"/>
      <c r="JN83" s="303"/>
      <c r="JO83" s="304"/>
      <c r="JP83" s="304"/>
      <c r="JQ83" s="304"/>
      <c r="JR83" s="304"/>
      <c r="JS83" s="304"/>
      <c r="JT83" s="304"/>
      <c r="JU83" s="304"/>
      <c r="JV83" s="304"/>
      <c r="JW83" s="304"/>
      <c r="JX83" s="304"/>
      <c r="JY83" s="304"/>
      <c r="JZ83" s="304"/>
      <c r="KA83" s="304"/>
      <c r="KB83" s="304"/>
      <c r="KC83" s="304"/>
      <c r="KD83" s="304"/>
      <c r="KE83" s="304"/>
      <c r="KF83" s="304"/>
      <c r="KG83" s="304"/>
      <c r="KH83" s="304"/>
      <c r="KI83" s="304"/>
      <c r="KJ83" s="304"/>
      <c r="KK83" s="304"/>
      <c r="KL83" s="304"/>
      <c r="KM83" s="304"/>
      <c r="KN83" s="304"/>
      <c r="KO83" s="304"/>
      <c r="KP83" s="304"/>
      <c r="KQ83" s="304"/>
      <c r="KR83" s="304"/>
      <c r="KS83" s="304"/>
      <c r="KT83" s="304"/>
      <c r="KU83" s="304"/>
      <c r="KV83" s="304"/>
      <c r="KW83" s="304"/>
      <c r="KX83" s="304"/>
      <c r="KY83" s="304"/>
      <c r="KZ83" s="304"/>
      <c r="LA83" s="354"/>
      <c r="LB83" s="303"/>
      <c r="LC83" s="304"/>
      <c r="LD83" s="304"/>
      <c r="LE83" s="304"/>
      <c r="LF83" s="354"/>
      <c r="LG83" s="167"/>
      <c r="LK83" s="303"/>
      <c r="LL83" s="304"/>
      <c r="LM83" s="304"/>
      <c r="LN83" s="304"/>
      <c r="LO83" s="304"/>
      <c r="LP83" s="304"/>
      <c r="LQ83" s="304"/>
      <c r="LR83" s="304"/>
      <c r="LS83" s="304"/>
      <c r="LT83" s="304"/>
      <c r="LU83" s="304"/>
      <c r="LV83" s="304"/>
      <c r="LW83" s="304"/>
      <c r="LX83" s="304"/>
      <c r="LY83" s="304"/>
      <c r="LZ83" s="304"/>
      <c r="MA83" s="304"/>
      <c r="MB83" s="304"/>
      <c r="MC83" s="304"/>
      <c r="MD83" s="304"/>
      <c r="ME83" s="304"/>
      <c r="MF83" s="304"/>
      <c r="MG83" s="304"/>
      <c r="MH83" s="304"/>
      <c r="MI83" s="304"/>
      <c r="MJ83" s="304"/>
      <c r="MK83" s="304"/>
      <c r="ML83" s="304"/>
      <c r="MM83" s="304"/>
      <c r="MN83" s="304"/>
      <c r="MO83" s="304"/>
      <c r="MP83" s="304"/>
      <c r="MQ83" s="304"/>
      <c r="MR83" s="304"/>
      <c r="MS83" s="304"/>
      <c r="MT83" s="304"/>
      <c r="MU83" s="304"/>
      <c r="MV83" s="304"/>
      <c r="MW83" s="304"/>
      <c r="MX83" s="354"/>
      <c r="MY83" s="303"/>
      <c r="MZ83" s="304"/>
      <c r="NA83" s="304"/>
      <c r="NB83" s="304"/>
      <c r="NC83" s="354"/>
      <c r="NH83" s="356"/>
      <c r="NI83" s="356"/>
      <c r="NJ83" s="356"/>
      <c r="NK83" s="356"/>
      <c r="NL83" s="356"/>
      <c r="NM83" s="356"/>
      <c r="NN83" s="356"/>
      <c r="NO83" s="356"/>
      <c r="NP83" s="356"/>
      <c r="NQ83" s="356"/>
      <c r="NR83" s="356"/>
      <c r="NS83" s="356"/>
      <c r="NT83" s="356"/>
      <c r="NU83" s="356"/>
      <c r="NV83" s="356"/>
      <c r="NW83" s="356"/>
      <c r="NX83" s="356"/>
      <c r="NY83" s="356"/>
      <c r="NZ83" s="356"/>
      <c r="OA83" s="356"/>
      <c r="OB83" s="356"/>
      <c r="OC83" s="356"/>
      <c r="OD83" s="356"/>
      <c r="OE83" s="356"/>
      <c r="OF83" s="356"/>
      <c r="OG83" s="356"/>
      <c r="OH83" s="356"/>
      <c r="OI83" s="356"/>
      <c r="OJ83" s="356"/>
      <c r="OK83" s="356"/>
      <c r="OL83" s="356"/>
      <c r="OM83" s="356"/>
      <c r="ON83" s="356"/>
      <c r="OO83" s="356"/>
      <c r="OP83" s="356"/>
      <c r="OQ83" s="356"/>
      <c r="OR83" s="356"/>
      <c r="OS83" s="356"/>
      <c r="OT83" s="356"/>
      <c r="OU83" s="356"/>
      <c r="OV83" s="357"/>
      <c r="OW83" s="357"/>
      <c r="OX83" s="357"/>
      <c r="OY83" s="357"/>
      <c r="OZ83" s="357"/>
      <c r="PA83" s="357"/>
      <c r="QK83" s="163"/>
      <c r="QL83" s="163"/>
      <c r="QM83" s="163"/>
      <c r="QN83" s="163"/>
      <c r="QQ83" s="165"/>
      <c r="QR83" s="166"/>
    </row>
    <row r="84" spans="3:460" ht="5.15" customHeight="1" x14ac:dyDescent="0.35">
      <c r="C84" s="161"/>
      <c r="D84" s="162"/>
      <c r="E84" s="164"/>
      <c r="I84" s="333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34"/>
      <c r="Z84" s="334"/>
      <c r="AA84" s="334"/>
      <c r="AB84" s="334"/>
      <c r="AC84" s="334"/>
      <c r="AD84" s="334"/>
      <c r="AE84" s="334"/>
      <c r="AF84" s="334"/>
      <c r="AG84" s="334"/>
      <c r="AH84" s="334"/>
      <c r="AI84" s="334"/>
      <c r="AJ84" s="334"/>
      <c r="AK84" s="334"/>
      <c r="AL84" s="334"/>
      <c r="AM84" s="334"/>
      <c r="AN84" s="334"/>
      <c r="AO84" s="334"/>
      <c r="AP84" s="334"/>
      <c r="AQ84" s="334"/>
      <c r="AR84" s="334"/>
      <c r="AS84" s="334"/>
      <c r="AT84" s="334"/>
      <c r="AU84" s="334"/>
      <c r="AV84" s="334"/>
      <c r="AW84" s="341"/>
      <c r="AX84" s="346"/>
      <c r="AY84" s="347"/>
      <c r="AZ84" s="347"/>
      <c r="BA84" s="347"/>
      <c r="BB84" s="348"/>
      <c r="CB84" s="164"/>
      <c r="CC84" s="164"/>
      <c r="DZ84" s="164"/>
      <c r="EA84" s="164"/>
      <c r="EB84" s="164"/>
      <c r="EC84" s="164"/>
      <c r="ED84" s="169"/>
      <c r="EE84" s="164"/>
      <c r="EF84" s="164"/>
      <c r="EG84" s="164"/>
      <c r="EH84" s="164"/>
      <c r="EI84" s="164"/>
      <c r="EJ84" s="164"/>
      <c r="EK84" s="164"/>
      <c r="EL84" s="164"/>
      <c r="EM84" s="164"/>
      <c r="EN84" s="164"/>
      <c r="EO84" s="164"/>
      <c r="EP84" s="164"/>
      <c r="EQ84" s="164"/>
      <c r="ER84" s="164"/>
      <c r="ES84" s="164"/>
      <c r="HP84" s="303"/>
      <c r="HQ84" s="304"/>
      <c r="HR84" s="304"/>
      <c r="HS84" s="304"/>
      <c r="HT84" s="304"/>
      <c r="HU84" s="304"/>
      <c r="HV84" s="304"/>
      <c r="HW84" s="304"/>
      <c r="HX84" s="304"/>
      <c r="HY84" s="304"/>
      <c r="HZ84" s="304"/>
      <c r="IA84" s="304"/>
      <c r="IB84" s="304"/>
      <c r="IC84" s="304"/>
      <c r="ID84" s="304"/>
      <c r="IE84" s="304"/>
      <c r="IF84" s="304"/>
      <c r="IG84" s="304"/>
      <c r="IH84" s="304"/>
      <c r="II84" s="304"/>
      <c r="IJ84" s="304"/>
      <c r="IK84" s="304"/>
      <c r="IL84" s="304"/>
      <c r="IM84" s="304"/>
      <c r="IN84" s="304"/>
      <c r="IO84" s="304"/>
      <c r="IP84" s="304"/>
      <c r="IQ84" s="304"/>
      <c r="IR84" s="304"/>
      <c r="IS84" s="304"/>
      <c r="IT84" s="304"/>
      <c r="IU84" s="304"/>
      <c r="IV84" s="304"/>
      <c r="IW84" s="304"/>
      <c r="IX84" s="304"/>
      <c r="IY84" s="304"/>
      <c r="IZ84" s="304"/>
      <c r="JA84" s="304"/>
      <c r="JB84" s="304"/>
      <c r="JC84" s="354"/>
      <c r="JD84" s="303"/>
      <c r="JE84" s="304"/>
      <c r="JF84" s="304"/>
      <c r="JG84" s="304"/>
      <c r="JH84" s="354"/>
      <c r="JN84" s="303"/>
      <c r="JO84" s="304"/>
      <c r="JP84" s="304"/>
      <c r="JQ84" s="304"/>
      <c r="JR84" s="304"/>
      <c r="JS84" s="304"/>
      <c r="JT84" s="304"/>
      <c r="JU84" s="304"/>
      <c r="JV84" s="304"/>
      <c r="JW84" s="304"/>
      <c r="JX84" s="304"/>
      <c r="JY84" s="304"/>
      <c r="JZ84" s="304"/>
      <c r="KA84" s="304"/>
      <c r="KB84" s="304"/>
      <c r="KC84" s="304"/>
      <c r="KD84" s="304"/>
      <c r="KE84" s="304"/>
      <c r="KF84" s="304"/>
      <c r="KG84" s="304"/>
      <c r="KH84" s="304"/>
      <c r="KI84" s="304"/>
      <c r="KJ84" s="304"/>
      <c r="KK84" s="304"/>
      <c r="KL84" s="304"/>
      <c r="KM84" s="304"/>
      <c r="KN84" s="304"/>
      <c r="KO84" s="304"/>
      <c r="KP84" s="304"/>
      <c r="KQ84" s="304"/>
      <c r="KR84" s="304"/>
      <c r="KS84" s="304"/>
      <c r="KT84" s="304"/>
      <c r="KU84" s="304"/>
      <c r="KV84" s="304"/>
      <c r="KW84" s="304"/>
      <c r="KX84" s="304"/>
      <c r="KY84" s="304"/>
      <c r="KZ84" s="304"/>
      <c r="LA84" s="354"/>
      <c r="LB84" s="303"/>
      <c r="LC84" s="304"/>
      <c r="LD84" s="304"/>
      <c r="LE84" s="304"/>
      <c r="LF84" s="354"/>
      <c r="LG84" s="167"/>
      <c r="LK84" s="303"/>
      <c r="LL84" s="304"/>
      <c r="LM84" s="304"/>
      <c r="LN84" s="304"/>
      <c r="LO84" s="304"/>
      <c r="LP84" s="304"/>
      <c r="LQ84" s="304"/>
      <c r="LR84" s="304"/>
      <c r="LS84" s="304"/>
      <c r="LT84" s="304"/>
      <c r="LU84" s="304"/>
      <c r="LV84" s="304"/>
      <c r="LW84" s="304"/>
      <c r="LX84" s="304"/>
      <c r="LY84" s="304"/>
      <c r="LZ84" s="304"/>
      <c r="MA84" s="304"/>
      <c r="MB84" s="304"/>
      <c r="MC84" s="304"/>
      <c r="MD84" s="304"/>
      <c r="ME84" s="304"/>
      <c r="MF84" s="304"/>
      <c r="MG84" s="304"/>
      <c r="MH84" s="304"/>
      <c r="MI84" s="304"/>
      <c r="MJ84" s="304"/>
      <c r="MK84" s="304"/>
      <c r="ML84" s="304"/>
      <c r="MM84" s="304"/>
      <c r="MN84" s="304"/>
      <c r="MO84" s="304"/>
      <c r="MP84" s="304"/>
      <c r="MQ84" s="304"/>
      <c r="MR84" s="304"/>
      <c r="MS84" s="304"/>
      <c r="MT84" s="304"/>
      <c r="MU84" s="304"/>
      <c r="MV84" s="304"/>
      <c r="MW84" s="304"/>
      <c r="MX84" s="354"/>
      <c r="MY84" s="303"/>
      <c r="MZ84" s="304"/>
      <c r="NA84" s="304"/>
      <c r="NB84" s="304"/>
      <c r="NC84" s="354"/>
      <c r="NH84" s="356"/>
      <c r="NI84" s="356"/>
      <c r="NJ84" s="356"/>
      <c r="NK84" s="356"/>
      <c r="NL84" s="356"/>
      <c r="NM84" s="356"/>
      <c r="NN84" s="356"/>
      <c r="NO84" s="356"/>
      <c r="NP84" s="356"/>
      <c r="NQ84" s="356"/>
      <c r="NR84" s="356"/>
      <c r="NS84" s="356"/>
      <c r="NT84" s="356"/>
      <c r="NU84" s="356"/>
      <c r="NV84" s="356"/>
      <c r="NW84" s="356"/>
      <c r="NX84" s="356"/>
      <c r="NY84" s="356"/>
      <c r="NZ84" s="356"/>
      <c r="OA84" s="356"/>
      <c r="OB84" s="356"/>
      <c r="OC84" s="356"/>
      <c r="OD84" s="356"/>
      <c r="OE84" s="356"/>
      <c r="OF84" s="356"/>
      <c r="OG84" s="356"/>
      <c r="OH84" s="356"/>
      <c r="OI84" s="356"/>
      <c r="OJ84" s="356"/>
      <c r="OK84" s="356"/>
      <c r="OL84" s="356"/>
      <c r="OM84" s="356"/>
      <c r="ON84" s="356"/>
      <c r="OO84" s="356"/>
      <c r="OP84" s="356"/>
      <c r="OQ84" s="356"/>
      <c r="OR84" s="356"/>
      <c r="OS84" s="356"/>
      <c r="OT84" s="356"/>
      <c r="OU84" s="356"/>
      <c r="OV84" s="357"/>
      <c r="OW84" s="357"/>
      <c r="OX84" s="357"/>
      <c r="OY84" s="357"/>
      <c r="OZ84" s="357"/>
      <c r="PA84" s="357"/>
      <c r="QK84" s="163"/>
      <c r="QL84" s="163"/>
      <c r="QM84" s="163"/>
      <c r="QN84" s="163"/>
      <c r="QQ84" s="165"/>
      <c r="QR84" s="166"/>
    </row>
    <row r="85" spans="3:460" ht="5.15" customHeight="1" x14ac:dyDescent="0.35">
      <c r="C85" s="161"/>
      <c r="D85" s="162"/>
      <c r="E85" s="164"/>
      <c r="I85" s="333"/>
      <c r="J85" s="334"/>
      <c r="K85" s="334"/>
      <c r="L85" s="334"/>
      <c r="M85" s="334"/>
      <c r="N85" s="334"/>
      <c r="O85" s="334"/>
      <c r="P85" s="334"/>
      <c r="Q85" s="334"/>
      <c r="R85" s="334"/>
      <c r="S85" s="334"/>
      <c r="T85" s="334"/>
      <c r="U85" s="334"/>
      <c r="V85" s="334"/>
      <c r="W85" s="334"/>
      <c r="X85" s="334"/>
      <c r="Y85" s="334"/>
      <c r="Z85" s="334"/>
      <c r="AA85" s="334"/>
      <c r="AB85" s="334"/>
      <c r="AC85" s="334"/>
      <c r="AD85" s="334"/>
      <c r="AE85" s="334"/>
      <c r="AF85" s="334"/>
      <c r="AG85" s="334"/>
      <c r="AH85" s="334"/>
      <c r="AI85" s="334"/>
      <c r="AJ85" s="334"/>
      <c r="AK85" s="334"/>
      <c r="AL85" s="334"/>
      <c r="AM85" s="334"/>
      <c r="AN85" s="334"/>
      <c r="AO85" s="334"/>
      <c r="AP85" s="334"/>
      <c r="AQ85" s="334"/>
      <c r="AR85" s="334"/>
      <c r="AS85" s="334"/>
      <c r="AT85" s="334"/>
      <c r="AU85" s="334"/>
      <c r="AV85" s="334"/>
      <c r="AW85" s="341"/>
      <c r="AX85" s="346"/>
      <c r="AY85" s="347"/>
      <c r="AZ85" s="347"/>
      <c r="BA85" s="347"/>
      <c r="BB85" s="348"/>
      <c r="DZ85" s="164"/>
      <c r="EA85" s="164"/>
      <c r="EB85" s="164"/>
      <c r="EC85" s="164"/>
      <c r="ED85" s="169"/>
      <c r="EE85" s="164"/>
      <c r="EF85" s="164"/>
      <c r="EG85" s="164"/>
      <c r="EH85" s="164"/>
      <c r="EI85" s="164"/>
      <c r="EJ85" s="164"/>
      <c r="EK85" s="164"/>
      <c r="EL85" s="164"/>
      <c r="EM85" s="164"/>
      <c r="EN85" s="164"/>
      <c r="EO85" s="164"/>
      <c r="EP85" s="164"/>
      <c r="EQ85" s="164"/>
      <c r="ER85" s="164"/>
      <c r="ES85" s="164"/>
      <c r="HP85" s="303"/>
      <c r="HQ85" s="304"/>
      <c r="HR85" s="304"/>
      <c r="HS85" s="304"/>
      <c r="HT85" s="304"/>
      <c r="HU85" s="304"/>
      <c r="HV85" s="304"/>
      <c r="HW85" s="304"/>
      <c r="HX85" s="304"/>
      <c r="HY85" s="304"/>
      <c r="HZ85" s="304"/>
      <c r="IA85" s="304"/>
      <c r="IB85" s="304"/>
      <c r="IC85" s="304"/>
      <c r="ID85" s="304"/>
      <c r="IE85" s="304"/>
      <c r="IF85" s="304"/>
      <c r="IG85" s="304"/>
      <c r="IH85" s="304"/>
      <c r="II85" s="304"/>
      <c r="IJ85" s="304"/>
      <c r="IK85" s="304"/>
      <c r="IL85" s="304"/>
      <c r="IM85" s="304"/>
      <c r="IN85" s="304"/>
      <c r="IO85" s="304"/>
      <c r="IP85" s="304"/>
      <c r="IQ85" s="304"/>
      <c r="IR85" s="304"/>
      <c r="IS85" s="304"/>
      <c r="IT85" s="304"/>
      <c r="IU85" s="304"/>
      <c r="IV85" s="304"/>
      <c r="IW85" s="304"/>
      <c r="IX85" s="304"/>
      <c r="IY85" s="304"/>
      <c r="IZ85" s="304"/>
      <c r="JA85" s="304"/>
      <c r="JB85" s="304"/>
      <c r="JC85" s="354"/>
      <c r="JD85" s="303"/>
      <c r="JE85" s="304"/>
      <c r="JF85" s="304"/>
      <c r="JG85" s="304"/>
      <c r="JH85" s="354"/>
      <c r="JN85" s="303"/>
      <c r="JO85" s="304"/>
      <c r="JP85" s="304"/>
      <c r="JQ85" s="304"/>
      <c r="JR85" s="304"/>
      <c r="JS85" s="304"/>
      <c r="JT85" s="304"/>
      <c r="JU85" s="304"/>
      <c r="JV85" s="304"/>
      <c r="JW85" s="304"/>
      <c r="JX85" s="304"/>
      <c r="JY85" s="304"/>
      <c r="JZ85" s="304"/>
      <c r="KA85" s="304"/>
      <c r="KB85" s="304"/>
      <c r="KC85" s="304"/>
      <c r="KD85" s="304"/>
      <c r="KE85" s="304"/>
      <c r="KF85" s="304"/>
      <c r="KG85" s="304"/>
      <c r="KH85" s="304"/>
      <c r="KI85" s="304"/>
      <c r="KJ85" s="304"/>
      <c r="KK85" s="304"/>
      <c r="KL85" s="304"/>
      <c r="KM85" s="304"/>
      <c r="KN85" s="304"/>
      <c r="KO85" s="304"/>
      <c r="KP85" s="304"/>
      <c r="KQ85" s="304"/>
      <c r="KR85" s="304"/>
      <c r="KS85" s="304"/>
      <c r="KT85" s="304"/>
      <c r="KU85" s="304"/>
      <c r="KV85" s="304"/>
      <c r="KW85" s="304"/>
      <c r="KX85" s="304"/>
      <c r="KY85" s="304"/>
      <c r="KZ85" s="304"/>
      <c r="LA85" s="354"/>
      <c r="LB85" s="303"/>
      <c r="LC85" s="304"/>
      <c r="LD85" s="304"/>
      <c r="LE85" s="304"/>
      <c r="LF85" s="354"/>
      <c r="LG85" s="167"/>
      <c r="LK85" s="303"/>
      <c r="LL85" s="304"/>
      <c r="LM85" s="304"/>
      <c r="LN85" s="304"/>
      <c r="LO85" s="304"/>
      <c r="LP85" s="304"/>
      <c r="LQ85" s="304"/>
      <c r="LR85" s="304"/>
      <c r="LS85" s="304"/>
      <c r="LT85" s="304"/>
      <c r="LU85" s="304"/>
      <c r="LV85" s="304"/>
      <c r="LW85" s="304"/>
      <c r="LX85" s="304"/>
      <c r="LY85" s="304"/>
      <c r="LZ85" s="304"/>
      <c r="MA85" s="304"/>
      <c r="MB85" s="304"/>
      <c r="MC85" s="304"/>
      <c r="MD85" s="304"/>
      <c r="ME85" s="304"/>
      <c r="MF85" s="304"/>
      <c r="MG85" s="304"/>
      <c r="MH85" s="304"/>
      <c r="MI85" s="304"/>
      <c r="MJ85" s="304"/>
      <c r="MK85" s="304"/>
      <c r="ML85" s="304"/>
      <c r="MM85" s="304"/>
      <c r="MN85" s="304"/>
      <c r="MO85" s="304"/>
      <c r="MP85" s="304"/>
      <c r="MQ85" s="304"/>
      <c r="MR85" s="304"/>
      <c r="MS85" s="304"/>
      <c r="MT85" s="304"/>
      <c r="MU85" s="304"/>
      <c r="MV85" s="304"/>
      <c r="MW85" s="304"/>
      <c r="MX85" s="354"/>
      <c r="MY85" s="303"/>
      <c r="MZ85" s="304"/>
      <c r="NA85" s="304"/>
      <c r="NB85" s="304"/>
      <c r="NC85" s="354"/>
      <c r="NH85" s="356"/>
      <c r="NI85" s="356"/>
      <c r="NJ85" s="356"/>
      <c r="NK85" s="356"/>
      <c r="NL85" s="356"/>
      <c r="NM85" s="356"/>
      <c r="NN85" s="356"/>
      <c r="NO85" s="356"/>
      <c r="NP85" s="356"/>
      <c r="NQ85" s="356"/>
      <c r="NR85" s="356"/>
      <c r="NS85" s="356"/>
      <c r="NT85" s="356"/>
      <c r="NU85" s="356"/>
      <c r="NV85" s="356"/>
      <c r="NW85" s="356"/>
      <c r="NX85" s="356"/>
      <c r="NY85" s="356"/>
      <c r="NZ85" s="356"/>
      <c r="OA85" s="356"/>
      <c r="OB85" s="356"/>
      <c r="OC85" s="356"/>
      <c r="OD85" s="356"/>
      <c r="OE85" s="356"/>
      <c r="OF85" s="356"/>
      <c r="OG85" s="356"/>
      <c r="OH85" s="356"/>
      <c r="OI85" s="356"/>
      <c r="OJ85" s="356"/>
      <c r="OK85" s="356"/>
      <c r="OL85" s="356"/>
      <c r="OM85" s="356"/>
      <c r="ON85" s="356"/>
      <c r="OO85" s="356"/>
      <c r="OP85" s="356"/>
      <c r="OQ85" s="356"/>
      <c r="OR85" s="356"/>
      <c r="OS85" s="356"/>
      <c r="OT85" s="356"/>
      <c r="OU85" s="356"/>
      <c r="OV85" s="357"/>
      <c r="OW85" s="357"/>
      <c r="OX85" s="357"/>
      <c r="OY85" s="357"/>
      <c r="OZ85" s="357"/>
      <c r="PA85" s="357"/>
      <c r="QK85" s="163"/>
      <c r="QL85" s="163"/>
      <c r="QM85" s="163"/>
      <c r="QN85" s="163"/>
      <c r="QQ85" s="165"/>
      <c r="QR85" s="166"/>
    </row>
    <row r="86" spans="3:460" ht="5.15" customHeight="1" x14ac:dyDescent="0.35">
      <c r="C86" s="161"/>
      <c r="D86" s="162"/>
      <c r="E86" s="164"/>
      <c r="I86" s="333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  <c r="Z86" s="334"/>
      <c r="AA86" s="334"/>
      <c r="AB86" s="334"/>
      <c r="AC86" s="334"/>
      <c r="AD86" s="334"/>
      <c r="AE86" s="334"/>
      <c r="AF86" s="334"/>
      <c r="AG86" s="334"/>
      <c r="AH86" s="334"/>
      <c r="AI86" s="334"/>
      <c r="AJ86" s="334"/>
      <c r="AK86" s="334"/>
      <c r="AL86" s="334"/>
      <c r="AM86" s="334"/>
      <c r="AN86" s="334"/>
      <c r="AO86" s="334"/>
      <c r="AP86" s="334"/>
      <c r="AQ86" s="334"/>
      <c r="AR86" s="334"/>
      <c r="AS86" s="334"/>
      <c r="AT86" s="334"/>
      <c r="AU86" s="334"/>
      <c r="AV86" s="334"/>
      <c r="AW86" s="341"/>
      <c r="AX86" s="346"/>
      <c r="AY86" s="347"/>
      <c r="AZ86" s="347"/>
      <c r="BA86" s="347"/>
      <c r="BB86" s="348"/>
      <c r="DZ86" s="164"/>
      <c r="EA86" s="164"/>
      <c r="EB86" s="164"/>
      <c r="EC86" s="164"/>
      <c r="ED86" s="169"/>
      <c r="EE86" s="164"/>
      <c r="EF86" s="164"/>
      <c r="EG86" s="164"/>
      <c r="EH86" s="164"/>
      <c r="EI86" s="164"/>
      <c r="EJ86" s="164"/>
      <c r="EK86" s="164"/>
      <c r="EL86" s="164"/>
      <c r="EM86" s="164"/>
      <c r="EN86" s="164"/>
      <c r="EO86" s="164"/>
      <c r="EP86" s="164"/>
      <c r="EQ86" s="164"/>
      <c r="ER86" s="164"/>
      <c r="ES86" s="164"/>
      <c r="HP86" s="303"/>
      <c r="HQ86" s="304"/>
      <c r="HR86" s="304"/>
      <c r="HS86" s="304"/>
      <c r="HT86" s="304"/>
      <c r="HU86" s="304"/>
      <c r="HV86" s="304"/>
      <c r="HW86" s="304"/>
      <c r="HX86" s="304"/>
      <c r="HY86" s="304"/>
      <c r="HZ86" s="304"/>
      <c r="IA86" s="304"/>
      <c r="IB86" s="304"/>
      <c r="IC86" s="304"/>
      <c r="ID86" s="304"/>
      <c r="IE86" s="304"/>
      <c r="IF86" s="304"/>
      <c r="IG86" s="304"/>
      <c r="IH86" s="304"/>
      <c r="II86" s="304"/>
      <c r="IJ86" s="304"/>
      <c r="IK86" s="304"/>
      <c r="IL86" s="304"/>
      <c r="IM86" s="304"/>
      <c r="IN86" s="304"/>
      <c r="IO86" s="304"/>
      <c r="IP86" s="304"/>
      <c r="IQ86" s="304"/>
      <c r="IR86" s="304"/>
      <c r="IS86" s="304"/>
      <c r="IT86" s="304"/>
      <c r="IU86" s="304"/>
      <c r="IV86" s="304"/>
      <c r="IW86" s="304"/>
      <c r="IX86" s="304"/>
      <c r="IY86" s="304"/>
      <c r="IZ86" s="304"/>
      <c r="JA86" s="304"/>
      <c r="JB86" s="304"/>
      <c r="JC86" s="354"/>
      <c r="JD86" s="303"/>
      <c r="JE86" s="304"/>
      <c r="JF86" s="304"/>
      <c r="JG86" s="304"/>
      <c r="JH86" s="354"/>
      <c r="JN86" s="303"/>
      <c r="JO86" s="304"/>
      <c r="JP86" s="304"/>
      <c r="JQ86" s="304"/>
      <c r="JR86" s="304"/>
      <c r="JS86" s="304"/>
      <c r="JT86" s="304"/>
      <c r="JU86" s="304"/>
      <c r="JV86" s="304"/>
      <c r="JW86" s="304"/>
      <c r="JX86" s="304"/>
      <c r="JY86" s="304"/>
      <c r="JZ86" s="304"/>
      <c r="KA86" s="304"/>
      <c r="KB86" s="304"/>
      <c r="KC86" s="304"/>
      <c r="KD86" s="304"/>
      <c r="KE86" s="304"/>
      <c r="KF86" s="304"/>
      <c r="KG86" s="304"/>
      <c r="KH86" s="304"/>
      <c r="KI86" s="304"/>
      <c r="KJ86" s="304"/>
      <c r="KK86" s="304"/>
      <c r="KL86" s="304"/>
      <c r="KM86" s="304"/>
      <c r="KN86" s="304"/>
      <c r="KO86" s="304"/>
      <c r="KP86" s="304"/>
      <c r="KQ86" s="304"/>
      <c r="KR86" s="304"/>
      <c r="KS86" s="304"/>
      <c r="KT86" s="304"/>
      <c r="KU86" s="304"/>
      <c r="KV86" s="304"/>
      <c r="KW86" s="304"/>
      <c r="KX86" s="304"/>
      <c r="KY86" s="304"/>
      <c r="KZ86" s="304"/>
      <c r="LA86" s="354"/>
      <c r="LB86" s="303"/>
      <c r="LC86" s="304"/>
      <c r="LD86" s="304"/>
      <c r="LE86" s="304"/>
      <c r="LF86" s="354"/>
      <c r="LG86" s="167"/>
      <c r="LK86" s="303"/>
      <c r="LL86" s="304"/>
      <c r="LM86" s="304"/>
      <c r="LN86" s="304"/>
      <c r="LO86" s="304"/>
      <c r="LP86" s="304"/>
      <c r="LQ86" s="304"/>
      <c r="LR86" s="304"/>
      <c r="LS86" s="304"/>
      <c r="LT86" s="304"/>
      <c r="LU86" s="304"/>
      <c r="LV86" s="304"/>
      <c r="LW86" s="304"/>
      <c r="LX86" s="304"/>
      <c r="LY86" s="304"/>
      <c r="LZ86" s="304"/>
      <c r="MA86" s="304"/>
      <c r="MB86" s="304"/>
      <c r="MC86" s="304"/>
      <c r="MD86" s="304"/>
      <c r="ME86" s="304"/>
      <c r="MF86" s="304"/>
      <c r="MG86" s="304"/>
      <c r="MH86" s="304"/>
      <c r="MI86" s="304"/>
      <c r="MJ86" s="304"/>
      <c r="MK86" s="304"/>
      <c r="ML86" s="304"/>
      <c r="MM86" s="304"/>
      <c r="MN86" s="304"/>
      <c r="MO86" s="304"/>
      <c r="MP86" s="304"/>
      <c r="MQ86" s="304"/>
      <c r="MR86" s="304"/>
      <c r="MS86" s="304"/>
      <c r="MT86" s="304"/>
      <c r="MU86" s="304"/>
      <c r="MV86" s="304"/>
      <c r="MW86" s="304"/>
      <c r="MX86" s="354"/>
      <c r="MY86" s="303"/>
      <c r="MZ86" s="304"/>
      <c r="NA86" s="304"/>
      <c r="NB86" s="304"/>
      <c r="NC86" s="354"/>
      <c r="NH86" s="356"/>
      <c r="NI86" s="356"/>
      <c r="NJ86" s="356"/>
      <c r="NK86" s="356"/>
      <c r="NL86" s="356"/>
      <c r="NM86" s="356"/>
      <c r="NN86" s="356"/>
      <c r="NO86" s="356"/>
      <c r="NP86" s="356"/>
      <c r="NQ86" s="356"/>
      <c r="NR86" s="356"/>
      <c r="NS86" s="356"/>
      <c r="NT86" s="356"/>
      <c r="NU86" s="356"/>
      <c r="NV86" s="356"/>
      <c r="NW86" s="356"/>
      <c r="NX86" s="356"/>
      <c r="NY86" s="356"/>
      <c r="NZ86" s="356"/>
      <c r="OA86" s="356"/>
      <c r="OB86" s="356"/>
      <c r="OC86" s="356"/>
      <c r="OD86" s="356"/>
      <c r="OE86" s="356"/>
      <c r="OF86" s="356"/>
      <c r="OG86" s="356"/>
      <c r="OH86" s="356"/>
      <c r="OI86" s="356"/>
      <c r="OJ86" s="356"/>
      <c r="OK86" s="356"/>
      <c r="OL86" s="356"/>
      <c r="OM86" s="356"/>
      <c r="ON86" s="356"/>
      <c r="OO86" s="356"/>
      <c r="OP86" s="356"/>
      <c r="OQ86" s="356"/>
      <c r="OR86" s="356"/>
      <c r="OS86" s="356"/>
      <c r="OT86" s="356"/>
      <c r="OU86" s="356"/>
      <c r="OV86" s="357"/>
      <c r="OW86" s="357"/>
      <c r="OX86" s="357"/>
      <c r="OY86" s="357"/>
      <c r="OZ86" s="357"/>
      <c r="PA86" s="357"/>
      <c r="QK86" s="163"/>
      <c r="QL86" s="163"/>
      <c r="QM86" s="163"/>
      <c r="QN86" s="163"/>
      <c r="QQ86" s="165"/>
      <c r="QR86" s="166"/>
    </row>
    <row r="87" spans="3:460" ht="5.15" customHeight="1" x14ac:dyDescent="0.35">
      <c r="C87" s="161"/>
      <c r="D87" s="162"/>
      <c r="E87" s="164"/>
      <c r="I87" s="336"/>
      <c r="J87" s="337"/>
      <c r="K87" s="337"/>
      <c r="L87" s="337"/>
      <c r="M87" s="337"/>
      <c r="N87" s="337"/>
      <c r="O87" s="337"/>
      <c r="P87" s="337"/>
      <c r="Q87" s="337"/>
      <c r="R87" s="337"/>
      <c r="S87" s="337"/>
      <c r="T87" s="337"/>
      <c r="U87" s="337"/>
      <c r="V87" s="337"/>
      <c r="W87" s="337"/>
      <c r="X87" s="337"/>
      <c r="Y87" s="337"/>
      <c r="Z87" s="337"/>
      <c r="AA87" s="337"/>
      <c r="AB87" s="337"/>
      <c r="AC87" s="337"/>
      <c r="AD87" s="337"/>
      <c r="AE87" s="337"/>
      <c r="AF87" s="337"/>
      <c r="AG87" s="337"/>
      <c r="AH87" s="337"/>
      <c r="AI87" s="337"/>
      <c r="AJ87" s="337"/>
      <c r="AK87" s="337"/>
      <c r="AL87" s="337"/>
      <c r="AM87" s="337"/>
      <c r="AN87" s="337"/>
      <c r="AO87" s="337"/>
      <c r="AP87" s="337"/>
      <c r="AQ87" s="337"/>
      <c r="AR87" s="337"/>
      <c r="AS87" s="337"/>
      <c r="AT87" s="337"/>
      <c r="AU87" s="337"/>
      <c r="AV87" s="337"/>
      <c r="AW87" s="342"/>
      <c r="AX87" s="349"/>
      <c r="AY87" s="350"/>
      <c r="AZ87" s="350"/>
      <c r="BA87" s="350"/>
      <c r="BB87" s="351"/>
      <c r="DZ87" s="164"/>
      <c r="EA87" s="164"/>
      <c r="EB87" s="164"/>
      <c r="EC87" s="164"/>
      <c r="ED87" s="169"/>
      <c r="EE87" s="164"/>
      <c r="EF87" s="164"/>
      <c r="EG87" s="164"/>
      <c r="EH87" s="164"/>
      <c r="EI87" s="164"/>
      <c r="EJ87" s="164"/>
      <c r="EK87" s="164"/>
      <c r="EL87" s="164"/>
      <c r="EM87" s="164"/>
      <c r="EN87" s="164"/>
      <c r="EO87" s="164"/>
      <c r="EP87" s="164"/>
      <c r="EQ87" s="164"/>
      <c r="ER87" s="164"/>
      <c r="ES87" s="164"/>
      <c r="HP87" s="303"/>
      <c r="HQ87" s="304"/>
      <c r="HR87" s="304"/>
      <c r="HS87" s="304"/>
      <c r="HT87" s="304"/>
      <c r="HU87" s="304"/>
      <c r="HV87" s="304"/>
      <c r="HW87" s="304"/>
      <c r="HX87" s="304"/>
      <c r="HY87" s="304"/>
      <c r="HZ87" s="304"/>
      <c r="IA87" s="304"/>
      <c r="IB87" s="304"/>
      <c r="IC87" s="304"/>
      <c r="ID87" s="304"/>
      <c r="IE87" s="304"/>
      <c r="IF87" s="304"/>
      <c r="IG87" s="304"/>
      <c r="IH87" s="304"/>
      <c r="II87" s="304"/>
      <c r="IJ87" s="304"/>
      <c r="IK87" s="304"/>
      <c r="IL87" s="304"/>
      <c r="IM87" s="304"/>
      <c r="IN87" s="304"/>
      <c r="IO87" s="304"/>
      <c r="IP87" s="304"/>
      <c r="IQ87" s="304"/>
      <c r="IR87" s="304"/>
      <c r="IS87" s="304"/>
      <c r="IT87" s="304"/>
      <c r="IU87" s="304"/>
      <c r="IV87" s="304"/>
      <c r="IW87" s="304"/>
      <c r="IX87" s="304"/>
      <c r="IY87" s="304"/>
      <c r="IZ87" s="304"/>
      <c r="JA87" s="304"/>
      <c r="JB87" s="304"/>
      <c r="JC87" s="354"/>
      <c r="JD87" s="303"/>
      <c r="JE87" s="304"/>
      <c r="JF87" s="304"/>
      <c r="JG87" s="304"/>
      <c r="JH87" s="354"/>
      <c r="JN87" s="303"/>
      <c r="JO87" s="304"/>
      <c r="JP87" s="304"/>
      <c r="JQ87" s="304"/>
      <c r="JR87" s="304"/>
      <c r="JS87" s="304"/>
      <c r="JT87" s="304"/>
      <c r="JU87" s="304"/>
      <c r="JV87" s="304"/>
      <c r="JW87" s="304"/>
      <c r="JX87" s="304"/>
      <c r="JY87" s="304"/>
      <c r="JZ87" s="304"/>
      <c r="KA87" s="304"/>
      <c r="KB87" s="304"/>
      <c r="KC87" s="304"/>
      <c r="KD87" s="304"/>
      <c r="KE87" s="304"/>
      <c r="KF87" s="304"/>
      <c r="KG87" s="304"/>
      <c r="KH87" s="304"/>
      <c r="KI87" s="304"/>
      <c r="KJ87" s="304"/>
      <c r="KK87" s="304"/>
      <c r="KL87" s="304"/>
      <c r="KM87" s="304"/>
      <c r="KN87" s="304"/>
      <c r="KO87" s="304"/>
      <c r="KP87" s="304"/>
      <c r="KQ87" s="304"/>
      <c r="KR87" s="304"/>
      <c r="KS87" s="304"/>
      <c r="KT87" s="304"/>
      <c r="KU87" s="304"/>
      <c r="KV87" s="304"/>
      <c r="KW87" s="304"/>
      <c r="KX87" s="304"/>
      <c r="KY87" s="304"/>
      <c r="KZ87" s="304"/>
      <c r="LA87" s="354"/>
      <c r="LB87" s="303"/>
      <c r="LC87" s="304"/>
      <c r="LD87" s="304"/>
      <c r="LE87" s="304"/>
      <c r="LF87" s="354"/>
      <c r="LG87" s="167"/>
      <c r="LK87" s="303"/>
      <c r="LL87" s="304"/>
      <c r="LM87" s="304"/>
      <c r="LN87" s="304"/>
      <c r="LO87" s="304"/>
      <c r="LP87" s="304"/>
      <c r="LQ87" s="304"/>
      <c r="LR87" s="304"/>
      <c r="LS87" s="304"/>
      <c r="LT87" s="304"/>
      <c r="LU87" s="304"/>
      <c r="LV87" s="304"/>
      <c r="LW87" s="304"/>
      <c r="LX87" s="304"/>
      <c r="LY87" s="304"/>
      <c r="LZ87" s="304"/>
      <c r="MA87" s="304"/>
      <c r="MB87" s="304"/>
      <c r="MC87" s="304"/>
      <c r="MD87" s="304"/>
      <c r="ME87" s="304"/>
      <c r="MF87" s="304"/>
      <c r="MG87" s="304"/>
      <c r="MH87" s="304"/>
      <c r="MI87" s="304"/>
      <c r="MJ87" s="304"/>
      <c r="MK87" s="304"/>
      <c r="ML87" s="304"/>
      <c r="MM87" s="304"/>
      <c r="MN87" s="304"/>
      <c r="MO87" s="304"/>
      <c r="MP87" s="304"/>
      <c r="MQ87" s="304"/>
      <c r="MR87" s="304"/>
      <c r="MS87" s="304"/>
      <c r="MT87" s="304"/>
      <c r="MU87" s="304"/>
      <c r="MV87" s="304"/>
      <c r="MW87" s="304"/>
      <c r="MX87" s="354"/>
      <c r="MY87" s="303"/>
      <c r="MZ87" s="304"/>
      <c r="NA87" s="304"/>
      <c r="NB87" s="304"/>
      <c r="NC87" s="354"/>
      <c r="NH87" s="356"/>
      <c r="NI87" s="356"/>
      <c r="NJ87" s="356"/>
      <c r="NK87" s="356"/>
      <c r="NL87" s="356"/>
      <c r="NM87" s="356"/>
      <c r="NN87" s="356"/>
      <c r="NO87" s="356"/>
      <c r="NP87" s="356"/>
      <c r="NQ87" s="356"/>
      <c r="NR87" s="356"/>
      <c r="NS87" s="356"/>
      <c r="NT87" s="356"/>
      <c r="NU87" s="356"/>
      <c r="NV87" s="356"/>
      <c r="NW87" s="356"/>
      <c r="NX87" s="356"/>
      <c r="NY87" s="356"/>
      <c r="NZ87" s="356"/>
      <c r="OA87" s="356"/>
      <c r="OB87" s="356"/>
      <c r="OC87" s="356"/>
      <c r="OD87" s="356"/>
      <c r="OE87" s="356"/>
      <c r="OF87" s="356"/>
      <c r="OG87" s="356"/>
      <c r="OH87" s="356"/>
      <c r="OI87" s="356"/>
      <c r="OJ87" s="356"/>
      <c r="OK87" s="356"/>
      <c r="OL87" s="356"/>
      <c r="OM87" s="356"/>
      <c r="ON87" s="356"/>
      <c r="OO87" s="356"/>
      <c r="OP87" s="356"/>
      <c r="OQ87" s="356"/>
      <c r="OR87" s="356"/>
      <c r="OS87" s="356"/>
      <c r="OT87" s="356"/>
      <c r="OU87" s="356"/>
      <c r="OV87" s="357"/>
      <c r="OW87" s="357"/>
      <c r="OX87" s="357"/>
      <c r="OY87" s="357"/>
      <c r="OZ87" s="357"/>
      <c r="PA87" s="357"/>
      <c r="QK87" s="163"/>
      <c r="QL87" s="163"/>
      <c r="QM87" s="163"/>
      <c r="QN87" s="163"/>
      <c r="QQ87" s="165"/>
      <c r="QR87" s="166"/>
    </row>
    <row r="88" spans="3:460" ht="5.15" customHeight="1" x14ac:dyDescent="0.35">
      <c r="C88" s="161"/>
      <c r="D88" s="162"/>
      <c r="E88" s="164"/>
      <c r="ED88" s="169"/>
      <c r="EE88" s="164"/>
      <c r="EF88" s="164"/>
      <c r="EG88" s="164"/>
      <c r="EH88" s="164"/>
      <c r="EI88" s="164"/>
      <c r="EJ88" s="164"/>
      <c r="EK88" s="164"/>
      <c r="EL88" s="164"/>
      <c r="EM88" s="164"/>
      <c r="HP88" s="306"/>
      <c r="HQ88" s="307"/>
      <c r="HR88" s="307"/>
      <c r="HS88" s="307"/>
      <c r="HT88" s="307"/>
      <c r="HU88" s="307"/>
      <c r="HV88" s="307"/>
      <c r="HW88" s="307"/>
      <c r="HX88" s="307"/>
      <c r="HY88" s="307"/>
      <c r="HZ88" s="307"/>
      <c r="IA88" s="307"/>
      <c r="IB88" s="307"/>
      <c r="IC88" s="307"/>
      <c r="ID88" s="307"/>
      <c r="IE88" s="307"/>
      <c r="IF88" s="307"/>
      <c r="IG88" s="307"/>
      <c r="IH88" s="307"/>
      <c r="II88" s="307"/>
      <c r="IJ88" s="307"/>
      <c r="IK88" s="307"/>
      <c r="IL88" s="307"/>
      <c r="IM88" s="307"/>
      <c r="IN88" s="307"/>
      <c r="IO88" s="307"/>
      <c r="IP88" s="307"/>
      <c r="IQ88" s="307"/>
      <c r="IR88" s="307"/>
      <c r="IS88" s="307"/>
      <c r="IT88" s="307"/>
      <c r="IU88" s="307"/>
      <c r="IV88" s="307"/>
      <c r="IW88" s="307"/>
      <c r="IX88" s="307"/>
      <c r="IY88" s="307"/>
      <c r="IZ88" s="307"/>
      <c r="JA88" s="307"/>
      <c r="JB88" s="307"/>
      <c r="JC88" s="355"/>
      <c r="JD88" s="306"/>
      <c r="JE88" s="307"/>
      <c r="JF88" s="307"/>
      <c r="JG88" s="307"/>
      <c r="JH88" s="355"/>
      <c r="JN88" s="306"/>
      <c r="JO88" s="307"/>
      <c r="JP88" s="307"/>
      <c r="JQ88" s="307"/>
      <c r="JR88" s="307"/>
      <c r="JS88" s="307"/>
      <c r="JT88" s="307"/>
      <c r="JU88" s="307"/>
      <c r="JV88" s="307"/>
      <c r="JW88" s="307"/>
      <c r="JX88" s="307"/>
      <c r="JY88" s="307"/>
      <c r="JZ88" s="307"/>
      <c r="KA88" s="307"/>
      <c r="KB88" s="307"/>
      <c r="KC88" s="307"/>
      <c r="KD88" s="307"/>
      <c r="KE88" s="307"/>
      <c r="KF88" s="307"/>
      <c r="KG88" s="307"/>
      <c r="KH88" s="307"/>
      <c r="KI88" s="307"/>
      <c r="KJ88" s="307"/>
      <c r="KK88" s="307"/>
      <c r="KL88" s="307"/>
      <c r="KM88" s="307"/>
      <c r="KN88" s="307"/>
      <c r="KO88" s="307"/>
      <c r="KP88" s="307"/>
      <c r="KQ88" s="307"/>
      <c r="KR88" s="307"/>
      <c r="KS88" s="307"/>
      <c r="KT88" s="307"/>
      <c r="KU88" s="307"/>
      <c r="KV88" s="307"/>
      <c r="KW88" s="307"/>
      <c r="KX88" s="307"/>
      <c r="KY88" s="307"/>
      <c r="KZ88" s="307"/>
      <c r="LA88" s="355"/>
      <c r="LB88" s="306"/>
      <c r="LC88" s="307"/>
      <c r="LD88" s="307"/>
      <c r="LE88" s="307"/>
      <c r="LF88" s="355"/>
      <c r="LG88" s="167"/>
      <c r="LK88" s="306"/>
      <c r="LL88" s="307"/>
      <c r="LM88" s="307"/>
      <c r="LN88" s="307"/>
      <c r="LO88" s="307"/>
      <c r="LP88" s="307"/>
      <c r="LQ88" s="307"/>
      <c r="LR88" s="307"/>
      <c r="LS88" s="307"/>
      <c r="LT88" s="307"/>
      <c r="LU88" s="307"/>
      <c r="LV88" s="307"/>
      <c r="LW88" s="307"/>
      <c r="LX88" s="307"/>
      <c r="LY88" s="307"/>
      <c r="LZ88" s="307"/>
      <c r="MA88" s="307"/>
      <c r="MB88" s="307"/>
      <c r="MC88" s="307"/>
      <c r="MD88" s="307"/>
      <c r="ME88" s="307"/>
      <c r="MF88" s="307"/>
      <c r="MG88" s="307"/>
      <c r="MH88" s="307"/>
      <c r="MI88" s="307"/>
      <c r="MJ88" s="307"/>
      <c r="MK88" s="307"/>
      <c r="ML88" s="307"/>
      <c r="MM88" s="307"/>
      <c r="MN88" s="307"/>
      <c r="MO88" s="307"/>
      <c r="MP88" s="307"/>
      <c r="MQ88" s="307"/>
      <c r="MR88" s="307"/>
      <c r="MS88" s="307"/>
      <c r="MT88" s="307"/>
      <c r="MU88" s="307"/>
      <c r="MV88" s="307"/>
      <c r="MW88" s="307"/>
      <c r="MX88" s="355"/>
      <c r="MY88" s="306"/>
      <c r="MZ88" s="307"/>
      <c r="NA88" s="307"/>
      <c r="NB88" s="307"/>
      <c r="NC88" s="355"/>
      <c r="NH88" s="356"/>
      <c r="NI88" s="356"/>
      <c r="NJ88" s="356"/>
      <c r="NK88" s="356"/>
      <c r="NL88" s="356"/>
      <c r="NM88" s="356"/>
      <c r="NN88" s="356"/>
      <c r="NO88" s="356"/>
      <c r="NP88" s="356"/>
      <c r="NQ88" s="356"/>
      <c r="NR88" s="356"/>
      <c r="NS88" s="356"/>
      <c r="NT88" s="356"/>
      <c r="NU88" s="356"/>
      <c r="NV88" s="356"/>
      <c r="NW88" s="356"/>
      <c r="NX88" s="356"/>
      <c r="NY88" s="356"/>
      <c r="NZ88" s="356"/>
      <c r="OA88" s="356"/>
      <c r="OB88" s="356"/>
      <c r="OC88" s="356"/>
      <c r="OD88" s="356"/>
      <c r="OE88" s="356"/>
      <c r="OF88" s="356"/>
      <c r="OG88" s="356"/>
      <c r="OH88" s="356"/>
      <c r="OI88" s="356"/>
      <c r="OJ88" s="356"/>
      <c r="OK88" s="356"/>
      <c r="OL88" s="356"/>
      <c r="OM88" s="356"/>
      <c r="ON88" s="356"/>
      <c r="OO88" s="356"/>
      <c r="OP88" s="356"/>
      <c r="OQ88" s="356"/>
      <c r="OR88" s="356"/>
      <c r="OS88" s="356"/>
      <c r="OT88" s="356"/>
      <c r="OU88" s="356"/>
      <c r="OV88" s="357"/>
      <c r="OW88" s="357"/>
      <c r="OX88" s="357"/>
      <c r="OY88" s="357"/>
      <c r="OZ88" s="357"/>
      <c r="PA88" s="357"/>
      <c r="QK88" s="163"/>
      <c r="QL88" s="163"/>
      <c r="QM88" s="163"/>
      <c r="QN88" s="163"/>
      <c r="QQ88" s="165"/>
      <c r="QR88" s="166"/>
    </row>
    <row r="89" spans="3:460" ht="5.15" customHeight="1" x14ac:dyDescent="0.35">
      <c r="C89" s="161"/>
      <c r="D89" s="162"/>
      <c r="E89" s="164"/>
      <c r="F89" s="164"/>
      <c r="CZ89" s="164"/>
      <c r="DA89" s="164"/>
      <c r="DB89" s="164"/>
      <c r="DC89" s="164"/>
      <c r="DD89" s="164"/>
      <c r="DE89" s="164"/>
      <c r="DF89" s="164"/>
      <c r="DG89" s="164"/>
      <c r="DH89" s="164"/>
      <c r="DI89" s="164"/>
      <c r="DJ89" s="164"/>
      <c r="DK89" s="164"/>
      <c r="DL89" s="164"/>
      <c r="DM89" s="164"/>
      <c r="DN89" s="164"/>
      <c r="DO89" s="164"/>
      <c r="DP89" s="164"/>
      <c r="DQ89" s="164"/>
      <c r="DR89" s="164"/>
      <c r="DS89" s="164"/>
      <c r="DT89" s="164"/>
      <c r="DU89" s="164"/>
      <c r="DV89" s="164"/>
      <c r="DW89" s="164"/>
      <c r="DX89" s="164"/>
      <c r="DY89" s="164"/>
      <c r="DZ89" s="164"/>
      <c r="ED89" s="169"/>
      <c r="EE89" s="164"/>
      <c r="EF89" s="164"/>
      <c r="EG89" s="164"/>
      <c r="EH89" s="164"/>
      <c r="EI89" s="164"/>
      <c r="EJ89" s="164"/>
      <c r="EK89" s="164"/>
      <c r="EL89" s="164"/>
      <c r="EM89" s="164"/>
      <c r="IM89" s="187"/>
      <c r="IN89" s="188"/>
      <c r="KK89" s="187"/>
      <c r="KL89" s="188"/>
      <c r="MH89" s="187"/>
      <c r="NS89" s="164"/>
      <c r="NT89" s="164"/>
      <c r="NU89" s="164"/>
      <c r="NV89" s="164"/>
      <c r="NW89" s="164"/>
      <c r="NX89" s="164"/>
      <c r="NY89" s="164"/>
      <c r="NZ89" s="164"/>
      <c r="OA89" s="164"/>
      <c r="OB89" s="164"/>
      <c r="OC89" s="164"/>
      <c r="OD89" s="164"/>
      <c r="OE89" s="164"/>
      <c r="OF89" s="187"/>
      <c r="OG89" s="164"/>
      <c r="OH89" s="164"/>
      <c r="QK89" s="164"/>
      <c r="QL89" s="164"/>
      <c r="QM89" s="164"/>
      <c r="QN89" s="164"/>
      <c r="QQ89" s="165"/>
      <c r="QR89" s="166"/>
    </row>
    <row r="90" spans="3:460" ht="5.15" customHeight="1" x14ac:dyDescent="0.35">
      <c r="C90" s="161"/>
      <c r="D90" s="162"/>
      <c r="E90" s="164"/>
      <c r="F90" s="164"/>
      <c r="CZ90" s="164"/>
      <c r="DA90" s="164"/>
      <c r="DB90" s="164"/>
      <c r="DC90" s="164"/>
      <c r="DD90" s="164"/>
      <c r="DE90" s="164"/>
      <c r="DF90" s="164"/>
      <c r="DG90" s="164"/>
      <c r="DH90" s="164"/>
      <c r="DI90" s="164"/>
      <c r="DJ90" s="164"/>
      <c r="DK90" s="164"/>
      <c r="DL90" s="164"/>
      <c r="DM90" s="164"/>
      <c r="DN90" s="164"/>
      <c r="DO90" s="164"/>
      <c r="DP90" s="164"/>
      <c r="DQ90" s="164"/>
      <c r="DR90" s="164"/>
      <c r="DS90" s="164"/>
      <c r="DT90" s="164"/>
      <c r="DU90" s="164"/>
      <c r="DV90" s="164"/>
      <c r="DW90" s="164"/>
      <c r="DX90" s="164"/>
      <c r="DY90" s="164"/>
      <c r="DZ90" s="164"/>
      <c r="ED90" s="169"/>
      <c r="EE90" s="164"/>
      <c r="EF90" s="164"/>
      <c r="EG90" s="164"/>
      <c r="EH90" s="164"/>
      <c r="EI90" s="164"/>
      <c r="EJ90" s="164"/>
      <c r="EK90" s="164"/>
      <c r="EL90" s="164"/>
      <c r="EM90" s="164"/>
      <c r="IM90" s="169"/>
      <c r="IN90" s="164"/>
      <c r="KK90" s="169"/>
      <c r="KL90" s="164"/>
      <c r="MH90" s="169"/>
      <c r="NS90" s="164"/>
      <c r="NT90" s="164"/>
      <c r="NU90" s="164"/>
      <c r="NV90" s="164"/>
      <c r="NW90" s="164"/>
      <c r="NX90" s="164"/>
      <c r="NY90" s="164"/>
      <c r="NZ90" s="164"/>
      <c r="OA90" s="164"/>
      <c r="OB90" s="164"/>
      <c r="OC90" s="164"/>
      <c r="OD90" s="164"/>
      <c r="OE90" s="164"/>
      <c r="OF90" s="169"/>
      <c r="OG90" s="164"/>
      <c r="OH90" s="164"/>
      <c r="QK90" s="164"/>
      <c r="QL90" s="164"/>
      <c r="QM90" s="164"/>
      <c r="QN90" s="164"/>
      <c r="QQ90" s="165"/>
      <c r="QR90" s="166"/>
    </row>
    <row r="91" spans="3:460" ht="5.15" customHeight="1" x14ac:dyDescent="0.35">
      <c r="C91" s="161"/>
      <c r="D91" s="162"/>
      <c r="E91" s="164"/>
      <c r="F91" s="164"/>
      <c r="CZ91" s="164"/>
      <c r="DA91" s="164"/>
      <c r="DB91" s="164"/>
      <c r="DC91" s="164"/>
      <c r="DD91" s="164"/>
      <c r="DE91" s="164"/>
      <c r="DF91" s="164"/>
      <c r="DG91" s="164"/>
      <c r="DH91" s="164"/>
      <c r="DI91" s="164"/>
      <c r="DJ91" s="164"/>
      <c r="DK91" s="164"/>
      <c r="DL91" s="164"/>
      <c r="DM91" s="367" t="s">
        <v>280</v>
      </c>
      <c r="DN91" s="367"/>
      <c r="DO91" s="367"/>
      <c r="DP91" s="367"/>
      <c r="DQ91" s="367"/>
      <c r="DR91" s="367"/>
      <c r="DS91" s="367"/>
      <c r="DT91" s="367"/>
      <c r="DU91" s="367"/>
      <c r="DV91" s="367"/>
      <c r="DW91" s="367"/>
      <c r="DX91" s="367"/>
      <c r="DY91" s="367"/>
      <c r="DZ91" s="367"/>
      <c r="EA91" s="367"/>
      <c r="EB91" s="367"/>
      <c r="EC91" s="367"/>
      <c r="ED91" s="367"/>
      <c r="EE91" s="367"/>
      <c r="EF91" s="367"/>
      <c r="EG91" s="367"/>
      <c r="EH91" s="367"/>
      <c r="EI91" s="367"/>
      <c r="EJ91" s="367"/>
      <c r="EK91" s="367"/>
      <c r="EL91" s="367"/>
      <c r="EM91" s="367"/>
      <c r="EN91" s="367"/>
      <c r="EO91" s="367"/>
      <c r="EP91" s="367"/>
      <c r="EQ91" s="367"/>
      <c r="ER91" s="367"/>
      <c r="ES91" s="367"/>
      <c r="ET91" s="367"/>
      <c r="EU91" s="367"/>
      <c r="EV91" s="367"/>
      <c r="EW91" s="367"/>
      <c r="EX91" s="367"/>
      <c r="EY91" s="367"/>
      <c r="EZ91" s="367"/>
      <c r="FA91" s="367"/>
      <c r="FB91" s="367">
        <f>DU109+FV109</f>
        <v>29</v>
      </c>
      <c r="FC91" s="367"/>
      <c r="FD91" s="367"/>
      <c r="FE91" s="367"/>
      <c r="FF91" s="367"/>
      <c r="IM91" s="169"/>
      <c r="IN91" s="164"/>
      <c r="KK91" s="169"/>
      <c r="KL91" s="164"/>
      <c r="MH91" s="169"/>
      <c r="NS91" s="164"/>
      <c r="NT91" s="164"/>
      <c r="NU91" s="164"/>
      <c r="NV91" s="164"/>
      <c r="NW91" s="164"/>
      <c r="NX91" s="164"/>
      <c r="NY91" s="164"/>
      <c r="NZ91" s="164"/>
      <c r="OA91" s="164"/>
      <c r="OB91" s="164"/>
      <c r="OC91" s="164"/>
      <c r="OD91" s="164"/>
      <c r="OE91" s="164"/>
      <c r="OF91" s="169"/>
      <c r="OG91" s="164"/>
      <c r="OH91" s="164"/>
      <c r="QK91" s="164"/>
      <c r="QL91" s="164"/>
      <c r="QM91" s="164"/>
      <c r="QO91" s="164"/>
      <c r="QP91" s="164"/>
      <c r="QQ91" s="165"/>
      <c r="QR91" s="166"/>
    </row>
    <row r="92" spans="3:460" ht="5.15" customHeight="1" x14ac:dyDescent="0.35">
      <c r="C92" s="161"/>
      <c r="D92" s="162"/>
      <c r="E92" s="164"/>
      <c r="F92" s="164"/>
      <c r="CZ92" s="164"/>
      <c r="DA92" s="164"/>
      <c r="DB92" s="164"/>
      <c r="DC92" s="164"/>
      <c r="DD92" s="164"/>
      <c r="DE92" s="164"/>
      <c r="DF92" s="164"/>
      <c r="DG92" s="164"/>
      <c r="DH92" s="164"/>
      <c r="DI92" s="164"/>
      <c r="DJ92" s="164"/>
      <c r="DK92" s="164"/>
      <c r="DL92" s="164"/>
      <c r="DM92" s="367"/>
      <c r="DN92" s="367"/>
      <c r="DO92" s="367"/>
      <c r="DP92" s="367"/>
      <c r="DQ92" s="367"/>
      <c r="DR92" s="367"/>
      <c r="DS92" s="367"/>
      <c r="DT92" s="367"/>
      <c r="DU92" s="367"/>
      <c r="DV92" s="367"/>
      <c r="DW92" s="367"/>
      <c r="DX92" s="367"/>
      <c r="DY92" s="367"/>
      <c r="DZ92" s="367"/>
      <c r="EA92" s="367"/>
      <c r="EB92" s="367"/>
      <c r="EC92" s="367"/>
      <c r="ED92" s="367"/>
      <c r="EE92" s="367"/>
      <c r="EF92" s="367"/>
      <c r="EG92" s="367"/>
      <c r="EH92" s="367"/>
      <c r="EI92" s="367"/>
      <c r="EJ92" s="367"/>
      <c r="EK92" s="367"/>
      <c r="EL92" s="367"/>
      <c r="EM92" s="367"/>
      <c r="EN92" s="367"/>
      <c r="EO92" s="367"/>
      <c r="EP92" s="367"/>
      <c r="EQ92" s="367"/>
      <c r="ER92" s="367"/>
      <c r="ES92" s="367"/>
      <c r="ET92" s="367"/>
      <c r="EU92" s="367"/>
      <c r="EV92" s="367"/>
      <c r="EW92" s="367"/>
      <c r="EX92" s="367"/>
      <c r="EY92" s="367"/>
      <c r="EZ92" s="367"/>
      <c r="FA92" s="367"/>
      <c r="FB92" s="367"/>
      <c r="FC92" s="367"/>
      <c r="FD92" s="367"/>
      <c r="FE92" s="367"/>
      <c r="FF92" s="367"/>
      <c r="IM92" s="180"/>
      <c r="IN92" s="181"/>
      <c r="KK92" s="180"/>
      <c r="KL92" s="181"/>
      <c r="MH92" s="180"/>
      <c r="NS92" s="164"/>
      <c r="NT92" s="164"/>
      <c r="NU92" s="164"/>
      <c r="NV92" s="164"/>
      <c r="NW92" s="164"/>
      <c r="NX92" s="164"/>
      <c r="NY92" s="164"/>
      <c r="NZ92" s="164"/>
      <c r="OA92" s="164"/>
      <c r="OB92" s="164"/>
      <c r="OC92" s="164"/>
      <c r="OD92" s="164"/>
      <c r="OE92" s="164"/>
      <c r="OF92" s="180"/>
      <c r="OG92" s="164"/>
      <c r="OH92" s="164"/>
      <c r="QK92" s="164"/>
      <c r="QL92" s="164"/>
      <c r="QM92" s="164"/>
      <c r="QO92" s="164"/>
      <c r="QP92" s="164"/>
      <c r="QQ92" s="165"/>
      <c r="QR92" s="166"/>
    </row>
    <row r="93" spans="3:460" ht="5.15" customHeight="1" x14ac:dyDescent="0.35">
      <c r="C93" s="161"/>
      <c r="D93" s="162"/>
      <c r="E93" s="164"/>
      <c r="F93" s="164"/>
      <c r="CZ93" s="164"/>
      <c r="DA93" s="164"/>
      <c r="DB93" s="164"/>
      <c r="DC93" s="164"/>
      <c r="DD93" s="164"/>
      <c r="DE93" s="164"/>
      <c r="DF93" s="164"/>
      <c r="DG93" s="164"/>
      <c r="DH93" s="164"/>
      <c r="DI93" s="164"/>
      <c r="DJ93" s="164"/>
      <c r="DK93" s="164"/>
      <c r="DL93" s="164"/>
      <c r="DM93" s="367"/>
      <c r="DN93" s="367"/>
      <c r="DO93" s="367"/>
      <c r="DP93" s="367"/>
      <c r="DQ93" s="367"/>
      <c r="DR93" s="367"/>
      <c r="DS93" s="367"/>
      <c r="DT93" s="367"/>
      <c r="DU93" s="367"/>
      <c r="DV93" s="367"/>
      <c r="DW93" s="367"/>
      <c r="DX93" s="367"/>
      <c r="DY93" s="367"/>
      <c r="DZ93" s="367"/>
      <c r="EA93" s="367"/>
      <c r="EB93" s="367"/>
      <c r="EC93" s="367"/>
      <c r="ED93" s="367"/>
      <c r="EE93" s="367"/>
      <c r="EF93" s="367"/>
      <c r="EG93" s="367"/>
      <c r="EH93" s="367"/>
      <c r="EI93" s="367"/>
      <c r="EJ93" s="367"/>
      <c r="EK93" s="367"/>
      <c r="EL93" s="367"/>
      <c r="EM93" s="367"/>
      <c r="EN93" s="367"/>
      <c r="EO93" s="367"/>
      <c r="EP93" s="367"/>
      <c r="EQ93" s="367"/>
      <c r="ER93" s="367"/>
      <c r="ES93" s="367"/>
      <c r="ET93" s="367"/>
      <c r="EU93" s="367"/>
      <c r="EV93" s="367"/>
      <c r="EW93" s="367"/>
      <c r="EX93" s="367"/>
      <c r="EY93" s="367"/>
      <c r="EZ93" s="367"/>
      <c r="FA93" s="367"/>
      <c r="FB93" s="367"/>
      <c r="FC93" s="367"/>
      <c r="FD93" s="367"/>
      <c r="FE93" s="367"/>
      <c r="FF93" s="367"/>
      <c r="HP93" s="330" t="s">
        <v>281</v>
      </c>
      <c r="HQ93" s="331"/>
      <c r="HR93" s="331"/>
      <c r="HS93" s="331"/>
      <c r="HT93" s="331"/>
      <c r="HU93" s="331"/>
      <c r="HV93" s="331"/>
      <c r="HW93" s="331"/>
      <c r="HX93" s="331"/>
      <c r="HY93" s="331"/>
      <c r="HZ93" s="331"/>
      <c r="IA93" s="331"/>
      <c r="IB93" s="331"/>
      <c r="IC93" s="331"/>
      <c r="ID93" s="331"/>
      <c r="IE93" s="331"/>
      <c r="IF93" s="331"/>
      <c r="IG93" s="331"/>
      <c r="IH93" s="331"/>
      <c r="II93" s="331"/>
      <c r="IJ93" s="331"/>
      <c r="IK93" s="331"/>
      <c r="IL93" s="331"/>
      <c r="IM93" s="331"/>
      <c r="IN93" s="331"/>
      <c r="IO93" s="331"/>
      <c r="IP93" s="331"/>
      <c r="IQ93" s="331"/>
      <c r="IR93" s="331"/>
      <c r="IS93" s="331"/>
      <c r="IT93" s="331"/>
      <c r="IU93" s="331"/>
      <c r="IV93" s="331"/>
      <c r="IW93" s="331"/>
      <c r="IX93" s="331"/>
      <c r="IY93" s="331"/>
      <c r="IZ93" s="331"/>
      <c r="JA93" s="331"/>
      <c r="JB93" s="331">
        <v>4</v>
      </c>
      <c r="JC93" s="340"/>
      <c r="JD93" s="330">
        <v>3</v>
      </c>
      <c r="JE93" s="331"/>
      <c r="JF93" s="331"/>
      <c r="JG93" s="331"/>
      <c r="JH93" s="340"/>
      <c r="JN93" s="330" t="s">
        <v>190</v>
      </c>
      <c r="JO93" s="331"/>
      <c r="JP93" s="331"/>
      <c r="JQ93" s="331"/>
      <c r="JR93" s="331"/>
      <c r="JS93" s="331"/>
      <c r="JT93" s="331"/>
      <c r="JU93" s="331"/>
      <c r="JV93" s="331"/>
      <c r="JW93" s="331"/>
      <c r="JX93" s="331"/>
      <c r="JY93" s="331"/>
      <c r="JZ93" s="331"/>
      <c r="KA93" s="331"/>
      <c r="KB93" s="331"/>
      <c r="KC93" s="331"/>
      <c r="KD93" s="331"/>
      <c r="KE93" s="331"/>
      <c r="KF93" s="331"/>
      <c r="KG93" s="331"/>
      <c r="KH93" s="331"/>
      <c r="KI93" s="331"/>
      <c r="KJ93" s="331"/>
      <c r="KK93" s="331"/>
      <c r="KL93" s="331"/>
      <c r="KM93" s="331"/>
      <c r="KN93" s="331"/>
      <c r="KO93" s="331"/>
      <c r="KP93" s="331"/>
      <c r="KQ93" s="331"/>
      <c r="KR93" s="331"/>
      <c r="KS93" s="331"/>
      <c r="KT93" s="331"/>
      <c r="KU93" s="331"/>
      <c r="KV93" s="331"/>
      <c r="KW93" s="331"/>
      <c r="KX93" s="331"/>
      <c r="KY93" s="331"/>
      <c r="KZ93" s="331">
        <v>1</v>
      </c>
      <c r="LA93" s="340"/>
      <c r="LB93" s="330">
        <v>5</v>
      </c>
      <c r="LC93" s="331"/>
      <c r="LD93" s="331"/>
      <c r="LE93" s="331"/>
      <c r="LF93" s="340"/>
      <c r="LK93" s="358" t="s">
        <v>282</v>
      </c>
      <c r="LL93" s="359"/>
      <c r="LM93" s="359"/>
      <c r="LN93" s="359"/>
      <c r="LO93" s="359"/>
      <c r="LP93" s="359"/>
      <c r="LQ93" s="359"/>
      <c r="LR93" s="359"/>
      <c r="LS93" s="359"/>
      <c r="LT93" s="359"/>
      <c r="LU93" s="359"/>
      <c r="LV93" s="359"/>
      <c r="LW93" s="359"/>
      <c r="LX93" s="359"/>
      <c r="LY93" s="359"/>
      <c r="LZ93" s="359"/>
      <c r="MA93" s="359"/>
      <c r="MB93" s="359"/>
      <c r="MC93" s="359"/>
      <c r="MD93" s="359"/>
      <c r="ME93" s="359"/>
      <c r="MF93" s="359"/>
      <c r="MG93" s="359"/>
      <c r="MH93" s="359"/>
      <c r="MI93" s="359"/>
      <c r="MJ93" s="359"/>
      <c r="MK93" s="359"/>
      <c r="ML93" s="359"/>
      <c r="MM93" s="359"/>
      <c r="MN93" s="359"/>
      <c r="MO93" s="359"/>
      <c r="MP93" s="359"/>
      <c r="MQ93" s="359"/>
      <c r="MR93" s="359"/>
      <c r="MS93" s="359"/>
      <c r="MT93" s="359"/>
      <c r="MU93" s="359"/>
      <c r="MV93" s="359"/>
      <c r="MW93" s="359"/>
      <c r="MX93" s="360"/>
      <c r="MY93" s="330">
        <v>2</v>
      </c>
      <c r="MZ93" s="331"/>
      <c r="NA93" s="331"/>
      <c r="NB93" s="331"/>
      <c r="NC93" s="340"/>
      <c r="NI93" s="312" t="s">
        <v>283</v>
      </c>
      <c r="NJ93" s="312"/>
      <c r="NK93" s="312"/>
      <c r="NL93" s="312"/>
      <c r="NM93" s="312"/>
      <c r="NN93" s="312"/>
      <c r="NO93" s="312"/>
      <c r="NP93" s="312"/>
      <c r="NQ93" s="312"/>
      <c r="NR93" s="312"/>
      <c r="NS93" s="312"/>
      <c r="NT93" s="312"/>
      <c r="NU93" s="312"/>
      <c r="NV93" s="312"/>
      <c r="NW93" s="312"/>
      <c r="NX93" s="312"/>
      <c r="NY93" s="312"/>
      <c r="NZ93" s="312"/>
      <c r="OA93" s="312"/>
      <c r="OB93" s="312"/>
      <c r="OC93" s="312"/>
      <c r="OD93" s="312"/>
      <c r="OE93" s="312"/>
      <c r="OF93" s="312"/>
      <c r="OG93" s="312"/>
      <c r="OH93" s="312"/>
      <c r="OI93" s="312"/>
      <c r="OJ93" s="312"/>
      <c r="OK93" s="312"/>
      <c r="OL93" s="312"/>
      <c r="OM93" s="312"/>
      <c r="ON93" s="312"/>
      <c r="OO93" s="312"/>
      <c r="OP93" s="312"/>
      <c r="OQ93" s="312"/>
      <c r="OR93" s="312"/>
      <c r="OS93" s="312"/>
      <c r="OT93" s="312"/>
      <c r="OU93" s="312"/>
      <c r="OV93" s="312"/>
      <c r="OW93" s="311">
        <v>2</v>
      </c>
      <c r="OX93" s="311"/>
      <c r="OY93" s="311"/>
      <c r="OZ93" s="311"/>
      <c r="PA93" s="311"/>
      <c r="PB93" s="311"/>
      <c r="QK93" s="164"/>
      <c r="QL93" s="164"/>
      <c r="QM93" s="164"/>
      <c r="QO93" s="164"/>
      <c r="QP93" s="164"/>
      <c r="QQ93" s="165"/>
      <c r="QR93" s="166"/>
    </row>
    <row r="94" spans="3:460" ht="5.15" customHeight="1" x14ac:dyDescent="0.35">
      <c r="C94" s="161"/>
      <c r="D94" s="162"/>
      <c r="E94" s="164"/>
      <c r="F94" s="164"/>
      <c r="CZ94" s="164"/>
      <c r="DA94" s="164"/>
      <c r="DB94" s="164"/>
      <c r="DC94" s="164"/>
      <c r="DD94" s="164"/>
      <c r="DE94" s="164"/>
      <c r="DF94" s="164"/>
      <c r="DG94" s="164"/>
      <c r="DH94" s="164"/>
      <c r="DI94" s="164"/>
      <c r="DJ94" s="164"/>
      <c r="DK94" s="164"/>
      <c r="DL94" s="164"/>
      <c r="DM94" s="367"/>
      <c r="DN94" s="367"/>
      <c r="DO94" s="367"/>
      <c r="DP94" s="367"/>
      <c r="DQ94" s="367"/>
      <c r="DR94" s="367"/>
      <c r="DS94" s="367"/>
      <c r="DT94" s="367"/>
      <c r="DU94" s="367"/>
      <c r="DV94" s="367"/>
      <c r="DW94" s="367"/>
      <c r="DX94" s="367"/>
      <c r="DY94" s="367"/>
      <c r="DZ94" s="367"/>
      <c r="EA94" s="367"/>
      <c r="EB94" s="367"/>
      <c r="EC94" s="367"/>
      <c r="ED94" s="367"/>
      <c r="EE94" s="367"/>
      <c r="EF94" s="367"/>
      <c r="EG94" s="367"/>
      <c r="EH94" s="367"/>
      <c r="EI94" s="367"/>
      <c r="EJ94" s="367"/>
      <c r="EK94" s="367"/>
      <c r="EL94" s="367"/>
      <c r="EM94" s="367"/>
      <c r="EN94" s="367"/>
      <c r="EO94" s="367"/>
      <c r="EP94" s="367"/>
      <c r="EQ94" s="367"/>
      <c r="ER94" s="367"/>
      <c r="ES94" s="367"/>
      <c r="ET94" s="367"/>
      <c r="EU94" s="367"/>
      <c r="EV94" s="367"/>
      <c r="EW94" s="367"/>
      <c r="EX94" s="367"/>
      <c r="EY94" s="367"/>
      <c r="EZ94" s="367"/>
      <c r="FA94" s="367"/>
      <c r="FB94" s="367"/>
      <c r="FC94" s="367"/>
      <c r="FD94" s="367"/>
      <c r="FE94" s="367"/>
      <c r="FF94" s="367"/>
      <c r="HP94" s="333"/>
      <c r="HQ94" s="334"/>
      <c r="HR94" s="334"/>
      <c r="HS94" s="334"/>
      <c r="HT94" s="334"/>
      <c r="HU94" s="334"/>
      <c r="HV94" s="334"/>
      <c r="HW94" s="334"/>
      <c r="HX94" s="334"/>
      <c r="HY94" s="334"/>
      <c r="HZ94" s="334"/>
      <c r="IA94" s="334"/>
      <c r="IB94" s="334"/>
      <c r="IC94" s="334"/>
      <c r="ID94" s="334"/>
      <c r="IE94" s="334"/>
      <c r="IF94" s="334"/>
      <c r="IG94" s="334"/>
      <c r="IH94" s="334"/>
      <c r="II94" s="334"/>
      <c r="IJ94" s="334"/>
      <c r="IK94" s="334"/>
      <c r="IL94" s="334"/>
      <c r="IM94" s="334"/>
      <c r="IN94" s="334"/>
      <c r="IO94" s="334"/>
      <c r="IP94" s="334"/>
      <c r="IQ94" s="334"/>
      <c r="IR94" s="334"/>
      <c r="IS94" s="334"/>
      <c r="IT94" s="334"/>
      <c r="IU94" s="334"/>
      <c r="IV94" s="334"/>
      <c r="IW94" s="334"/>
      <c r="IX94" s="334"/>
      <c r="IY94" s="334"/>
      <c r="IZ94" s="334"/>
      <c r="JA94" s="334"/>
      <c r="JB94" s="334"/>
      <c r="JC94" s="341"/>
      <c r="JD94" s="333"/>
      <c r="JE94" s="334"/>
      <c r="JF94" s="334"/>
      <c r="JG94" s="334"/>
      <c r="JH94" s="341"/>
      <c r="JN94" s="333"/>
      <c r="JO94" s="334"/>
      <c r="JP94" s="334"/>
      <c r="JQ94" s="334"/>
      <c r="JR94" s="334"/>
      <c r="JS94" s="334"/>
      <c r="JT94" s="334"/>
      <c r="JU94" s="334"/>
      <c r="JV94" s="334"/>
      <c r="JW94" s="334"/>
      <c r="JX94" s="334"/>
      <c r="JY94" s="334"/>
      <c r="JZ94" s="334"/>
      <c r="KA94" s="334"/>
      <c r="KB94" s="334"/>
      <c r="KC94" s="334"/>
      <c r="KD94" s="334"/>
      <c r="KE94" s="334"/>
      <c r="KF94" s="334"/>
      <c r="KG94" s="334"/>
      <c r="KH94" s="334"/>
      <c r="KI94" s="334"/>
      <c r="KJ94" s="334"/>
      <c r="KK94" s="334"/>
      <c r="KL94" s="334"/>
      <c r="KM94" s="334"/>
      <c r="KN94" s="334"/>
      <c r="KO94" s="334"/>
      <c r="KP94" s="334"/>
      <c r="KQ94" s="334"/>
      <c r="KR94" s="334"/>
      <c r="KS94" s="334"/>
      <c r="KT94" s="334"/>
      <c r="KU94" s="334"/>
      <c r="KV94" s="334"/>
      <c r="KW94" s="334"/>
      <c r="KX94" s="334"/>
      <c r="KY94" s="334"/>
      <c r="KZ94" s="334"/>
      <c r="LA94" s="341"/>
      <c r="LB94" s="333"/>
      <c r="LC94" s="334"/>
      <c r="LD94" s="334"/>
      <c r="LE94" s="334"/>
      <c r="LF94" s="341"/>
      <c r="LK94" s="361"/>
      <c r="LL94" s="362"/>
      <c r="LM94" s="362"/>
      <c r="LN94" s="362"/>
      <c r="LO94" s="362"/>
      <c r="LP94" s="362"/>
      <c r="LQ94" s="362"/>
      <c r="LR94" s="362"/>
      <c r="LS94" s="362"/>
      <c r="LT94" s="362"/>
      <c r="LU94" s="362"/>
      <c r="LV94" s="362"/>
      <c r="LW94" s="362"/>
      <c r="LX94" s="362"/>
      <c r="LY94" s="362"/>
      <c r="LZ94" s="362"/>
      <c r="MA94" s="362"/>
      <c r="MB94" s="362"/>
      <c r="MC94" s="362"/>
      <c r="MD94" s="362"/>
      <c r="ME94" s="362"/>
      <c r="MF94" s="362"/>
      <c r="MG94" s="362"/>
      <c r="MH94" s="362"/>
      <c r="MI94" s="362"/>
      <c r="MJ94" s="362"/>
      <c r="MK94" s="362"/>
      <c r="ML94" s="362"/>
      <c r="MM94" s="362"/>
      <c r="MN94" s="362"/>
      <c r="MO94" s="362"/>
      <c r="MP94" s="362"/>
      <c r="MQ94" s="362"/>
      <c r="MR94" s="362"/>
      <c r="MS94" s="362"/>
      <c r="MT94" s="362"/>
      <c r="MU94" s="362"/>
      <c r="MV94" s="362"/>
      <c r="MW94" s="362"/>
      <c r="MX94" s="363"/>
      <c r="MY94" s="333"/>
      <c r="MZ94" s="334"/>
      <c r="NA94" s="334"/>
      <c r="NB94" s="334"/>
      <c r="NC94" s="341"/>
      <c r="NI94" s="312"/>
      <c r="NJ94" s="312"/>
      <c r="NK94" s="312"/>
      <c r="NL94" s="312"/>
      <c r="NM94" s="312"/>
      <c r="NN94" s="312"/>
      <c r="NO94" s="312"/>
      <c r="NP94" s="312"/>
      <c r="NQ94" s="312"/>
      <c r="NR94" s="312"/>
      <c r="NS94" s="312"/>
      <c r="NT94" s="312"/>
      <c r="NU94" s="312"/>
      <c r="NV94" s="312"/>
      <c r="NW94" s="312"/>
      <c r="NX94" s="312"/>
      <c r="NY94" s="312"/>
      <c r="NZ94" s="312"/>
      <c r="OA94" s="312"/>
      <c r="OB94" s="312"/>
      <c r="OC94" s="312"/>
      <c r="OD94" s="312"/>
      <c r="OE94" s="312"/>
      <c r="OF94" s="312"/>
      <c r="OG94" s="312"/>
      <c r="OH94" s="312"/>
      <c r="OI94" s="312"/>
      <c r="OJ94" s="312"/>
      <c r="OK94" s="312"/>
      <c r="OL94" s="312"/>
      <c r="OM94" s="312"/>
      <c r="ON94" s="312"/>
      <c r="OO94" s="312"/>
      <c r="OP94" s="312"/>
      <c r="OQ94" s="312"/>
      <c r="OR94" s="312"/>
      <c r="OS94" s="312"/>
      <c r="OT94" s="312"/>
      <c r="OU94" s="312"/>
      <c r="OV94" s="312"/>
      <c r="OW94" s="311"/>
      <c r="OX94" s="311"/>
      <c r="OY94" s="311"/>
      <c r="OZ94" s="311"/>
      <c r="PA94" s="311"/>
      <c r="PB94" s="311"/>
      <c r="QK94" s="164"/>
      <c r="QL94" s="164"/>
      <c r="QM94" s="164"/>
      <c r="QO94" s="164"/>
      <c r="QP94" s="164"/>
      <c r="QQ94" s="165"/>
      <c r="QR94" s="166"/>
    </row>
    <row r="95" spans="3:460" ht="5.15" customHeight="1" x14ac:dyDescent="0.35">
      <c r="C95" s="161"/>
      <c r="D95" s="162"/>
      <c r="E95" s="164"/>
      <c r="F95" s="164"/>
      <c r="CZ95" s="164"/>
      <c r="DA95" s="164"/>
      <c r="DB95" s="164"/>
      <c r="DC95" s="164"/>
      <c r="DD95" s="164"/>
      <c r="DE95" s="164"/>
      <c r="DF95" s="164"/>
      <c r="DG95" s="164"/>
      <c r="DH95" s="164"/>
      <c r="DI95" s="164"/>
      <c r="DJ95" s="164"/>
      <c r="DK95" s="164"/>
      <c r="DL95" s="164"/>
      <c r="DM95" s="367"/>
      <c r="DN95" s="367"/>
      <c r="DO95" s="367"/>
      <c r="DP95" s="367"/>
      <c r="DQ95" s="367"/>
      <c r="DR95" s="367"/>
      <c r="DS95" s="367"/>
      <c r="DT95" s="367"/>
      <c r="DU95" s="367"/>
      <c r="DV95" s="367"/>
      <c r="DW95" s="367"/>
      <c r="DX95" s="367"/>
      <c r="DY95" s="367"/>
      <c r="DZ95" s="367"/>
      <c r="EA95" s="367"/>
      <c r="EB95" s="367"/>
      <c r="EC95" s="367"/>
      <c r="ED95" s="367"/>
      <c r="EE95" s="367"/>
      <c r="EF95" s="367"/>
      <c r="EG95" s="367"/>
      <c r="EH95" s="367"/>
      <c r="EI95" s="367"/>
      <c r="EJ95" s="367"/>
      <c r="EK95" s="367"/>
      <c r="EL95" s="367"/>
      <c r="EM95" s="367"/>
      <c r="EN95" s="367"/>
      <c r="EO95" s="367"/>
      <c r="EP95" s="367"/>
      <c r="EQ95" s="367"/>
      <c r="ER95" s="367"/>
      <c r="ES95" s="367"/>
      <c r="ET95" s="367"/>
      <c r="EU95" s="367"/>
      <c r="EV95" s="367"/>
      <c r="EW95" s="367"/>
      <c r="EX95" s="367"/>
      <c r="EY95" s="367"/>
      <c r="EZ95" s="367"/>
      <c r="FA95" s="367"/>
      <c r="FB95" s="367"/>
      <c r="FC95" s="367"/>
      <c r="FD95" s="367"/>
      <c r="FE95" s="367"/>
      <c r="FF95" s="367"/>
      <c r="HP95" s="333"/>
      <c r="HQ95" s="334"/>
      <c r="HR95" s="334"/>
      <c r="HS95" s="334"/>
      <c r="HT95" s="334"/>
      <c r="HU95" s="334"/>
      <c r="HV95" s="334"/>
      <c r="HW95" s="334"/>
      <c r="HX95" s="334"/>
      <c r="HY95" s="334"/>
      <c r="HZ95" s="334"/>
      <c r="IA95" s="334"/>
      <c r="IB95" s="334"/>
      <c r="IC95" s="334"/>
      <c r="ID95" s="334"/>
      <c r="IE95" s="334"/>
      <c r="IF95" s="334"/>
      <c r="IG95" s="334"/>
      <c r="IH95" s="334"/>
      <c r="II95" s="334"/>
      <c r="IJ95" s="334"/>
      <c r="IK95" s="334"/>
      <c r="IL95" s="334"/>
      <c r="IM95" s="334"/>
      <c r="IN95" s="334"/>
      <c r="IO95" s="334"/>
      <c r="IP95" s="334"/>
      <c r="IQ95" s="334"/>
      <c r="IR95" s="334"/>
      <c r="IS95" s="334"/>
      <c r="IT95" s="334"/>
      <c r="IU95" s="334"/>
      <c r="IV95" s="334"/>
      <c r="IW95" s="334"/>
      <c r="IX95" s="334"/>
      <c r="IY95" s="334"/>
      <c r="IZ95" s="334"/>
      <c r="JA95" s="334"/>
      <c r="JB95" s="334"/>
      <c r="JC95" s="341"/>
      <c r="JD95" s="333"/>
      <c r="JE95" s="334"/>
      <c r="JF95" s="334"/>
      <c r="JG95" s="334"/>
      <c r="JH95" s="341"/>
      <c r="JN95" s="333"/>
      <c r="JO95" s="334"/>
      <c r="JP95" s="334"/>
      <c r="JQ95" s="334"/>
      <c r="JR95" s="334"/>
      <c r="JS95" s="334"/>
      <c r="JT95" s="334"/>
      <c r="JU95" s="334"/>
      <c r="JV95" s="334"/>
      <c r="JW95" s="334"/>
      <c r="JX95" s="334"/>
      <c r="JY95" s="334"/>
      <c r="JZ95" s="334"/>
      <c r="KA95" s="334"/>
      <c r="KB95" s="334"/>
      <c r="KC95" s="334"/>
      <c r="KD95" s="334"/>
      <c r="KE95" s="334"/>
      <c r="KF95" s="334"/>
      <c r="KG95" s="334"/>
      <c r="KH95" s="334"/>
      <c r="KI95" s="334"/>
      <c r="KJ95" s="334"/>
      <c r="KK95" s="334"/>
      <c r="KL95" s="334"/>
      <c r="KM95" s="334"/>
      <c r="KN95" s="334"/>
      <c r="KO95" s="334"/>
      <c r="KP95" s="334"/>
      <c r="KQ95" s="334"/>
      <c r="KR95" s="334"/>
      <c r="KS95" s="334"/>
      <c r="KT95" s="334"/>
      <c r="KU95" s="334"/>
      <c r="KV95" s="334"/>
      <c r="KW95" s="334"/>
      <c r="KX95" s="334"/>
      <c r="KY95" s="334"/>
      <c r="KZ95" s="334"/>
      <c r="LA95" s="341"/>
      <c r="LB95" s="333"/>
      <c r="LC95" s="334"/>
      <c r="LD95" s="334"/>
      <c r="LE95" s="334"/>
      <c r="LF95" s="341"/>
      <c r="LK95" s="361"/>
      <c r="LL95" s="362"/>
      <c r="LM95" s="362"/>
      <c r="LN95" s="362"/>
      <c r="LO95" s="362"/>
      <c r="LP95" s="362"/>
      <c r="LQ95" s="362"/>
      <c r="LR95" s="362"/>
      <c r="LS95" s="362"/>
      <c r="LT95" s="362"/>
      <c r="LU95" s="362"/>
      <c r="LV95" s="362"/>
      <c r="LW95" s="362"/>
      <c r="LX95" s="362"/>
      <c r="LY95" s="362"/>
      <c r="LZ95" s="362"/>
      <c r="MA95" s="362"/>
      <c r="MB95" s="362"/>
      <c r="MC95" s="362"/>
      <c r="MD95" s="362"/>
      <c r="ME95" s="362"/>
      <c r="MF95" s="362"/>
      <c r="MG95" s="362"/>
      <c r="MH95" s="362"/>
      <c r="MI95" s="362"/>
      <c r="MJ95" s="362"/>
      <c r="MK95" s="362"/>
      <c r="ML95" s="362"/>
      <c r="MM95" s="362"/>
      <c r="MN95" s="362"/>
      <c r="MO95" s="362"/>
      <c r="MP95" s="362"/>
      <c r="MQ95" s="362"/>
      <c r="MR95" s="362"/>
      <c r="MS95" s="362"/>
      <c r="MT95" s="362"/>
      <c r="MU95" s="362"/>
      <c r="MV95" s="362"/>
      <c r="MW95" s="362"/>
      <c r="MX95" s="363"/>
      <c r="MY95" s="333"/>
      <c r="MZ95" s="334"/>
      <c r="NA95" s="334"/>
      <c r="NB95" s="334"/>
      <c r="NC95" s="341"/>
      <c r="NI95" s="312"/>
      <c r="NJ95" s="312"/>
      <c r="NK95" s="312"/>
      <c r="NL95" s="312"/>
      <c r="NM95" s="312"/>
      <c r="NN95" s="312"/>
      <c r="NO95" s="312"/>
      <c r="NP95" s="312"/>
      <c r="NQ95" s="312"/>
      <c r="NR95" s="312"/>
      <c r="NS95" s="312"/>
      <c r="NT95" s="312"/>
      <c r="NU95" s="312"/>
      <c r="NV95" s="312"/>
      <c r="NW95" s="312"/>
      <c r="NX95" s="312"/>
      <c r="NY95" s="312"/>
      <c r="NZ95" s="312"/>
      <c r="OA95" s="312"/>
      <c r="OB95" s="312"/>
      <c r="OC95" s="312"/>
      <c r="OD95" s="312"/>
      <c r="OE95" s="312"/>
      <c r="OF95" s="312"/>
      <c r="OG95" s="312"/>
      <c r="OH95" s="312"/>
      <c r="OI95" s="312"/>
      <c r="OJ95" s="312"/>
      <c r="OK95" s="312"/>
      <c r="OL95" s="312"/>
      <c r="OM95" s="312"/>
      <c r="ON95" s="312"/>
      <c r="OO95" s="312"/>
      <c r="OP95" s="312"/>
      <c r="OQ95" s="312"/>
      <c r="OR95" s="312"/>
      <c r="OS95" s="312"/>
      <c r="OT95" s="312"/>
      <c r="OU95" s="312"/>
      <c r="OV95" s="312"/>
      <c r="OW95" s="311"/>
      <c r="OX95" s="311"/>
      <c r="OY95" s="311"/>
      <c r="OZ95" s="311"/>
      <c r="PA95" s="311"/>
      <c r="PB95" s="311"/>
      <c r="QK95" s="164"/>
      <c r="QL95" s="164"/>
      <c r="QM95" s="164"/>
      <c r="QO95" s="164"/>
      <c r="QP95" s="164"/>
      <c r="QQ95" s="165"/>
      <c r="QR95" s="166"/>
    </row>
    <row r="96" spans="3:460" ht="5.15" customHeight="1" x14ac:dyDescent="0.35">
      <c r="C96" s="161"/>
      <c r="D96" s="162"/>
      <c r="E96" s="164"/>
      <c r="F96" s="164"/>
      <c r="CZ96" s="164"/>
      <c r="DA96" s="164"/>
      <c r="DB96" s="164"/>
      <c r="DC96" s="164"/>
      <c r="DD96" s="164"/>
      <c r="DE96" s="164"/>
      <c r="DF96" s="164"/>
      <c r="DG96" s="164"/>
      <c r="DH96" s="164"/>
      <c r="DI96" s="164"/>
      <c r="DJ96" s="164"/>
      <c r="DK96" s="164"/>
      <c r="DL96" s="164"/>
      <c r="DM96" s="367"/>
      <c r="DN96" s="367"/>
      <c r="DO96" s="367"/>
      <c r="DP96" s="367"/>
      <c r="DQ96" s="367"/>
      <c r="DR96" s="367"/>
      <c r="DS96" s="367"/>
      <c r="DT96" s="367"/>
      <c r="DU96" s="367"/>
      <c r="DV96" s="367"/>
      <c r="DW96" s="367"/>
      <c r="DX96" s="367"/>
      <c r="DY96" s="367"/>
      <c r="DZ96" s="367"/>
      <c r="EA96" s="367"/>
      <c r="EB96" s="367"/>
      <c r="EC96" s="367"/>
      <c r="ED96" s="367"/>
      <c r="EE96" s="367"/>
      <c r="EF96" s="367"/>
      <c r="EG96" s="367"/>
      <c r="EH96" s="367"/>
      <c r="EI96" s="367"/>
      <c r="EJ96" s="367"/>
      <c r="EK96" s="367"/>
      <c r="EL96" s="367"/>
      <c r="EM96" s="367"/>
      <c r="EN96" s="367"/>
      <c r="EO96" s="367"/>
      <c r="EP96" s="367"/>
      <c r="EQ96" s="367"/>
      <c r="ER96" s="367"/>
      <c r="ES96" s="367"/>
      <c r="ET96" s="367"/>
      <c r="EU96" s="367"/>
      <c r="EV96" s="367"/>
      <c r="EW96" s="367"/>
      <c r="EX96" s="367"/>
      <c r="EY96" s="367"/>
      <c r="EZ96" s="367"/>
      <c r="FA96" s="367"/>
      <c r="FB96" s="367"/>
      <c r="FC96" s="367"/>
      <c r="FD96" s="367"/>
      <c r="FE96" s="367"/>
      <c r="FF96" s="367"/>
      <c r="HP96" s="333"/>
      <c r="HQ96" s="334"/>
      <c r="HR96" s="334"/>
      <c r="HS96" s="334"/>
      <c r="HT96" s="334"/>
      <c r="HU96" s="334"/>
      <c r="HV96" s="334"/>
      <c r="HW96" s="334"/>
      <c r="HX96" s="334"/>
      <c r="HY96" s="334"/>
      <c r="HZ96" s="334"/>
      <c r="IA96" s="334"/>
      <c r="IB96" s="334"/>
      <c r="IC96" s="334"/>
      <c r="ID96" s="334"/>
      <c r="IE96" s="334"/>
      <c r="IF96" s="334"/>
      <c r="IG96" s="334"/>
      <c r="IH96" s="334"/>
      <c r="II96" s="334"/>
      <c r="IJ96" s="334"/>
      <c r="IK96" s="334"/>
      <c r="IL96" s="334"/>
      <c r="IM96" s="334"/>
      <c r="IN96" s="334"/>
      <c r="IO96" s="334"/>
      <c r="IP96" s="334"/>
      <c r="IQ96" s="334"/>
      <c r="IR96" s="334"/>
      <c r="IS96" s="334"/>
      <c r="IT96" s="334"/>
      <c r="IU96" s="334"/>
      <c r="IV96" s="334"/>
      <c r="IW96" s="334"/>
      <c r="IX96" s="334"/>
      <c r="IY96" s="334"/>
      <c r="IZ96" s="334"/>
      <c r="JA96" s="334"/>
      <c r="JB96" s="334"/>
      <c r="JC96" s="341"/>
      <c r="JD96" s="333"/>
      <c r="JE96" s="334"/>
      <c r="JF96" s="334"/>
      <c r="JG96" s="334"/>
      <c r="JH96" s="341"/>
      <c r="JN96" s="333"/>
      <c r="JO96" s="334"/>
      <c r="JP96" s="334"/>
      <c r="JQ96" s="334"/>
      <c r="JR96" s="334"/>
      <c r="JS96" s="334"/>
      <c r="JT96" s="334"/>
      <c r="JU96" s="334"/>
      <c r="JV96" s="334"/>
      <c r="JW96" s="334"/>
      <c r="JX96" s="334"/>
      <c r="JY96" s="334"/>
      <c r="JZ96" s="334"/>
      <c r="KA96" s="334"/>
      <c r="KB96" s="334"/>
      <c r="KC96" s="334"/>
      <c r="KD96" s="334"/>
      <c r="KE96" s="334"/>
      <c r="KF96" s="334"/>
      <c r="KG96" s="334"/>
      <c r="KH96" s="334"/>
      <c r="KI96" s="334"/>
      <c r="KJ96" s="334"/>
      <c r="KK96" s="334"/>
      <c r="KL96" s="334"/>
      <c r="KM96" s="334"/>
      <c r="KN96" s="334"/>
      <c r="KO96" s="334"/>
      <c r="KP96" s="334"/>
      <c r="KQ96" s="334"/>
      <c r="KR96" s="334"/>
      <c r="KS96" s="334"/>
      <c r="KT96" s="334"/>
      <c r="KU96" s="334"/>
      <c r="KV96" s="334"/>
      <c r="KW96" s="334"/>
      <c r="KX96" s="334"/>
      <c r="KY96" s="334"/>
      <c r="KZ96" s="334"/>
      <c r="LA96" s="341"/>
      <c r="LB96" s="333"/>
      <c r="LC96" s="334"/>
      <c r="LD96" s="334"/>
      <c r="LE96" s="334"/>
      <c r="LF96" s="341"/>
      <c r="LK96" s="361"/>
      <c r="LL96" s="362"/>
      <c r="LM96" s="362"/>
      <c r="LN96" s="362"/>
      <c r="LO96" s="362"/>
      <c r="LP96" s="362"/>
      <c r="LQ96" s="362"/>
      <c r="LR96" s="362"/>
      <c r="LS96" s="362"/>
      <c r="LT96" s="362"/>
      <c r="LU96" s="362"/>
      <c r="LV96" s="362"/>
      <c r="LW96" s="362"/>
      <c r="LX96" s="362"/>
      <c r="LY96" s="362"/>
      <c r="LZ96" s="362"/>
      <c r="MA96" s="362"/>
      <c r="MB96" s="362"/>
      <c r="MC96" s="362"/>
      <c r="MD96" s="362"/>
      <c r="ME96" s="362"/>
      <c r="MF96" s="362"/>
      <c r="MG96" s="362"/>
      <c r="MH96" s="362"/>
      <c r="MI96" s="362"/>
      <c r="MJ96" s="362"/>
      <c r="MK96" s="362"/>
      <c r="ML96" s="362"/>
      <c r="MM96" s="362"/>
      <c r="MN96" s="362"/>
      <c r="MO96" s="362"/>
      <c r="MP96" s="362"/>
      <c r="MQ96" s="362"/>
      <c r="MR96" s="362"/>
      <c r="MS96" s="362"/>
      <c r="MT96" s="362"/>
      <c r="MU96" s="362"/>
      <c r="MV96" s="362"/>
      <c r="MW96" s="362"/>
      <c r="MX96" s="363"/>
      <c r="MY96" s="333"/>
      <c r="MZ96" s="334"/>
      <c r="NA96" s="334"/>
      <c r="NB96" s="334"/>
      <c r="NC96" s="341"/>
      <c r="NI96" s="312"/>
      <c r="NJ96" s="312"/>
      <c r="NK96" s="312"/>
      <c r="NL96" s="312"/>
      <c r="NM96" s="312"/>
      <c r="NN96" s="312"/>
      <c r="NO96" s="312"/>
      <c r="NP96" s="312"/>
      <c r="NQ96" s="312"/>
      <c r="NR96" s="312"/>
      <c r="NS96" s="312"/>
      <c r="NT96" s="312"/>
      <c r="NU96" s="312"/>
      <c r="NV96" s="312"/>
      <c r="NW96" s="312"/>
      <c r="NX96" s="312"/>
      <c r="NY96" s="312"/>
      <c r="NZ96" s="312"/>
      <c r="OA96" s="312"/>
      <c r="OB96" s="312"/>
      <c r="OC96" s="312"/>
      <c r="OD96" s="312"/>
      <c r="OE96" s="312"/>
      <c r="OF96" s="312"/>
      <c r="OG96" s="312"/>
      <c r="OH96" s="312"/>
      <c r="OI96" s="312"/>
      <c r="OJ96" s="312"/>
      <c r="OK96" s="312"/>
      <c r="OL96" s="312"/>
      <c r="OM96" s="312"/>
      <c r="ON96" s="312"/>
      <c r="OO96" s="312"/>
      <c r="OP96" s="312"/>
      <c r="OQ96" s="312"/>
      <c r="OR96" s="312"/>
      <c r="OS96" s="312"/>
      <c r="OT96" s="312"/>
      <c r="OU96" s="312"/>
      <c r="OV96" s="312"/>
      <c r="OW96" s="311"/>
      <c r="OX96" s="311"/>
      <c r="OY96" s="311"/>
      <c r="OZ96" s="311"/>
      <c r="PA96" s="311"/>
      <c r="PB96" s="311"/>
      <c r="QK96" s="164"/>
      <c r="QL96" s="164"/>
      <c r="QM96" s="164"/>
      <c r="QO96" s="164"/>
      <c r="QP96" s="164"/>
      <c r="QQ96" s="165"/>
      <c r="QR96" s="166"/>
    </row>
    <row r="97" spans="3:465" ht="5.15" customHeight="1" x14ac:dyDescent="0.35">
      <c r="C97" s="161"/>
      <c r="D97" s="162"/>
      <c r="E97" s="164"/>
      <c r="F97" s="164"/>
      <c r="DM97" s="367"/>
      <c r="DN97" s="367"/>
      <c r="DO97" s="367"/>
      <c r="DP97" s="367"/>
      <c r="DQ97" s="367"/>
      <c r="DR97" s="367"/>
      <c r="DS97" s="367"/>
      <c r="DT97" s="367"/>
      <c r="DU97" s="367"/>
      <c r="DV97" s="367"/>
      <c r="DW97" s="367"/>
      <c r="DX97" s="367"/>
      <c r="DY97" s="367"/>
      <c r="DZ97" s="367"/>
      <c r="EA97" s="367"/>
      <c r="EB97" s="367"/>
      <c r="EC97" s="367"/>
      <c r="ED97" s="367"/>
      <c r="EE97" s="367"/>
      <c r="EF97" s="367"/>
      <c r="EG97" s="367"/>
      <c r="EH97" s="367"/>
      <c r="EI97" s="367"/>
      <c r="EJ97" s="367"/>
      <c r="EK97" s="367"/>
      <c r="EL97" s="367"/>
      <c r="EM97" s="367"/>
      <c r="EN97" s="367"/>
      <c r="EO97" s="367"/>
      <c r="EP97" s="367"/>
      <c r="EQ97" s="367"/>
      <c r="ER97" s="367"/>
      <c r="ES97" s="367"/>
      <c r="ET97" s="367"/>
      <c r="EU97" s="367"/>
      <c r="EV97" s="367"/>
      <c r="EW97" s="367"/>
      <c r="EX97" s="367"/>
      <c r="EY97" s="367"/>
      <c r="EZ97" s="367"/>
      <c r="FA97" s="367"/>
      <c r="FB97" s="367"/>
      <c r="FC97" s="367"/>
      <c r="FD97" s="367"/>
      <c r="FE97" s="367"/>
      <c r="FF97" s="367"/>
      <c r="HP97" s="333"/>
      <c r="HQ97" s="334"/>
      <c r="HR97" s="334"/>
      <c r="HS97" s="334"/>
      <c r="HT97" s="334"/>
      <c r="HU97" s="334"/>
      <c r="HV97" s="334"/>
      <c r="HW97" s="334"/>
      <c r="HX97" s="334"/>
      <c r="HY97" s="334"/>
      <c r="HZ97" s="334"/>
      <c r="IA97" s="334"/>
      <c r="IB97" s="334"/>
      <c r="IC97" s="334"/>
      <c r="ID97" s="334"/>
      <c r="IE97" s="334"/>
      <c r="IF97" s="334"/>
      <c r="IG97" s="334"/>
      <c r="IH97" s="334"/>
      <c r="II97" s="334"/>
      <c r="IJ97" s="334"/>
      <c r="IK97" s="334"/>
      <c r="IL97" s="334"/>
      <c r="IM97" s="334"/>
      <c r="IN97" s="334"/>
      <c r="IO97" s="334"/>
      <c r="IP97" s="334"/>
      <c r="IQ97" s="334"/>
      <c r="IR97" s="334"/>
      <c r="IS97" s="334"/>
      <c r="IT97" s="334"/>
      <c r="IU97" s="334"/>
      <c r="IV97" s="334"/>
      <c r="IW97" s="334"/>
      <c r="IX97" s="334"/>
      <c r="IY97" s="334"/>
      <c r="IZ97" s="334"/>
      <c r="JA97" s="334"/>
      <c r="JB97" s="334"/>
      <c r="JC97" s="341"/>
      <c r="JD97" s="333"/>
      <c r="JE97" s="334"/>
      <c r="JF97" s="334"/>
      <c r="JG97" s="334"/>
      <c r="JH97" s="341"/>
      <c r="JN97" s="333"/>
      <c r="JO97" s="334"/>
      <c r="JP97" s="334"/>
      <c r="JQ97" s="334"/>
      <c r="JR97" s="334"/>
      <c r="JS97" s="334"/>
      <c r="JT97" s="334"/>
      <c r="JU97" s="334"/>
      <c r="JV97" s="334"/>
      <c r="JW97" s="334"/>
      <c r="JX97" s="334"/>
      <c r="JY97" s="334"/>
      <c r="JZ97" s="334"/>
      <c r="KA97" s="334"/>
      <c r="KB97" s="334"/>
      <c r="KC97" s="334"/>
      <c r="KD97" s="334"/>
      <c r="KE97" s="334"/>
      <c r="KF97" s="334"/>
      <c r="KG97" s="334"/>
      <c r="KH97" s="334"/>
      <c r="KI97" s="334"/>
      <c r="KJ97" s="334"/>
      <c r="KK97" s="334"/>
      <c r="KL97" s="334"/>
      <c r="KM97" s="334"/>
      <c r="KN97" s="334"/>
      <c r="KO97" s="334"/>
      <c r="KP97" s="334"/>
      <c r="KQ97" s="334"/>
      <c r="KR97" s="334"/>
      <c r="KS97" s="334"/>
      <c r="KT97" s="334"/>
      <c r="KU97" s="334"/>
      <c r="KV97" s="334"/>
      <c r="KW97" s="334"/>
      <c r="KX97" s="334"/>
      <c r="KY97" s="334"/>
      <c r="KZ97" s="334"/>
      <c r="LA97" s="341"/>
      <c r="LB97" s="333"/>
      <c r="LC97" s="334"/>
      <c r="LD97" s="334"/>
      <c r="LE97" s="334"/>
      <c r="LF97" s="341"/>
      <c r="LK97" s="361"/>
      <c r="LL97" s="362"/>
      <c r="LM97" s="362"/>
      <c r="LN97" s="362"/>
      <c r="LO97" s="362"/>
      <c r="LP97" s="362"/>
      <c r="LQ97" s="362"/>
      <c r="LR97" s="362"/>
      <c r="LS97" s="362"/>
      <c r="LT97" s="362"/>
      <c r="LU97" s="362"/>
      <c r="LV97" s="362"/>
      <c r="LW97" s="362"/>
      <c r="LX97" s="362"/>
      <c r="LY97" s="362"/>
      <c r="LZ97" s="362"/>
      <c r="MA97" s="362"/>
      <c r="MB97" s="362"/>
      <c r="MC97" s="362"/>
      <c r="MD97" s="362"/>
      <c r="ME97" s="362"/>
      <c r="MF97" s="362"/>
      <c r="MG97" s="362"/>
      <c r="MH97" s="362"/>
      <c r="MI97" s="362"/>
      <c r="MJ97" s="362"/>
      <c r="MK97" s="362"/>
      <c r="ML97" s="362"/>
      <c r="MM97" s="362"/>
      <c r="MN97" s="362"/>
      <c r="MO97" s="362"/>
      <c r="MP97" s="362"/>
      <c r="MQ97" s="362"/>
      <c r="MR97" s="362"/>
      <c r="MS97" s="362"/>
      <c r="MT97" s="362"/>
      <c r="MU97" s="362"/>
      <c r="MV97" s="362"/>
      <c r="MW97" s="362"/>
      <c r="MX97" s="363"/>
      <c r="MY97" s="333"/>
      <c r="MZ97" s="334"/>
      <c r="NA97" s="334"/>
      <c r="NB97" s="334"/>
      <c r="NC97" s="341"/>
      <c r="NI97" s="312"/>
      <c r="NJ97" s="312"/>
      <c r="NK97" s="312"/>
      <c r="NL97" s="312"/>
      <c r="NM97" s="312"/>
      <c r="NN97" s="312"/>
      <c r="NO97" s="312"/>
      <c r="NP97" s="312"/>
      <c r="NQ97" s="312"/>
      <c r="NR97" s="312"/>
      <c r="NS97" s="312"/>
      <c r="NT97" s="312"/>
      <c r="NU97" s="312"/>
      <c r="NV97" s="312"/>
      <c r="NW97" s="312"/>
      <c r="NX97" s="312"/>
      <c r="NY97" s="312"/>
      <c r="NZ97" s="312"/>
      <c r="OA97" s="312"/>
      <c r="OB97" s="312"/>
      <c r="OC97" s="312"/>
      <c r="OD97" s="312"/>
      <c r="OE97" s="312"/>
      <c r="OF97" s="312"/>
      <c r="OG97" s="312"/>
      <c r="OH97" s="312"/>
      <c r="OI97" s="312"/>
      <c r="OJ97" s="312"/>
      <c r="OK97" s="312"/>
      <c r="OL97" s="312"/>
      <c r="OM97" s="312"/>
      <c r="ON97" s="312"/>
      <c r="OO97" s="312"/>
      <c r="OP97" s="312"/>
      <c r="OQ97" s="312"/>
      <c r="OR97" s="312"/>
      <c r="OS97" s="312"/>
      <c r="OT97" s="312"/>
      <c r="OU97" s="312"/>
      <c r="OV97" s="312"/>
      <c r="OW97" s="311"/>
      <c r="OX97" s="311"/>
      <c r="OY97" s="311"/>
      <c r="OZ97" s="311"/>
      <c r="PA97" s="311"/>
      <c r="PB97" s="311"/>
      <c r="QK97" s="164"/>
      <c r="QL97" s="164"/>
      <c r="QM97" s="164"/>
      <c r="QO97" s="164"/>
      <c r="QP97" s="164"/>
      <c r="QQ97" s="165"/>
      <c r="QR97" s="166"/>
    </row>
    <row r="98" spans="3:465" ht="5.15" customHeight="1" x14ac:dyDescent="0.35">
      <c r="C98" s="161"/>
      <c r="D98" s="162"/>
      <c r="E98" s="164"/>
      <c r="F98" s="164"/>
      <c r="BC98" s="178"/>
      <c r="BD98" s="178"/>
      <c r="BE98" s="178"/>
      <c r="BF98" s="178"/>
      <c r="BG98" s="178"/>
      <c r="BH98" s="178"/>
      <c r="BI98" s="178"/>
      <c r="BJ98" s="178"/>
      <c r="BK98" s="178"/>
      <c r="BL98" s="178"/>
      <c r="BM98" s="178"/>
      <c r="BN98" s="178"/>
      <c r="BO98" s="178"/>
      <c r="BP98" s="178"/>
      <c r="BQ98" s="178"/>
      <c r="BR98" s="178"/>
      <c r="BS98" s="178"/>
      <c r="BT98" s="178"/>
      <c r="BU98" s="178"/>
      <c r="BV98" s="178"/>
      <c r="BW98" s="178"/>
      <c r="BX98" s="178"/>
      <c r="BY98" s="178"/>
      <c r="BZ98" s="178"/>
      <c r="CA98" s="178"/>
      <c r="CB98" s="178"/>
      <c r="CC98" s="178"/>
      <c r="CD98" s="178"/>
      <c r="CE98" s="178"/>
      <c r="CF98" s="178"/>
      <c r="CG98" s="178"/>
      <c r="CH98" s="178"/>
      <c r="DM98" s="367"/>
      <c r="DN98" s="367"/>
      <c r="DO98" s="367"/>
      <c r="DP98" s="367"/>
      <c r="DQ98" s="367"/>
      <c r="DR98" s="367"/>
      <c r="DS98" s="367"/>
      <c r="DT98" s="367"/>
      <c r="DU98" s="367"/>
      <c r="DV98" s="367"/>
      <c r="DW98" s="367"/>
      <c r="DX98" s="367"/>
      <c r="DY98" s="367"/>
      <c r="DZ98" s="367"/>
      <c r="EA98" s="367"/>
      <c r="EB98" s="367"/>
      <c r="EC98" s="367"/>
      <c r="ED98" s="367"/>
      <c r="EE98" s="367"/>
      <c r="EF98" s="367"/>
      <c r="EG98" s="367"/>
      <c r="EH98" s="367"/>
      <c r="EI98" s="367"/>
      <c r="EJ98" s="367"/>
      <c r="EK98" s="367"/>
      <c r="EL98" s="367"/>
      <c r="EM98" s="367"/>
      <c r="EN98" s="367"/>
      <c r="EO98" s="367"/>
      <c r="EP98" s="367"/>
      <c r="EQ98" s="367"/>
      <c r="ER98" s="367"/>
      <c r="ES98" s="367"/>
      <c r="ET98" s="367"/>
      <c r="EU98" s="367"/>
      <c r="EV98" s="367"/>
      <c r="EW98" s="367"/>
      <c r="EX98" s="367"/>
      <c r="EY98" s="367"/>
      <c r="EZ98" s="367"/>
      <c r="FA98" s="367"/>
      <c r="FB98" s="367"/>
      <c r="FC98" s="367"/>
      <c r="FD98" s="367"/>
      <c r="FE98" s="367"/>
      <c r="FF98" s="367"/>
      <c r="HP98" s="333"/>
      <c r="HQ98" s="334"/>
      <c r="HR98" s="334"/>
      <c r="HS98" s="334"/>
      <c r="HT98" s="334"/>
      <c r="HU98" s="334"/>
      <c r="HV98" s="334"/>
      <c r="HW98" s="334"/>
      <c r="HX98" s="334"/>
      <c r="HY98" s="334"/>
      <c r="HZ98" s="334"/>
      <c r="IA98" s="334"/>
      <c r="IB98" s="334"/>
      <c r="IC98" s="334"/>
      <c r="ID98" s="334"/>
      <c r="IE98" s="334"/>
      <c r="IF98" s="334"/>
      <c r="IG98" s="334"/>
      <c r="IH98" s="334"/>
      <c r="II98" s="334"/>
      <c r="IJ98" s="334"/>
      <c r="IK98" s="334"/>
      <c r="IL98" s="334"/>
      <c r="IM98" s="334"/>
      <c r="IN98" s="334"/>
      <c r="IO98" s="334"/>
      <c r="IP98" s="334"/>
      <c r="IQ98" s="334"/>
      <c r="IR98" s="334"/>
      <c r="IS98" s="334"/>
      <c r="IT98" s="334"/>
      <c r="IU98" s="334"/>
      <c r="IV98" s="334"/>
      <c r="IW98" s="334"/>
      <c r="IX98" s="334"/>
      <c r="IY98" s="334"/>
      <c r="IZ98" s="334"/>
      <c r="JA98" s="334"/>
      <c r="JB98" s="334"/>
      <c r="JC98" s="341"/>
      <c r="JD98" s="333"/>
      <c r="JE98" s="334"/>
      <c r="JF98" s="334"/>
      <c r="JG98" s="334"/>
      <c r="JH98" s="341"/>
      <c r="JN98" s="333"/>
      <c r="JO98" s="334"/>
      <c r="JP98" s="334"/>
      <c r="JQ98" s="334"/>
      <c r="JR98" s="334"/>
      <c r="JS98" s="334"/>
      <c r="JT98" s="334"/>
      <c r="JU98" s="334"/>
      <c r="JV98" s="334"/>
      <c r="JW98" s="334"/>
      <c r="JX98" s="334"/>
      <c r="JY98" s="334"/>
      <c r="JZ98" s="334"/>
      <c r="KA98" s="334"/>
      <c r="KB98" s="334"/>
      <c r="KC98" s="334"/>
      <c r="KD98" s="334"/>
      <c r="KE98" s="334"/>
      <c r="KF98" s="334"/>
      <c r="KG98" s="334"/>
      <c r="KH98" s="334"/>
      <c r="KI98" s="334"/>
      <c r="KJ98" s="334"/>
      <c r="KK98" s="334"/>
      <c r="KL98" s="334"/>
      <c r="KM98" s="334"/>
      <c r="KN98" s="334"/>
      <c r="KO98" s="334"/>
      <c r="KP98" s="334"/>
      <c r="KQ98" s="334"/>
      <c r="KR98" s="334"/>
      <c r="KS98" s="334"/>
      <c r="KT98" s="334"/>
      <c r="KU98" s="334"/>
      <c r="KV98" s="334"/>
      <c r="KW98" s="334"/>
      <c r="KX98" s="334"/>
      <c r="KY98" s="334"/>
      <c r="KZ98" s="334"/>
      <c r="LA98" s="341"/>
      <c r="LB98" s="333"/>
      <c r="LC98" s="334"/>
      <c r="LD98" s="334"/>
      <c r="LE98" s="334"/>
      <c r="LF98" s="341"/>
      <c r="LK98" s="361"/>
      <c r="LL98" s="362"/>
      <c r="LM98" s="362"/>
      <c r="LN98" s="362"/>
      <c r="LO98" s="362"/>
      <c r="LP98" s="362"/>
      <c r="LQ98" s="362"/>
      <c r="LR98" s="362"/>
      <c r="LS98" s="362"/>
      <c r="LT98" s="362"/>
      <c r="LU98" s="362"/>
      <c r="LV98" s="362"/>
      <c r="LW98" s="362"/>
      <c r="LX98" s="362"/>
      <c r="LY98" s="362"/>
      <c r="LZ98" s="362"/>
      <c r="MA98" s="362"/>
      <c r="MB98" s="362"/>
      <c r="MC98" s="362"/>
      <c r="MD98" s="362"/>
      <c r="ME98" s="362"/>
      <c r="MF98" s="362"/>
      <c r="MG98" s="362"/>
      <c r="MH98" s="362"/>
      <c r="MI98" s="362"/>
      <c r="MJ98" s="362"/>
      <c r="MK98" s="362"/>
      <c r="ML98" s="362"/>
      <c r="MM98" s="362"/>
      <c r="MN98" s="362"/>
      <c r="MO98" s="362"/>
      <c r="MP98" s="362"/>
      <c r="MQ98" s="362"/>
      <c r="MR98" s="362"/>
      <c r="MS98" s="362"/>
      <c r="MT98" s="362"/>
      <c r="MU98" s="362"/>
      <c r="MV98" s="362"/>
      <c r="MW98" s="362"/>
      <c r="MX98" s="363"/>
      <c r="MY98" s="333"/>
      <c r="MZ98" s="334"/>
      <c r="NA98" s="334"/>
      <c r="NB98" s="334"/>
      <c r="NC98" s="341"/>
      <c r="NI98" s="312"/>
      <c r="NJ98" s="312"/>
      <c r="NK98" s="312"/>
      <c r="NL98" s="312"/>
      <c r="NM98" s="312"/>
      <c r="NN98" s="312"/>
      <c r="NO98" s="312"/>
      <c r="NP98" s="312"/>
      <c r="NQ98" s="312"/>
      <c r="NR98" s="312"/>
      <c r="NS98" s="312"/>
      <c r="NT98" s="312"/>
      <c r="NU98" s="312"/>
      <c r="NV98" s="312"/>
      <c r="NW98" s="312"/>
      <c r="NX98" s="312"/>
      <c r="NY98" s="312"/>
      <c r="NZ98" s="312"/>
      <c r="OA98" s="312"/>
      <c r="OB98" s="312"/>
      <c r="OC98" s="312"/>
      <c r="OD98" s="312"/>
      <c r="OE98" s="312"/>
      <c r="OF98" s="312"/>
      <c r="OG98" s="312"/>
      <c r="OH98" s="312"/>
      <c r="OI98" s="312"/>
      <c r="OJ98" s="312"/>
      <c r="OK98" s="312"/>
      <c r="OL98" s="312"/>
      <c r="OM98" s="312"/>
      <c r="ON98" s="312"/>
      <c r="OO98" s="312"/>
      <c r="OP98" s="312"/>
      <c r="OQ98" s="312"/>
      <c r="OR98" s="312"/>
      <c r="OS98" s="312"/>
      <c r="OT98" s="312"/>
      <c r="OU98" s="312"/>
      <c r="OV98" s="312"/>
      <c r="OW98" s="311"/>
      <c r="OX98" s="311"/>
      <c r="OY98" s="311"/>
      <c r="OZ98" s="311"/>
      <c r="PA98" s="311"/>
      <c r="PB98" s="311"/>
      <c r="QK98" s="164"/>
      <c r="QL98" s="164"/>
      <c r="QM98" s="164"/>
      <c r="QO98" s="164"/>
      <c r="QP98" s="164"/>
      <c r="QQ98" s="165"/>
      <c r="QR98" s="166"/>
    </row>
    <row r="99" spans="3:465" ht="5.15" customHeight="1" x14ac:dyDescent="0.35">
      <c r="C99" s="161"/>
      <c r="D99" s="162"/>
      <c r="E99" s="164"/>
      <c r="F99" s="164"/>
      <c r="BC99" s="178"/>
      <c r="BD99" s="178"/>
      <c r="BE99" s="178"/>
      <c r="BF99" s="178"/>
      <c r="BG99" s="178"/>
      <c r="BH99" s="178"/>
      <c r="BI99" s="178"/>
      <c r="BJ99" s="178"/>
      <c r="BK99" s="178"/>
      <c r="BL99" s="178"/>
      <c r="BM99" s="178"/>
      <c r="BN99" s="178"/>
      <c r="BO99" s="178"/>
      <c r="BP99" s="178"/>
      <c r="BQ99" s="178"/>
      <c r="BR99" s="178"/>
      <c r="BS99" s="178"/>
      <c r="BT99" s="178"/>
      <c r="BU99" s="178"/>
      <c r="BV99" s="178"/>
      <c r="BW99" s="178"/>
      <c r="BX99" s="178"/>
      <c r="BY99" s="178"/>
      <c r="BZ99" s="178"/>
      <c r="CA99" s="178"/>
      <c r="CB99" s="178"/>
      <c r="CC99" s="178"/>
      <c r="CD99" s="178"/>
      <c r="CE99" s="178"/>
      <c r="CF99" s="178"/>
      <c r="CG99" s="178"/>
      <c r="CH99" s="178"/>
      <c r="DM99" s="367"/>
      <c r="DN99" s="367"/>
      <c r="DO99" s="367"/>
      <c r="DP99" s="367"/>
      <c r="DQ99" s="367"/>
      <c r="DR99" s="367"/>
      <c r="DS99" s="367"/>
      <c r="DT99" s="367"/>
      <c r="DU99" s="367"/>
      <c r="DV99" s="367"/>
      <c r="DW99" s="367"/>
      <c r="DX99" s="367"/>
      <c r="DY99" s="367"/>
      <c r="DZ99" s="367"/>
      <c r="EA99" s="367"/>
      <c r="EB99" s="367"/>
      <c r="EC99" s="367"/>
      <c r="ED99" s="367"/>
      <c r="EE99" s="367"/>
      <c r="EF99" s="367"/>
      <c r="EG99" s="367"/>
      <c r="EH99" s="367"/>
      <c r="EI99" s="367"/>
      <c r="EJ99" s="367"/>
      <c r="EK99" s="367"/>
      <c r="EL99" s="367"/>
      <c r="EM99" s="367"/>
      <c r="EN99" s="367"/>
      <c r="EO99" s="367"/>
      <c r="EP99" s="367"/>
      <c r="EQ99" s="367"/>
      <c r="ER99" s="367"/>
      <c r="ES99" s="367"/>
      <c r="ET99" s="367"/>
      <c r="EU99" s="367"/>
      <c r="EV99" s="367"/>
      <c r="EW99" s="367"/>
      <c r="EX99" s="367"/>
      <c r="EY99" s="367"/>
      <c r="EZ99" s="367"/>
      <c r="FA99" s="367"/>
      <c r="FB99" s="367"/>
      <c r="FC99" s="367"/>
      <c r="FD99" s="367"/>
      <c r="FE99" s="367"/>
      <c r="FF99" s="367"/>
      <c r="HP99" s="333"/>
      <c r="HQ99" s="334"/>
      <c r="HR99" s="334"/>
      <c r="HS99" s="334"/>
      <c r="HT99" s="334"/>
      <c r="HU99" s="334"/>
      <c r="HV99" s="334"/>
      <c r="HW99" s="334"/>
      <c r="HX99" s="334"/>
      <c r="HY99" s="334"/>
      <c r="HZ99" s="334"/>
      <c r="IA99" s="334"/>
      <c r="IB99" s="334"/>
      <c r="IC99" s="334"/>
      <c r="ID99" s="334"/>
      <c r="IE99" s="334"/>
      <c r="IF99" s="334"/>
      <c r="IG99" s="334"/>
      <c r="IH99" s="334"/>
      <c r="II99" s="334"/>
      <c r="IJ99" s="334"/>
      <c r="IK99" s="334"/>
      <c r="IL99" s="334"/>
      <c r="IM99" s="334"/>
      <c r="IN99" s="334"/>
      <c r="IO99" s="334"/>
      <c r="IP99" s="334"/>
      <c r="IQ99" s="334"/>
      <c r="IR99" s="334"/>
      <c r="IS99" s="334"/>
      <c r="IT99" s="334"/>
      <c r="IU99" s="334"/>
      <c r="IV99" s="334"/>
      <c r="IW99" s="334"/>
      <c r="IX99" s="334"/>
      <c r="IY99" s="334"/>
      <c r="IZ99" s="334"/>
      <c r="JA99" s="334"/>
      <c r="JB99" s="334"/>
      <c r="JC99" s="341"/>
      <c r="JD99" s="333"/>
      <c r="JE99" s="334"/>
      <c r="JF99" s="334"/>
      <c r="JG99" s="334"/>
      <c r="JH99" s="341"/>
      <c r="JN99" s="333"/>
      <c r="JO99" s="334"/>
      <c r="JP99" s="334"/>
      <c r="JQ99" s="334"/>
      <c r="JR99" s="334"/>
      <c r="JS99" s="334"/>
      <c r="JT99" s="334"/>
      <c r="JU99" s="334"/>
      <c r="JV99" s="334"/>
      <c r="JW99" s="334"/>
      <c r="JX99" s="334"/>
      <c r="JY99" s="334"/>
      <c r="JZ99" s="334"/>
      <c r="KA99" s="334"/>
      <c r="KB99" s="334"/>
      <c r="KC99" s="334"/>
      <c r="KD99" s="334"/>
      <c r="KE99" s="334"/>
      <c r="KF99" s="334"/>
      <c r="KG99" s="334"/>
      <c r="KH99" s="334"/>
      <c r="KI99" s="334"/>
      <c r="KJ99" s="334"/>
      <c r="KK99" s="334"/>
      <c r="KL99" s="334"/>
      <c r="KM99" s="334"/>
      <c r="KN99" s="334"/>
      <c r="KO99" s="334"/>
      <c r="KP99" s="334"/>
      <c r="KQ99" s="334"/>
      <c r="KR99" s="334"/>
      <c r="KS99" s="334"/>
      <c r="KT99" s="334"/>
      <c r="KU99" s="334"/>
      <c r="KV99" s="334"/>
      <c r="KW99" s="334"/>
      <c r="KX99" s="334"/>
      <c r="KY99" s="334"/>
      <c r="KZ99" s="334"/>
      <c r="LA99" s="341"/>
      <c r="LB99" s="333"/>
      <c r="LC99" s="334"/>
      <c r="LD99" s="334"/>
      <c r="LE99" s="334"/>
      <c r="LF99" s="341"/>
      <c r="LK99" s="361"/>
      <c r="LL99" s="362"/>
      <c r="LM99" s="362"/>
      <c r="LN99" s="362"/>
      <c r="LO99" s="362"/>
      <c r="LP99" s="362"/>
      <c r="LQ99" s="362"/>
      <c r="LR99" s="362"/>
      <c r="LS99" s="362"/>
      <c r="LT99" s="362"/>
      <c r="LU99" s="362"/>
      <c r="LV99" s="362"/>
      <c r="LW99" s="362"/>
      <c r="LX99" s="362"/>
      <c r="LY99" s="362"/>
      <c r="LZ99" s="362"/>
      <c r="MA99" s="362"/>
      <c r="MB99" s="362"/>
      <c r="MC99" s="362"/>
      <c r="MD99" s="362"/>
      <c r="ME99" s="362"/>
      <c r="MF99" s="362"/>
      <c r="MG99" s="362"/>
      <c r="MH99" s="362"/>
      <c r="MI99" s="362"/>
      <c r="MJ99" s="362"/>
      <c r="MK99" s="362"/>
      <c r="ML99" s="362"/>
      <c r="MM99" s="362"/>
      <c r="MN99" s="362"/>
      <c r="MO99" s="362"/>
      <c r="MP99" s="362"/>
      <c r="MQ99" s="362"/>
      <c r="MR99" s="362"/>
      <c r="MS99" s="362"/>
      <c r="MT99" s="362"/>
      <c r="MU99" s="362"/>
      <c r="MV99" s="362"/>
      <c r="MW99" s="362"/>
      <c r="MX99" s="363"/>
      <c r="MY99" s="333"/>
      <c r="MZ99" s="334"/>
      <c r="NA99" s="334"/>
      <c r="NB99" s="334"/>
      <c r="NC99" s="341"/>
      <c r="NI99" s="312"/>
      <c r="NJ99" s="312"/>
      <c r="NK99" s="312"/>
      <c r="NL99" s="312"/>
      <c r="NM99" s="312"/>
      <c r="NN99" s="312"/>
      <c r="NO99" s="312"/>
      <c r="NP99" s="312"/>
      <c r="NQ99" s="312"/>
      <c r="NR99" s="312"/>
      <c r="NS99" s="312"/>
      <c r="NT99" s="312"/>
      <c r="NU99" s="312"/>
      <c r="NV99" s="312"/>
      <c r="NW99" s="312"/>
      <c r="NX99" s="312"/>
      <c r="NY99" s="312"/>
      <c r="NZ99" s="312"/>
      <c r="OA99" s="312"/>
      <c r="OB99" s="312"/>
      <c r="OC99" s="312"/>
      <c r="OD99" s="312"/>
      <c r="OE99" s="312"/>
      <c r="OF99" s="312"/>
      <c r="OG99" s="312"/>
      <c r="OH99" s="312"/>
      <c r="OI99" s="312"/>
      <c r="OJ99" s="312"/>
      <c r="OK99" s="312"/>
      <c r="OL99" s="312"/>
      <c r="OM99" s="312"/>
      <c r="ON99" s="312"/>
      <c r="OO99" s="312"/>
      <c r="OP99" s="312"/>
      <c r="OQ99" s="312"/>
      <c r="OR99" s="312"/>
      <c r="OS99" s="312"/>
      <c r="OT99" s="312"/>
      <c r="OU99" s="312"/>
      <c r="OV99" s="312"/>
      <c r="OW99" s="311"/>
      <c r="OX99" s="311"/>
      <c r="OY99" s="311"/>
      <c r="OZ99" s="311"/>
      <c r="PA99" s="311"/>
      <c r="PB99" s="311"/>
      <c r="QK99" s="164"/>
      <c r="QL99" s="164"/>
      <c r="QM99" s="164"/>
      <c r="QO99" s="164"/>
      <c r="QP99" s="164"/>
      <c r="QQ99" s="165"/>
      <c r="QR99" s="166"/>
    </row>
    <row r="100" spans="3:465" ht="5.15" customHeight="1" x14ac:dyDescent="0.35">
      <c r="C100" s="161"/>
      <c r="D100" s="162"/>
      <c r="E100" s="164"/>
      <c r="F100" s="164"/>
      <c r="DM100" s="367"/>
      <c r="DN100" s="367"/>
      <c r="DO100" s="367"/>
      <c r="DP100" s="367"/>
      <c r="DQ100" s="367"/>
      <c r="DR100" s="367"/>
      <c r="DS100" s="367"/>
      <c r="DT100" s="367"/>
      <c r="DU100" s="367"/>
      <c r="DV100" s="367"/>
      <c r="DW100" s="367"/>
      <c r="DX100" s="367"/>
      <c r="DY100" s="367"/>
      <c r="DZ100" s="367"/>
      <c r="EA100" s="367"/>
      <c r="EB100" s="367"/>
      <c r="EC100" s="367"/>
      <c r="ED100" s="367"/>
      <c r="EE100" s="367"/>
      <c r="EF100" s="367"/>
      <c r="EG100" s="367"/>
      <c r="EH100" s="367"/>
      <c r="EI100" s="367"/>
      <c r="EJ100" s="367"/>
      <c r="EK100" s="367"/>
      <c r="EL100" s="367"/>
      <c r="EM100" s="367"/>
      <c r="EN100" s="367"/>
      <c r="EO100" s="367"/>
      <c r="EP100" s="367"/>
      <c r="EQ100" s="367"/>
      <c r="ER100" s="367"/>
      <c r="ES100" s="367"/>
      <c r="ET100" s="367"/>
      <c r="EU100" s="367"/>
      <c r="EV100" s="367"/>
      <c r="EW100" s="367"/>
      <c r="EX100" s="367"/>
      <c r="EY100" s="367"/>
      <c r="EZ100" s="367"/>
      <c r="FA100" s="367"/>
      <c r="FB100" s="367"/>
      <c r="FC100" s="367"/>
      <c r="FD100" s="367"/>
      <c r="FE100" s="367"/>
      <c r="FF100" s="367"/>
      <c r="HP100" s="333"/>
      <c r="HQ100" s="334"/>
      <c r="HR100" s="334"/>
      <c r="HS100" s="334"/>
      <c r="HT100" s="334"/>
      <c r="HU100" s="334"/>
      <c r="HV100" s="334"/>
      <c r="HW100" s="334"/>
      <c r="HX100" s="334"/>
      <c r="HY100" s="334"/>
      <c r="HZ100" s="334"/>
      <c r="IA100" s="334"/>
      <c r="IB100" s="334"/>
      <c r="IC100" s="334"/>
      <c r="ID100" s="334"/>
      <c r="IE100" s="334"/>
      <c r="IF100" s="334"/>
      <c r="IG100" s="334"/>
      <c r="IH100" s="334"/>
      <c r="II100" s="334"/>
      <c r="IJ100" s="334"/>
      <c r="IK100" s="334"/>
      <c r="IL100" s="334"/>
      <c r="IM100" s="334"/>
      <c r="IN100" s="334"/>
      <c r="IO100" s="334"/>
      <c r="IP100" s="334"/>
      <c r="IQ100" s="334"/>
      <c r="IR100" s="334"/>
      <c r="IS100" s="334"/>
      <c r="IT100" s="334"/>
      <c r="IU100" s="334"/>
      <c r="IV100" s="334"/>
      <c r="IW100" s="334"/>
      <c r="IX100" s="334"/>
      <c r="IY100" s="334"/>
      <c r="IZ100" s="334"/>
      <c r="JA100" s="334"/>
      <c r="JB100" s="334"/>
      <c r="JC100" s="341"/>
      <c r="JD100" s="333"/>
      <c r="JE100" s="334"/>
      <c r="JF100" s="334"/>
      <c r="JG100" s="334"/>
      <c r="JH100" s="341"/>
      <c r="JN100" s="333"/>
      <c r="JO100" s="334"/>
      <c r="JP100" s="334"/>
      <c r="JQ100" s="334"/>
      <c r="JR100" s="334"/>
      <c r="JS100" s="334"/>
      <c r="JT100" s="334"/>
      <c r="JU100" s="334"/>
      <c r="JV100" s="334"/>
      <c r="JW100" s="334"/>
      <c r="JX100" s="334"/>
      <c r="JY100" s="334"/>
      <c r="JZ100" s="334"/>
      <c r="KA100" s="334"/>
      <c r="KB100" s="334"/>
      <c r="KC100" s="334"/>
      <c r="KD100" s="334"/>
      <c r="KE100" s="334"/>
      <c r="KF100" s="334"/>
      <c r="KG100" s="334"/>
      <c r="KH100" s="334"/>
      <c r="KI100" s="334"/>
      <c r="KJ100" s="334"/>
      <c r="KK100" s="334"/>
      <c r="KL100" s="334"/>
      <c r="KM100" s="334"/>
      <c r="KN100" s="334"/>
      <c r="KO100" s="334"/>
      <c r="KP100" s="334"/>
      <c r="KQ100" s="334"/>
      <c r="KR100" s="334"/>
      <c r="KS100" s="334"/>
      <c r="KT100" s="334"/>
      <c r="KU100" s="334"/>
      <c r="KV100" s="334"/>
      <c r="KW100" s="334"/>
      <c r="KX100" s="334"/>
      <c r="KY100" s="334"/>
      <c r="KZ100" s="334"/>
      <c r="LA100" s="341"/>
      <c r="LB100" s="333"/>
      <c r="LC100" s="334"/>
      <c r="LD100" s="334"/>
      <c r="LE100" s="334"/>
      <c r="LF100" s="341"/>
      <c r="LK100" s="361"/>
      <c r="LL100" s="362"/>
      <c r="LM100" s="362"/>
      <c r="LN100" s="362"/>
      <c r="LO100" s="362"/>
      <c r="LP100" s="362"/>
      <c r="LQ100" s="362"/>
      <c r="LR100" s="362"/>
      <c r="LS100" s="362"/>
      <c r="LT100" s="362"/>
      <c r="LU100" s="362"/>
      <c r="LV100" s="362"/>
      <c r="LW100" s="362"/>
      <c r="LX100" s="362"/>
      <c r="LY100" s="362"/>
      <c r="LZ100" s="362"/>
      <c r="MA100" s="362"/>
      <c r="MB100" s="362"/>
      <c r="MC100" s="362"/>
      <c r="MD100" s="362"/>
      <c r="ME100" s="362"/>
      <c r="MF100" s="362"/>
      <c r="MG100" s="362"/>
      <c r="MH100" s="362"/>
      <c r="MI100" s="362"/>
      <c r="MJ100" s="362"/>
      <c r="MK100" s="362"/>
      <c r="ML100" s="362"/>
      <c r="MM100" s="362"/>
      <c r="MN100" s="362"/>
      <c r="MO100" s="362"/>
      <c r="MP100" s="362"/>
      <c r="MQ100" s="362"/>
      <c r="MR100" s="362"/>
      <c r="MS100" s="362"/>
      <c r="MT100" s="362"/>
      <c r="MU100" s="362"/>
      <c r="MV100" s="362"/>
      <c r="MW100" s="362"/>
      <c r="MX100" s="363"/>
      <c r="MY100" s="333"/>
      <c r="MZ100" s="334"/>
      <c r="NA100" s="334"/>
      <c r="NB100" s="334"/>
      <c r="NC100" s="341"/>
      <c r="NI100" s="312"/>
      <c r="NJ100" s="312"/>
      <c r="NK100" s="312"/>
      <c r="NL100" s="312"/>
      <c r="NM100" s="312"/>
      <c r="NN100" s="312"/>
      <c r="NO100" s="312"/>
      <c r="NP100" s="312"/>
      <c r="NQ100" s="312"/>
      <c r="NR100" s="312"/>
      <c r="NS100" s="312"/>
      <c r="NT100" s="312"/>
      <c r="NU100" s="312"/>
      <c r="NV100" s="312"/>
      <c r="NW100" s="312"/>
      <c r="NX100" s="312"/>
      <c r="NY100" s="312"/>
      <c r="NZ100" s="312"/>
      <c r="OA100" s="312"/>
      <c r="OB100" s="312"/>
      <c r="OC100" s="312"/>
      <c r="OD100" s="312"/>
      <c r="OE100" s="312"/>
      <c r="OF100" s="312"/>
      <c r="OG100" s="312"/>
      <c r="OH100" s="312"/>
      <c r="OI100" s="312"/>
      <c r="OJ100" s="312"/>
      <c r="OK100" s="312"/>
      <c r="OL100" s="312"/>
      <c r="OM100" s="312"/>
      <c r="ON100" s="312"/>
      <c r="OO100" s="312"/>
      <c r="OP100" s="312"/>
      <c r="OQ100" s="312"/>
      <c r="OR100" s="312"/>
      <c r="OS100" s="312"/>
      <c r="OT100" s="312"/>
      <c r="OU100" s="312"/>
      <c r="OV100" s="312"/>
      <c r="OW100" s="311"/>
      <c r="OX100" s="311"/>
      <c r="OY100" s="311"/>
      <c r="OZ100" s="311"/>
      <c r="PA100" s="311"/>
      <c r="PB100" s="311"/>
      <c r="QK100" s="164"/>
      <c r="QL100" s="164"/>
      <c r="QM100" s="164"/>
      <c r="QO100" s="164"/>
      <c r="QP100" s="164"/>
      <c r="QQ100" s="165"/>
      <c r="QR100" s="166"/>
    </row>
    <row r="101" spans="3:465" ht="5.15" customHeight="1" x14ac:dyDescent="0.35">
      <c r="C101" s="161"/>
      <c r="D101" s="162"/>
      <c r="E101" s="164"/>
      <c r="F101" s="164"/>
      <c r="EF101" s="187"/>
      <c r="EG101" s="188"/>
      <c r="HP101" s="333"/>
      <c r="HQ101" s="334"/>
      <c r="HR101" s="334"/>
      <c r="HS101" s="334"/>
      <c r="HT101" s="334"/>
      <c r="HU101" s="334"/>
      <c r="HV101" s="334"/>
      <c r="HW101" s="334"/>
      <c r="HX101" s="334"/>
      <c r="HY101" s="334"/>
      <c r="HZ101" s="334"/>
      <c r="IA101" s="334"/>
      <c r="IB101" s="334"/>
      <c r="IC101" s="334"/>
      <c r="ID101" s="334"/>
      <c r="IE101" s="334"/>
      <c r="IF101" s="334"/>
      <c r="IG101" s="334"/>
      <c r="IH101" s="334"/>
      <c r="II101" s="334"/>
      <c r="IJ101" s="334"/>
      <c r="IK101" s="334"/>
      <c r="IL101" s="334"/>
      <c r="IM101" s="334"/>
      <c r="IN101" s="334"/>
      <c r="IO101" s="334"/>
      <c r="IP101" s="334"/>
      <c r="IQ101" s="334"/>
      <c r="IR101" s="334"/>
      <c r="IS101" s="334"/>
      <c r="IT101" s="334"/>
      <c r="IU101" s="334"/>
      <c r="IV101" s="334"/>
      <c r="IW101" s="334"/>
      <c r="IX101" s="334"/>
      <c r="IY101" s="334"/>
      <c r="IZ101" s="334"/>
      <c r="JA101" s="334"/>
      <c r="JB101" s="334"/>
      <c r="JC101" s="341"/>
      <c r="JD101" s="333"/>
      <c r="JE101" s="334"/>
      <c r="JF101" s="334"/>
      <c r="JG101" s="334"/>
      <c r="JH101" s="341"/>
      <c r="JN101" s="333"/>
      <c r="JO101" s="334"/>
      <c r="JP101" s="334"/>
      <c r="JQ101" s="334"/>
      <c r="JR101" s="334"/>
      <c r="JS101" s="334"/>
      <c r="JT101" s="334"/>
      <c r="JU101" s="334"/>
      <c r="JV101" s="334"/>
      <c r="JW101" s="334"/>
      <c r="JX101" s="334"/>
      <c r="JY101" s="334"/>
      <c r="JZ101" s="334"/>
      <c r="KA101" s="334"/>
      <c r="KB101" s="334"/>
      <c r="KC101" s="334"/>
      <c r="KD101" s="334"/>
      <c r="KE101" s="334"/>
      <c r="KF101" s="334"/>
      <c r="KG101" s="334"/>
      <c r="KH101" s="334"/>
      <c r="KI101" s="334"/>
      <c r="KJ101" s="334"/>
      <c r="KK101" s="334"/>
      <c r="KL101" s="334"/>
      <c r="KM101" s="334"/>
      <c r="KN101" s="334"/>
      <c r="KO101" s="334"/>
      <c r="KP101" s="334"/>
      <c r="KQ101" s="334"/>
      <c r="KR101" s="334"/>
      <c r="KS101" s="334"/>
      <c r="KT101" s="334"/>
      <c r="KU101" s="334"/>
      <c r="KV101" s="334"/>
      <c r="KW101" s="334"/>
      <c r="KX101" s="334"/>
      <c r="KY101" s="334"/>
      <c r="KZ101" s="334"/>
      <c r="LA101" s="341"/>
      <c r="LB101" s="333"/>
      <c r="LC101" s="334"/>
      <c r="LD101" s="334"/>
      <c r="LE101" s="334"/>
      <c r="LF101" s="341"/>
      <c r="LK101" s="361"/>
      <c r="LL101" s="362"/>
      <c r="LM101" s="362"/>
      <c r="LN101" s="362"/>
      <c r="LO101" s="362"/>
      <c r="LP101" s="362"/>
      <c r="LQ101" s="362"/>
      <c r="LR101" s="362"/>
      <c r="LS101" s="362"/>
      <c r="LT101" s="362"/>
      <c r="LU101" s="362"/>
      <c r="LV101" s="362"/>
      <c r="LW101" s="362"/>
      <c r="LX101" s="362"/>
      <c r="LY101" s="362"/>
      <c r="LZ101" s="362"/>
      <c r="MA101" s="362"/>
      <c r="MB101" s="362"/>
      <c r="MC101" s="362"/>
      <c r="MD101" s="362"/>
      <c r="ME101" s="362"/>
      <c r="MF101" s="362"/>
      <c r="MG101" s="362"/>
      <c r="MH101" s="362"/>
      <c r="MI101" s="362"/>
      <c r="MJ101" s="362"/>
      <c r="MK101" s="362"/>
      <c r="ML101" s="362"/>
      <c r="MM101" s="362"/>
      <c r="MN101" s="362"/>
      <c r="MO101" s="362"/>
      <c r="MP101" s="362"/>
      <c r="MQ101" s="362"/>
      <c r="MR101" s="362"/>
      <c r="MS101" s="362"/>
      <c r="MT101" s="362"/>
      <c r="MU101" s="362"/>
      <c r="MV101" s="362"/>
      <c r="MW101" s="362"/>
      <c r="MX101" s="363"/>
      <c r="MY101" s="333"/>
      <c r="MZ101" s="334"/>
      <c r="NA101" s="334"/>
      <c r="NB101" s="334"/>
      <c r="NC101" s="341"/>
      <c r="NI101" s="312"/>
      <c r="NJ101" s="312"/>
      <c r="NK101" s="312"/>
      <c r="NL101" s="312"/>
      <c r="NM101" s="312"/>
      <c r="NN101" s="312"/>
      <c r="NO101" s="312"/>
      <c r="NP101" s="312"/>
      <c r="NQ101" s="312"/>
      <c r="NR101" s="312"/>
      <c r="NS101" s="312"/>
      <c r="NT101" s="312"/>
      <c r="NU101" s="312"/>
      <c r="NV101" s="312"/>
      <c r="NW101" s="312"/>
      <c r="NX101" s="312"/>
      <c r="NY101" s="312"/>
      <c r="NZ101" s="312"/>
      <c r="OA101" s="312"/>
      <c r="OB101" s="312"/>
      <c r="OC101" s="312"/>
      <c r="OD101" s="312"/>
      <c r="OE101" s="312"/>
      <c r="OF101" s="312"/>
      <c r="OG101" s="312"/>
      <c r="OH101" s="312"/>
      <c r="OI101" s="312"/>
      <c r="OJ101" s="312"/>
      <c r="OK101" s="312"/>
      <c r="OL101" s="312"/>
      <c r="OM101" s="312"/>
      <c r="ON101" s="312"/>
      <c r="OO101" s="312"/>
      <c r="OP101" s="312"/>
      <c r="OQ101" s="312"/>
      <c r="OR101" s="312"/>
      <c r="OS101" s="312"/>
      <c r="OT101" s="312"/>
      <c r="OU101" s="312"/>
      <c r="OV101" s="312"/>
      <c r="OW101" s="311"/>
      <c r="OX101" s="311"/>
      <c r="OY101" s="311"/>
      <c r="OZ101" s="311"/>
      <c r="PA101" s="311"/>
      <c r="PB101" s="311"/>
      <c r="QK101" s="164"/>
      <c r="QL101" s="164"/>
      <c r="QM101" s="164"/>
      <c r="QO101" s="164"/>
      <c r="QP101" s="164"/>
      <c r="QQ101" s="165"/>
      <c r="QR101" s="166"/>
    </row>
    <row r="102" spans="3:465" ht="5.15" customHeight="1" x14ac:dyDescent="0.35">
      <c r="C102" s="161"/>
      <c r="D102" s="162"/>
      <c r="E102" s="164"/>
      <c r="F102" s="164"/>
      <c r="EF102" s="169"/>
      <c r="EG102" s="164"/>
      <c r="HP102" s="336"/>
      <c r="HQ102" s="337"/>
      <c r="HR102" s="337"/>
      <c r="HS102" s="337"/>
      <c r="HT102" s="337"/>
      <c r="HU102" s="337"/>
      <c r="HV102" s="337"/>
      <c r="HW102" s="337"/>
      <c r="HX102" s="337"/>
      <c r="HY102" s="337"/>
      <c r="HZ102" s="337"/>
      <c r="IA102" s="337"/>
      <c r="IB102" s="337"/>
      <c r="IC102" s="337"/>
      <c r="ID102" s="337"/>
      <c r="IE102" s="337"/>
      <c r="IF102" s="337"/>
      <c r="IG102" s="337"/>
      <c r="IH102" s="337"/>
      <c r="II102" s="337"/>
      <c r="IJ102" s="337"/>
      <c r="IK102" s="337"/>
      <c r="IL102" s="337"/>
      <c r="IM102" s="337"/>
      <c r="IN102" s="337"/>
      <c r="IO102" s="337"/>
      <c r="IP102" s="337"/>
      <c r="IQ102" s="337"/>
      <c r="IR102" s="337"/>
      <c r="IS102" s="337"/>
      <c r="IT102" s="337"/>
      <c r="IU102" s="337"/>
      <c r="IV102" s="337"/>
      <c r="IW102" s="337"/>
      <c r="IX102" s="337"/>
      <c r="IY102" s="337"/>
      <c r="IZ102" s="337"/>
      <c r="JA102" s="337"/>
      <c r="JB102" s="337"/>
      <c r="JC102" s="342"/>
      <c r="JD102" s="336"/>
      <c r="JE102" s="337"/>
      <c r="JF102" s="337"/>
      <c r="JG102" s="337"/>
      <c r="JH102" s="342"/>
      <c r="JN102" s="336"/>
      <c r="JO102" s="337"/>
      <c r="JP102" s="337"/>
      <c r="JQ102" s="337"/>
      <c r="JR102" s="337"/>
      <c r="JS102" s="337"/>
      <c r="JT102" s="337"/>
      <c r="JU102" s="337"/>
      <c r="JV102" s="337"/>
      <c r="JW102" s="337"/>
      <c r="JX102" s="337"/>
      <c r="JY102" s="337"/>
      <c r="JZ102" s="337"/>
      <c r="KA102" s="337"/>
      <c r="KB102" s="337"/>
      <c r="KC102" s="337"/>
      <c r="KD102" s="337"/>
      <c r="KE102" s="337"/>
      <c r="KF102" s="337"/>
      <c r="KG102" s="337"/>
      <c r="KH102" s="337"/>
      <c r="KI102" s="337"/>
      <c r="KJ102" s="337"/>
      <c r="KK102" s="337"/>
      <c r="KL102" s="337"/>
      <c r="KM102" s="337"/>
      <c r="KN102" s="337"/>
      <c r="KO102" s="337"/>
      <c r="KP102" s="337"/>
      <c r="KQ102" s="337"/>
      <c r="KR102" s="337"/>
      <c r="KS102" s="337"/>
      <c r="KT102" s="337"/>
      <c r="KU102" s="337"/>
      <c r="KV102" s="337"/>
      <c r="KW102" s="337"/>
      <c r="KX102" s="337"/>
      <c r="KY102" s="337"/>
      <c r="KZ102" s="337"/>
      <c r="LA102" s="342"/>
      <c r="LB102" s="336"/>
      <c r="LC102" s="337"/>
      <c r="LD102" s="337"/>
      <c r="LE102" s="337"/>
      <c r="LF102" s="342"/>
      <c r="LK102" s="364"/>
      <c r="LL102" s="365"/>
      <c r="LM102" s="365"/>
      <c r="LN102" s="365"/>
      <c r="LO102" s="365"/>
      <c r="LP102" s="365"/>
      <c r="LQ102" s="365"/>
      <c r="LR102" s="365"/>
      <c r="LS102" s="365"/>
      <c r="LT102" s="365"/>
      <c r="LU102" s="365"/>
      <c r="LV102" s="365"/>
      <c r="LW102" s="365"/>
      <c r="LX102" s="365"/>
      <c r="LY102" s="365"/>
      <c r="LZ102" s="365"/>
      <c r="MA102" s="365"/>
      <c r="MB102" s="365"/>
      <c r="MC102" s="365"/>
      <c r="MD102" s="365"/>
      <c r="ME102" s="365"/>
      <c r="MF102" s="365"/>
      <c r="MG102" s="365"/>
      <c r="MH102" s="365"/>
      <c r="MI102" s="365"/>
      <c r="MJ102" s="365"/>
      <c r="MK102" s="365"/>
      <c r="ML102" s="365"/>
      <c r="MM102" s="365"/>
      <c r="MN102" s="365"/>
      <c r="MO102" s="365"/>
      <c r="MP102" s="365"/>
      <c r="MQ102" s="365"/>
      <c r="MR102" s="365"/>
      <c r="MS102" s="365"/>
      <c r="MT102" s="365"/>
      <c r="MU102" s="365"/>
      <c r="MV102" s="365"/>
      <c r="MW102" s="365"/>
      <c r="MX102" s="366"/>
      <c r="MY102" s="336"/>
      <c r="MZ102" s="337"/>
      <c r="NA102" s="337"/>
      <c r="NB102" s="337"/>
      <c r="NC102" s="342"/>
      <c r="NI102" s="312"/>
      <c r="NJ102" s="312"/>
      <c r="NK102" s="312"/>
      <c r="NL102" s="312"/>
      <c r="NM102" s="312"/>
      <c r="NN102" s="312"/>
      <c r="NO102" s="312"/>
      <c r="NP102" s="312"/>
      <c r="NQ102" s="312"/>
      <c r="NR102" s="312"/>
      <c r="NS102" s="312"/>
      <c r="NT102" s="312"/>
      <c r="NU102" s="312"/>
      <c r="NV102" s="312"/>
      <c r="NW102" s="312"/>
      <c r="NX102" s="312"/>
      <c r="NY102" s="312"/>
      <c r="NZ102" s="312"/>
      <c r="OA102" s="312"/>
      <c r="OB102" s="312"/>
      <c r="OC102" s="312"/>
      <c r="OD102" s="312"/>
      <c r="OE102" s="312"/>
      <c r="OF102" s="312"/>
      <c r="OG102" s="312"/>
      <c r="OH102" s="312"/>
      <c r="OI102" s="312"/>
      <c r="OJ102" s="312"/>
      <c r="OK102" s="312"/>
      <c r="OL102" s="312"/>
      <c r="OM102" s="312"/>
      <c r="ON102" s="312"/>
      <c r="OO102" s="312"/>
      <c r="OP102" s="312"/>
      <c r="OQ102" s="312"/>
      <c r="OR102" s="312"/>
      <c r="OS102" s="312"/>
      <c r="OT102" s="312"/>
      <c r="OU102" s="312"/>
      <c r="OV102" s="312"/>
      <c r="OW102" s="311"/>
      <c r="OX102" s="311"/>
      <c r="OY102" s="311"/>
      <c r="OZ102" s="311"/>
      <c r="PA102" s="311"/>
      <c r="PB102" s="311"/>
      <c r="QK102" s="164"/>
      <c r="QL102" s="164"/>
      <c r="QM102" s="164"/>
      <c r="QO102" s="164"/>
      <c r="QP102" s="164"/>
      <c r="QQ102" s="165"/>
      <c r="QR102" s="166"/>
    </row>
    <row r="103" spans="3:465" ht="5.15" customHeight="1" x14ac:dyDescent="0.35">
      <c r="C103" s="161"/>
      <c r="D103" s="162"/>
      <c r="E103" s="164"/>
      <c r="F103" s="164"/>
      <c r="G103" s="164"/>
      <c r="H103" s="164"/>
      <c r="I103" s="164"/>
      <c r="J103" s="164"/>
      <c r="K103" s="164"/>
      <c r="EF103" s="169"/>
      <c r="EG103" s="164"/>
      <c r="IL103" s="196"/>
      <c r="IM103" s="188"/>
      <c r="JN103" s="330" t="s">
        <v>284</v>
      </c>
      <c r="JO103" s="331"/>
      <c r="JP103" s="331"/>
      <c r="JQ103" s="331"/>
      <c r="JR103" s="331"/>
      <c r="JS103" s="331"/>
      <c r="JT103" s="331"/>
      <c r="JU103" s="331"/>
      <c r="JV103" s="331"/>
      <c r="JW103" s="331"/>
      <c r="JX103" s="331"/>
      <c r="JY103" s="331"/>
      <c r="JZ103" s="331"/>
      <c r="KA103" s="331"/>
      <c r="KB103" s="331"/>
      <c r="KC103" s="331"/>
      <c r="KD103" s="331"/>
      <c r="KE103" s="331"/>
      <c r="KF103" s="331"/>
      <c r="KG103" s="331"/>
      <c r="KH103" s="331"/>
      <c r="KI103" s="331"/>
      <c r="KJ103" s="331"/>
      <c r="KK103" s="331"/>
      <c r="KL103" s="331"/>
      <c r="KM103" s="331"/>
      <c r="KN103" s="331"/>
      <c r="KO103" s="331"/>
      <c r="KP103" s="331"/>
      <c r="KQ103" s="331"/>
      <c r="KR103" s="331"/>
      <c r="KS103" s="331"/>
      <c r="KT103" s="331"/>
      <c r="KU103" s="331"/>
      <c r="KV103" s="331"/>
      <c r="KW103" s="331"/>
      <c r="KX103" s="331"/>
      <c r="KY103" s="331"/>
      <c r="KZ103" s="331">
        <v>1</v>
      </c>
      <c r="LA103" s="340"/>
      <c r="LB103" s="330">
        <v>22</v>
      </c>
      <c r="LC103" s="331"/>
      <c r="LD103" s="331"/>
      <c r="LE103" s="331"/>
      <c r="LF103" s="340"/>
      <c r="LK103" s="312" t="s">
        <v>285</v>
      </c>
      <c r="LL103" s="312"/>
      <c r="LM103" s="312"/>
      <c r="LN103" s="312"/>
      <c r="LO103" s="312"/>
      <c r="LP103" s="312"/>
      <c r="LQ103" s="312"/>
      <c r="LR103" s="312"/>
      <c r="LS103" s="312"/>
      <c r="LT103" s="312"/>
      <c r="LU103" s="312"/>
      <c r="LV103" s="312"/>
      <c r="LW103" s="312"/>
      <c r="LX103" s="312"/>
      <c r="LY103" s="312"/>
      <c r="LZ103" s="312"/>
      <c r="MA103" s="312"/>
      <c r="MB103" s="312"/>
      <c r="MC103" s="312"/>
      <c r="MD103" s="312"/>
      <c r="ME103" s="312"/>
      <c r="MF103" s="312"/>
      <c r="MG103" s="312"/>
      <c r="MH103" s="312"/>
      <c r="MI103" s="312"/>
      <c r="MJ103" s="312"/>
      <c r="MK103" s="312"/>
      <c r="ML103" s="312"/>
      <c r="MM103" s="312"/>
      <c r="MN103" s="312"/>
      <c r="MO103" s="312"/>
      <c r="MP103" s="312"/>
      <c r="MQ103" s="312"/>
      <c r="MR103" s="312"/>
      <c r="MS103" s="312"/>
      <c r="MT103" s="312"/>
      <c r="MU103" s="312"/>
      <c r="MV103" s="312"/>
      <c r="MW103" s="312"/>
      <c r="MX103" s="312"/>
      <c r="MY103" s="311">
        <v>2</v>
      </c>
      <c r="MZ103" s="311"/>
      <c r="NA103" s="311"/>
      <c r="NB103" s="311"/>
      <c r="NC103" s="311"/>
      <c r="ND103" s="164"/>
      <c r="NE103" s="164"/>
      <c r="NF103" s="164"/>
      <c r="NG103" s="164"/>
      <c r="NH103" s="164"/>
      <c r="NI103" s="164"/>
      <c r="NJ103" s="164"/>
      <c r="NK103" s="164"/>
      <c r="NL103" s="164"/>
      <c r="NM103" s="164"/>
      <c r="NN103" s="164"/>
      <c r="NO103" s="164"/>
      <c r="NP103" s="164"/>
      <c r="NQ103" s="164"/>
      <c r="NR103" s="164"/>
      <c r="NS103" s="164"/>
      <c r="NT103" s="164"/>
      <c r="NU103" s="164"/>
      <c r="NV103" s="164"/>
      <c r="NW103" s="164"/>
      <c r="NX103" s="164"/>
      <c r="NY103" s="164"/>
      <c r="NZ103" s="164"/>
      <c r="OA103" s="164"/>
      <c r="OB103" s="164"/>
      <c r="OC103" s="164"/>
      <c r="OD103" s="164"/>
      <c r="OE103" s="164"/>
      <c r="OF103" s="164"/>
      <c r="OG103" s="164"/>
      <c r="OH103" s="164"/>
      <c r="OI103" s="164"/>
      <c r="OJ103" s="164"/>
      <c r="OK103" s="164"/>
      <c r="OL103" s="164"/>
      <c r="OM103" s="164"/>
      <c r="ON103" s="164"/>
      <c r="OO103" s="164"/>
      <c r="OP103" s="164"/>
      <c r="OQ103" s="164"/>
      <c r="OR103" s="164"/>
      <c r="OS103" s="164"/>
      <c r="OT103" s="164"/>
      <c r="OU103" s="164"/>
      <c r="OV103" s="164"/>
      <c r="OW103" s="178"/>
      <c r="OX103" s="178"/>
      <c r="OY103" s="178"/>
      <c r="OZ103" s="178"/>
      <c r="PA103" s="178"/>
      <c r="PB103" s="178"/>
      <c r="QK103" s="164"/>
      <c r="QL103" s="164"/>
      <c r="QM103" s="164"/>
      <c r="QO103" s="164"/>
      <c r="QP103" s="164"/>
      <c r="QQ103" s="165"/>
      <c r="QR103" s="166"/>
    </row>
    <row r="104" spans="3:465" ht="5.15" customHeight="1" x14ac:dyDescent="0.35">
      <c r="C104" s="161"/>
      <c r="D104" s="162"/>
      <c r="E104" s="164"/>
      <c r="F104" s="164"/>
      <c r="G104" s="164"/>
      <c r="H104" s="164"/>
      <c r="I104" s="164"/>
      <c r="J104" s="164"/>
      <c r="K104" s="164"/>
      <c r="EF104" s="169"/>
      <c r="EG104" s="164"/>
      <c r="IL104" s="172"/>
      <c r="IM104" s="164"/>
      <c r="JN104" s="333"/>
      <c r="JO104" s="334"/>
      <c r="JP104" s="334"/>
      <c r="JQ104" s="334"/>
      <c r="JR104" s="334"/>
      <c r="JS104" s="334"/>
      <c r="JT104" s="334"/>
      <c r="JU104" s="334"/>
      <c r="JV104" s="334"/>
      <c r="JW104" s="334"/>
      <c r="JX104" s="334"/>
      <c r="JY104" s="334"/>
      <c r="JZ104" s="334"/>
      <c r="KA104" s="334"/>
      <c r="KB104" s="334"/>
      <c r="KC104" s="334"/>
      <c r="KD104" s="334"/>
      <c r="KE104" s="334"/>
      <c r="KF104" s="334"/>
      <c r="KG104" s="334"/>
      <c r="KH104" s="334"/>
      <c r="KI104" s="334"/>
      <c r="KJ104" s="334"/>
      <c r="KK104" s="334"/>
      <c r="KL104" s="334"/>
      <c r="KM104" s="334"/>
      <c r="KN104" s="334"/>
      <c r="KO104" s="334"/>
      <c r="KP104" s="334"/>
      <c r="KQ104" s="334"/>
      <c r="KR104" s="334"/>
      <c r="KS104" s="334"/>
      <c r="KT104" s="334"/>
      <c r="KU104" s="334"/>
      <c r="KV104" s="334"/>
      <c r="KW104" s="334"/>
      <c r="KX104" s="334"/>
      <c r="KY104" s="334"/>
      <c r="KZ104" s="334"/>
      <c r="LA104" s="341"/>
      <c r="LB104" s="333"/>
      <c r="LC104" s="334"/>
      <c r="LD104" s="334"/>
      <c r="LE104" s="334"/>
      <c r="LF104" s="341"/>
      <c r="LK104" s="312"/>
      <c r="LL104" s="312"/>
      <c r="LM104" s="312"/>
      <c r="LN104" s="312"/>
      <c r="LO104" s="312"/>
      <c r="LP104" s="312"/>
      <c r="LQ104" s="312"/>
      <c r="LR104" s="312"/>
      <c r="LS104" s="312"/>
      <c r="LT104" s="312"/>
      <c r="LU104" s="312"/>
      <c r="LV104" s="312"/>
      <c r="LW104" s="312"/>
      <c r="LX104" s="312"/>
      <c r="LY104" s="312"/>
      <c r="LZ104" s="312"/>
      <c r="MA104" s="312"/>
      <c r="MB104" s="312"/>
      <c r="MC104" s="312"/>
      <c r="MD104" s="312"/>
      <c r="ME104" s="312"/>
      <c r="MF104" s="312"/>
      <c r="MG104" s="312"/>
      <c r="MH104" s="312"/>
      <c r="MI104" s="312"/>
      <c r="MJ104" s="312"/>
      <c r="MK104" s="312"/>
      <c r="ML104" s="312"/>
      <c r="MM104" s="312"/>
      <c r="MN104" s="312"/>
      <c r="MO104" s="312"/>
      <c r="MP104" s="312"/>
      <c r="MQ104" s="312"/>
      <c r="MR104" s="312"/>
      <c r="MS104" s="312"/>
      <c r="MT104" s="312"/>
      <c r="MU104" s="312"/>
      <c r="MV104" s="312"/>
      <c r="MW104" s="312"/>
      <c r="MX104" s="312"/>
      <c r="MY104" s="311"/>
      <c r="MZ104" s="311"/>
      <c r="NA104" s="311"/>
      <c r="NB104" s="311"/>
      <c r="NC104" s="311"/>
      <c r="ND104" s="164"/>
      <c r="NE104" s="164"/>
      <c r="NF104" s="164"/>
      <c r="NG104" s="164"/>
      <c r="NH104" s="164"/>
      <c r="NI104" s="164"/>
      <c r="NJ104" s="164"/>
      <c r="NK104" s="164"/>
      <c r="NL104" s="164"/>
      <c r="NM104" s="164"/>
      <c r="NN104" s="164"/>
      <c r="NO104" s="164"/>
      <c r="NP104" s="164"/>
      <c r="NQ104" s="164"/>
      <c r="NR104" s="164"/>
      <c r="NS104" s="164"/>
      <c r="NT104" s="164"/>
      <c r="NU104" s="164"/>
      <c r="NV104" s="164"/>
      <c r="NW104" s="164"/>
      <c r="NX104" s="164"/>
      <c r="NY104" s="164"/>
      <c r="NZ104" s="164"/>
      <c r="OA104" s="164"/>
      <c r="OB104" s="164"/>
      <c r="OC104" s="164"/>
      <c r="OD104" s="164"/>
      <c r="OE104" s="164"/>
      <c r="OF104" s="164"/>
      <c r="OG104" s="164"/>
      <c r="OH104" s="164"/>
      <c r="OI104" s="164"/>
      <c r="OJ104" s="164"/>
      <c r="OK104" s="164"/>
      <c r="OL104" s="164"/>
      <c r="OM104" s="164"/>
      <c r="ON104" s="164"/>
      <c r="OO104" s="164"/>
      <c r="OP104" s="164"/>
      <c r="OQ104" s="164"/>
      <c r="OR104" s="164"/>
      <c r="OS104" s="164"/>
      <c r="OT104" s="164"/>
      <c r="OU104" s="164"/>
      <c r="OV104" s="164"/>
      <c r="OW104" s="178"/>
      <c r="OX104" s="178"/>
      <c r="OY104" s="178"/>
      <c r="OZ104" s="178"/>
      <c r="PA104" s="178"/>
      <c r="PB104" s="178"/>
      <c r="QK104" s="164"/>
      <c r="QL104" s="164"/>
      <c r="QM104" s="164"/>
      <c r="QO104" s="164"/>
      <c r="QP104" s="164"/>
      <c r="QQ104" s="165"/>
      <c r="QR104" s="166"/>
    </row>
    <row r="105" spans="3:465" ht="5.15" customHeight="1" thickBot="1" x14ac:dyDescent="0.4">
      <c r="C105" s="161"/>
      <c r="D105" s="162"/>
      <c r="E105" s="164"/>
      <c r="F105" s="164"/>
      <c r="G105" s="164"/>
      <c r="H105" s="164"/>
      <c r="I105" s="164"/>
      <c r="J105" s="164"/>
      <c r="K105" s="164"/>
      <c r="EF105" s="194"/>
      <c r="EG105" s="171"/>
      <c r="HP105" s="311" t="s">
        <v>60</v>
      </c>
      <c r="HQ105" s="311"/>
      <c r="HR105" s="311"/>
      <c r="HS105" s="311"/>
      <c r="HT105" s="311"/>
      <c r="HU105" s="311"/>
      <c r="HV105" s="311"/>
      <c r="HW105" s="311"/>
      <c r="HX105" s="311"/>
      <c r="HY105" s="311"/>
      <c r="HZ105" s="311"/>
      <c r="IA105" s="311"/>
      <c r="IB105" s="311"/>
      <c r="IC105" s="311"/>
      <c r="ID105" s="311"/>
      <c r="IE105" s="311"/>
      <c r="IF105" s="311"/>
      <c r="IG105" s="311"/>
      <c r="IH105" s="311"/>
      <c r="II105" s="311"/>
      <c r="IJ105" s="311"/>
      <c r="IK105" s="311"/>
      <c r="IL105" s="311"/>
      <c r="IM105" s="311"/>
      <c r="IN105" s="311"/>
      <c r="IO105" s="311"/>
      <c r="IP105" s="311"/>
      <c r="IQ105" s="311"/>
      <c r="IR105" s="311"/>
      <c r="IS105" s="311"/>
      <c r="IT105" s="311"/>
      <c r="IU105" s="311"/>
      <c r="IV105" s="311"/>
      <c r="IW105" s="311"/>
      <c r="IX105" s="311"/>
      <c r="IY105" s="311"/>
      <c r="IZ105" s="311"/>
      <c r="JA105" s="311"/>
      <c r="JB105" s="311">
        <v>1</v>
      </c>
      <c r="JC105" s="311"/>
      <c r="JD105" s="311">
        <v>14</v>
      </c>
      <c r="JE105" s="311"/>
      <c r="JF105" s="311"/>
      <c r="JG105" s="311"/>
      <c r="JH105" s="311"/>
      <c r="JN105" s="333"/>
      <c r="JO105" s="334"/>
      <c r="JP105" s="334"/>
      <c r="JQ105" s="334"/>
      <c r="JR105" s="334"/>
      <c r="JS105" s="334"/>
      <c r="JT105" s="334"/>
      <c r="JU105" s="334"/>
      <c r="JV105" s="334"/>
      <c r="JW105" s="334"/>
      <c r="JX105" s="334"/>
      <c r="JY105" s="334"/>
      <c r="JZ105" s="334"/>
      <c r="KA105" s="334"/>
      <c r="KB105" s="334"/>
      <c r="KC105" s="334"/>
      <c r="KD105" s="334"/>
      <c r="KE105" s="334"/>
      <c r="KF105" s="334"/>
      <c r="KG105" s="334"/>
      <c r="KH105" s="334"/>
      <c r="KI105" s="334"/>
      <c r="KJ105" s="334"/>
      <c r="KK105" s="334"/>
      <c r="KL105" s="334"/>
      <c r="KM105" s="334"/>
      <c r="KN105" s="334"/>
      <c r="KO105" s="334"/>
      <c r="KP105" s="334"/>
      <c r="KQ105" s="334"/>
      <c r="KR105" s="334"/>
      <c r="KS105" s="334"/>
      <c r="KT105" s="334"/>
      <c r="KU105" s="334"/>
      <c r="KV105" s="334"/>
      <c r="KW105" s="334"/>
      <c r="KX105" s="334"/>
      <c r="KY105" s="334"/>
      <c r="KZ105" s="334"/>
      <c r="LA105" s="341"/>
      <c r="LB105" s="333"/>
      <c r="LC105" s="334"/>
      <c r="LD105" s="334"/>
      <c r="LE105" s="334"/>
      <c r="LF105" s="341"/>
      <c r="LK105" s="312"/>
      <c r="LL105" s="312"/>
      <c r="LM105" s="312"/>
      <c r="LN105" s="312"/>
      <c r="LO105" s="312"/>
      <c r="LP105" s="312"/>
      <c r="LQ105" s="312"/>
      <c r="LR105" s="312"/>
      <c r="LS105" s="312"/>
      <c r="LT105" s="312"/>
      <c r="LU105" s="312"/>
      <c r="LV105" s="312"/>
      <c r="LW105" s="312"/>
      <c r="LX105" s="312"/>
      <c r="LY105" s="312"/>
      <c r="LZ105" s="312"/>
      <c r="MA105" s="312"/>
      <c r="MB105" s="312"/>
      <c r="MC105" s="312"/>
      <c r="MD105" s="312"/>
      <c r="ME105" s="312"/>
      <c r="MF105" s="312"/>
      <c r="MG105" s="312"/>
      <c r="MH105" s="312"/>
      <c r="MI105" s="312"/>
      <c r="MJ105" s="312"/>
      <c r="MK105" s="312"/>
      <c r="ML105" s="312"/>
      <c r="MM105" s="312"/>
      <c r="MN105" s="312"/>
      <c r="MO105" s="312"/>
      <c r="MP105" s="312"/>
      <c r="MQ105" s="312"/>
      <c r="MR105" s="312"/>
      <c r="MS105" s="312"/>
      <c r="MT105" s="312"/>
      <c r="MU105" s="312"/>
      <c r="MV105" s="312"/>
      <c r="MW105" s="312"/>
      <c r="MX105" s="312"/>
      <c r="MY105" s="311"/>
      <c r="MZ105" s="311"/>
      <c r="NA105" s="311"/>
      <c r="NB105" s="311"/>
      <c r="NC105" s="311"/>
      <c r="ND105" s="164"/>
      <c r="NE105" s="164"/>
      <c r="NF105" s="164"/>
      <c r="NG105" s="164"/>
      <c r="NH105" s="164"/>
      <c r="NI105" s="164"/>
      <c r="NJ105" s="164"/>
      <c r="NK105" s="164"/>
      <c r="NL105" s="164"/>
      <c r="NM105" s="164"/>
      <c r="NN105" s="164"/>
      <c r="NO105" s="164"/>
      <c r="NP105" s="164"/>
      <c r="NQ105" s="164"/>
      <c r="NR105" s="164"/>
      <c r="NS105" s="164"/>
      <c r="NT105" s="164"/>
      <c r="NU105" s="164"/>
      <c r="NV105" s="164"/>
      <c r="NW105" s="164"/>
      <c r="NX105" s="164"/>
      <c r="NY105" s="164"/>
      <c r="NZ105" s="164"/>
      <c r="OA105" s="164"/>
      <c r="OB105" s="164"/>
      <c r="OC105" s="164"/>
      <c r="OD105" s="164"/>
      <c r="OE105" s="164"/>
      <c r="OF105" s="164"/>
      <c r="OG105" s="164"/>
      <c r="OH105" s="164"/>
      <c r="OI105" s="164"/>
      <c r="OJ105" s="164"/>
      <c r="OK105" s="164"/>
      <c r="OL105" s="164"/>
      <c r="OM105" s="164"/>
      <c r="ON105" s="164"/>
      <c r="OO105" s="164"/>
      <c r="OP105" s="164"/>
      <c r="OQ105" s="164"/>
      <c r="OR105" s="164"/>
      <c r="OS105" s="164"/>
      <c r="OT105" s="164"/>
      <c r="OU105" s="164"/>
      <c r="OV105" s="164"/>
      <c r="OW105" s="178"/>
      <c r="OX105" s="178"/>
      <c r="OY105" s="178"/>
      <c r="OZ105" s="178"/>
      <c r="PA105" s="178"/>
      <c r="PB105" s="178"/>
      <c r="QK105" s="164"/>
      <c r="QL105" s="164"/>
      <c r="QM105" s="164"/>
      <c r="QO105" s="164"/>
      <c r="QP105" s="164"/>
      <c r="QQ105" s="165"/>
      <c r="QR105" s="166"/>
    </row>
    <row r="106" spans="3:465" ht="5.15" customHeight="1" x14ac:dyDescent="0.35">
      <c r="C106" s="161"/>
      <c r="D106" s="162"/>
      <c r="E106" s="164"/>
      <c r="F106" s="164"/>
      <c r="G106" s="164"/>
      <c r="H106" s="164"/>
      <c r="I106" s="164"/>
      <c r="J106" s="164"/>
      <c r="K106" s="164"/>
      <c r="DE106" s="173"/>
      <c r="DF106" s="174"/>
      <c r="DG106" s="174"/>
      <c r="DH106" s="174"/>
      <c r="DI106" s="174"/>
      <c r="DJ106" s="174"/>
      <c r="DK106" s="174"/>
      <c r="DL106" s="174"/>
      <c r="DM106" s="174"/>
      <c r="DN106" s="174"/>
      <c r="DO106" s="174"/>
      <c r="DP106" s="174"/>
      <c r="DQ106" s="174"/>
      <c r="DR106" s="174"/>
      <c r="DS106" s="174"/>
      <c r="DT106" s="174"/>
      <c r="DU106" s="174"/>
      <c r="DV106" s="174"/>
      <c r="DW106" s="174"/>
      <c r="DX106" s="174"/>
      <c r="DY106" s="174"/>
      <c r="DZ106" s="174"/>
      <c r="EA106" s="174"/>
      <c r="EB106" s="174"/>
      <c r="EC106" s="174"/>
      <c r="ED106" s="174"/>
      <c r="EE106" s="174"/>
      <c r="EF106" s="174"/>
      <c r="EG106" s="174"/>
      <c r="EH106" s="174"/>
      <c r="EI106" s="174"/>
      <c r="EJ106" s="174"/>
      <c r="EK106" s="174"/>
      <c r="EL106" s="174"/>
      <c r="EM106" s="174"/>
      <c r="EN106" s="174"/>
      <c r="EO106" s="174"/>
      <c r="EP106" s="174"/>
      <c r="EQ106" s="174"/>
      <c r="ER106" s="174"/>
      <c r="ES106" s="174"/>
      <c r="ET106" s="174"/>
      <c r="EU106" s="174"/>
      <c r="EV106" s="174"/>
      <c r="EW106" s="174"/>
      <c r="EX106" s="174"/>
      <c r="EY106" s="174"/>
      <c r="EZ106" s="174"/>
      <c r="FA106" s="174"/>
      <c r="FB106" s="174"/>
      <c r="FC106" s="174"/>
      <c r="FD106" s="176"/>
      <c r="HP106" s="311"/>
      <c r="HQ106" s="311"/>
      <c r="HR106" s="311"/>
      <c r="HS106" s="311"/>
      <c r="HT106" s="311"/>
      <c r="HU106" s="311"/>
      <c r="HV106" s="311"/>
      <c r="HW106" s="311"/>
      <c r="HX106" s="311"/>
      <c r="HY106" s="311"/>
      <c r="HZ106" s="311"/>
      <c r="IA106" s="311"/>
      <c r="IB106" s="311"/>
      <c r="IC106" s="311"/>
      <c r="ID106" s="311"/>
      <c r="IE106" s="311"/>
      <c r="IF106" s="311"/>
      <c r="IG106" s="311"/>
      <c r="IH106" s="311"/>
      <c r="II106" s="311"/>
      <c r="IJ106" s="311"/>
      <c r="IK106" s="311"/>
      <c r="IL106" s="311"/>
      <c r="IM106" s="311"/>
      <c r="IN106" s="311"/>
      <c r="IO106" s="311"/>
      <c r="IP106" s="311"/>
      <c r="IQ106" s="311"/>
      <c r="IR106" s="311"/>
      <c r="IS106" s="311"/>
      <c r="IT106" s="311"/>
      <c r="IU106" s="311"/>
      <c r="IV106" s="311"/>
      <c r="IW106" s="311"/>
      <c r="IX106" s="311"/>
      <c r="IY106" s="311"/>
      <c r="IZ106" s="311"/>
      <c r="JA106" s="311"/>
      <c r="JB106" s="311"/>
      <c r="JC106" s="311"/>
      <c r="JD106" s="311"/>
      <c r="JE106" s="311"/>
      <c r="JF106" s="311"/>
      <c r="JG106" s="311"/>
      <c r="JH106" s="311"/>
      <c r="JN106" s="333"/>
      <c r="JO106" s="334"/>
      <c r="JP106" s="334"/>
      <c r="JQ106" s="334"/>
      <c r="JR106" s="334"/>
      <c r="JS106" s="334"/>
      <c r="JT106" s="334"/>
      <c r="JU106" s="334"/>
      <c r="JV106" s="334"/>
      <c r="JW106" s="334"/>
      <c r="JX106" s="334"/>
      <c r="JY106" s="334"/>
      <c r="JZ106" s="334"/>
      <c r="KA106" s="334"/>
      <c r="KB106" s="334"/>
      <c r="KC106" s="334"/>
      <c r="KD106" s="334"/>
      <c r="KE106" s="334"/>
      <c r="KF106" s="334"/>
      <c r="KG106" s="334"/>
      <c r="KH106" s="334"/>
      <c r="KI106" s="334"/>
      <c r="KJ106" s="334"/>
      <c r="KK106" s="334"/>
      <c r="KL106" s="334"/>
      <c r="KM106" s="334"/>
      <c r="KN106" s="334"/>
      <c r="KO106" s="334"/>
      <c r="KP106" s="334"/>
      <c r="KQ106" s="334"/>
      <c r="KR106" s="334"/>
      <c r="KS106" s="334"/>
      <c r="KT106" s="334"/>
      <c r="KU106" s="334"/>
      <c r="KV106" s="334"/>
      <c r="KW106" s="334"/>
      <c r="KX106" s="334"/>
      <c r="KY106" s="334"/>
      <c r="KZ106" s="334"/>
      <c r="LA106" s="341"/>
      <c r="LB106" s="333"/>
      <c r="LC106" s="334"/>
      <c r="LD106" s="334"/>
      <c r="LE106" s="334"/>
      <c r="LF106" s="341"/>
      <c r="LK106" s="312"/>
      <c r="LL106" s="312"/>
      <c r="LM106" s="312"/>
      <c r="LN106" s="312"/>
      <c r="LO106" s="312"/>
      <c r="LP106" s="312"/>
      <c r="LQ106" s="312"/>
      <c r="LR106" s="312"/>
      <c r="LS106" s="312"/>
      <c r="LT106" s="312"/>
      <c r="LU106" s="312"/>
      <c r="LV106" s="312"/>
      <c r="LW106" s="312"/>
      <c r="LX106" s="312"/>
      <c r="LY106" s="312"/>
      <c r="LZ106" s="312"/>
      <c r="MA106" s="312"/>
      <c r="MB106" s="312"/>
      <c r="MC106" s="312"/>
      <c r="MD106" s="312"/>
      <c r="ME106" s="312"/>
      <c r="MF106" s="312"/>
      <c r="MG106" s="312"/>
      <c r="MH106" s="312"/>
      <c r="MI106" s="312"/>
      <c r="MJ106" s="312"/>
      <c r="MK106" s="312"/>
      <c r="ML106" s="312"/>
      <c r="MM106" s="312"/>
      <c r="MN106" s="312"/>
      <c r="MO106" s="312"/>
      <c r="MP106" s="312"/>
      <c r="MQ106" s="312"/>
      <c r="MR106" s="312"/>
      <c r="MS106" s="312"/>
      <c r="MT106" s="312"/>
      <c r="MU106" s="312"/>
      <c r="MV106" s="312"/>
      <c r="MW106" s="312"/>
      <c r="MX106" s="312"/>
      <c r="MY106" s="311"/>
      <c r="MZ106" s="311"/>
      <c r="NA106" s="311"/>
      <c r="NB106" s="311"/>
      <c r="NC106" s="311"/>
      <c r="ND106" s="164"/>
      <c r="NE106" s="164"/>
      <c r="NF106" s="164"/>
      <c r="NG106" s="164"/>
      <c r="NH106" s="164"/>
      <c r="NI106" s="164"/>
      <c r="NJ106" s="164"/>
      <c r="NK106" s="164"/>
      <c r="NL106" s="164"/>
      <c r="NM106" s="164"/>
      <c r="NN106" s="164"/>
      <c r="NO106" s="164"/>
      <c r="NP106" s="164"/>
      <c r="NQ106" s="164"/>
      <c r="NR106" s="164"/>
      <c r="NS106" s="164"/>
      <c r="NT106" s="164"/>
      <c r="NU106" s="164"/>
      <c r="NV106" s="164"/>
      <c r="NW106" s="164"/>
      <c r="NX106" s="164"/>
      <c r="NY106" s="164"/>
      <c r="NZ106" s="164"/>
      <c r="OA106" s="164"/>
      <c r="OB106" s="164"/>
      <c r="OC106" s="164"/>
      <c r="OD106" s="164"/>
      <c r="OE106" s="164"/>
      <c r="OF106" s="164"/>
      <c r="OG106" s="164"/>
      <c r="OH106" s="164"/>
      <c r="OI106" s="164"/>
      <c r="OJ106" s="164"/>
      <c r="OK106" s="164"/>
      <c r="OL106" s="164"/>
      <c r="OM106" s="164"/>
      <c r="ON106" s="164"/>
      <c r="OO106" s="164"/>
      <c r="OP106" s="164"/>
      <c r="OQ106" s="164"/>
      <c r="OR106" s="164"/>
      <c r="OS106" s="164"/>
      <c r="OT106" s="164"/>
      <c r="OU106" s="164"/>
      <c r="OV106" s="164"/>
      <c r="OW106" s="178"/>
      <c r="OX106" s="178"/>
      <c r="OY106" s="178"/>
      <c r="OZ106" s="178"/>
      <c r="PA106" s="178"/>
      <c r="PB106" s="178"/>
      <c r="QK106" s="164"/>
      <c r="QL106" s="164"/>
      <c r="QM106" s="164"/>
      <c r="QO106" s="164"/>
      <c r="QP106" s="164"/>
      <c r="QQ106" s="165"/>
      <c r="QR106" s="166"/>
    </row>
    <row r="107" spans="3:465" ht="5.15" customHeight="1" x14ac:dyDescent="0.35">
      <c r="C107" s="161"/>
      <c r="D107" s="162"/>
      <c r="E107" s="164"/>
      <c r="F107" s="164"/>
      <c r="DE107" s="169"/>
      <c r="DF107" s="164"/>
      <c r="DG107" s="164"/>
      <c r="DH107" s="164"/>
      <c r="DI107" s="164"/>
      <c r="DJ107" s="164"/>
      <c r="DK107" s="164"/>
      <c r="DL107" s="164"/>
      <c r="DM107" s="164"/>
      <c r="DN107" s="164"/>
      <c r="DO107" s="164"/>
      <c r="DP107" s="164"/>
      <c r="DQ107" s="164"/>
      <c r="DR107" s="164"/>
      <c r="DS107" s="164"/>
      <c r="DT107" s="164"/>
      <c r="DU107" s="164"/>
      <c r="DV107" s="164"/>
      <c r="DW107" s="164"/>
      <c r="DX107" s="164"/>
      <c r="DY107" s="164"/>
      <c r="DZ107" s="164"/>
      <c r="EA107" s="164"/>
      <c r="EB107" s="164"/>
      <c r="EC107" s="164"/>
      <c r="ED107" s="164"/>
      <c r="EE107" s="164"/>
      <c r="EF107" s="164"/>
      <c r="EG107" s="164"/>
      <c r="EH107" s="164"/>
      <c r="EI107" s="164"/>
      <c r="EJ107" s="164"/>
      <c r="EK107" s="164"/>
      <c r="EL107" s="164"/>
      <c r="EM107" s="164"/>
      <c r="EN107" s="164"/>
      <c r="EO107" s="164"/>
      <c r="EP107" s="164"/>
      <c r="EQ107" s="164"/>
      <c r="ER107" s="164"/>
      <c r="ES107" s="164"/>
      <c r="ET107" s="164"/>
      <c r="EU107" s="164"/>
      <c r="EV107" s="164"/>
      <c r="EW107" s="164"/>
      <c r="EX107" s="164"/>
      <c r="EY107" s="164"/>
      <c r="EZ107" s="164"/>
      <c r="FA107" s="164"/>
      <c r="FB107" s="164"/>
      <c r="FC107" s="164"/>
      <c r="FD107" s="172"/>
      <c r="HP107" s="311"/>
      <c r="HQ107" s="311"/>
      <c r="HR107" s="311"/>
      <c r="HS107" s="311"/>
      <c r="HT107" s="311"/>
      <c r="HU107" s="311"/>
      <c r="HV107" s="311"/>
      <c r="HW107" s="311"/>
      <c r="HX107" s="311"/>
      <c r="HY107" s="311"/>
      <c r="HZ107" s="311"/>
      <c r="IA107" s="311"/>
      <c r="IB107" s="311"/>
      <c r="IC107" s="311"/>
      <c r="ID107" s="311"/>
      <c r="IE107" s="311"/>
      <c r="IF107" s="311"/>
      <c r="IG107" s="311"/>
      <c r="IH107" s="311"/>
      <c r="II107" s="311"/>
      <c r="IJ107" s="311"/>
      <c r="IK107" s="311"/>
      <c r="IL107" s="311"/>
      <c r="IM107" s="311"/>
      <c r="IN107" s="311"/>
      <c r="IO107" s="311"/>
      <c r="IP107" s="311"/>
      <c r="IQ107" s="311"/>
      <c r="IR107" s="311"/>
      <c r="IS107" s="311"/>
      <c r="IT107" s="311"/>
      <c r="IU107" s="311"/>
      <c r="IV107" s="311"/>
      <c r="IW107" s="311"/>
      <c r="IX107" s="311"/>
      <c r="IY107" s="311"/>
      <c r="IZ107" s="311"/>
      <c r="JA107" s="311"/>
      <c r="JB107" s="311"/>
      <c r="JC107" s="311"/>
      <c r="JD107" s="311"/>
      <c r="JE107" s="311"/>
      <c r="JF107" s="311"/>
      <c r="JG107" s="311"/>
      <c r="JH107" s="311"/>
      <c r="JN107" s="333"/>
      <c r="JO107" s="334"/>
      <c r="JP107" s="334"/>
      <c r="JQ107" s="334"/>
      <c r="JR107" s="334"/>
      <c r="JS107" s="334"/>
      <c r="JT107" s="334"/>
      <c r="JU107" s="334"/>
      <c r="JV107" s="334"/>
      <c r="JW107" s="334"/>
      <c r="JX107" s="334"/>
      <c r="JY107" s="334"/>
      <c r="JZ107" s="334"/>
      <c r="KA107" s="334"/>
      <c r="KB107" s="334"/>
      <c r="KC107" s="334"/>
      <c r="KD107" s="334"/>
      <c r="KE107" s="334"/>
      <c r="KF107" s="334"/>
      <c r="KG107" s="334"/>
      <c r="KH107" s="334"/>
      <c r="KI107" s="334"/>
      <c r="KJ107" s="334"/>
      <c r="KK107" s="334"/>
      <c r="KL107" s="334"/>
      <c r="KM107" s="334"/>
      <c r="KN107" s="334"/>
      <c r="KO107" s="334"/>
      <c r="KP107" s="334"/>
      <c r="KQ107" s="334"/>
      <c r="KR107" s="334"/>
      <c r="KS107" s="334"/>
      <c r="KT107" s="334"/>
      <c r="KU107" s="334"/>
      <c r="KV107" s="334"/>
      <c r="KW107" s="334"/>
      <c r="KX107" s="334"/>
      <c r="KY107" s="334"/>
      <c r="KZ107" s="334"/>
      <c r="LA107" s="341"/>
      <c r="LB107" s="333"/>
      <c r="LC107" s="334"/>
      <c r="LD107" s="334"/>
      <c r="LE107" s="334"/>
      <c r="LF107" s="341"/>
      <c r="LK107" s="312"/>
      <c r="LL107" s="312"/>
      <c r="LM107" s="312"/>
      <c r="LN107" s="312"/>
      <c r="LO107" s="312"/>
      <c r="LP107" s="312"/>
      <c r="LQ107" s="312"/>
      <c r="LR107" s="312"/>
      <c r="LS107" s="312"/>
      <c r="LT107" s="312"/>
      <c r="LU107" s="312"/>
      <c r="LV107" s="312"/>
      <c r="LW107" s="312"/>
      <c r="LX107" s="312"/>
      <c r="LY107" s="312"/>
      <c r="LZ107" s="312"/>
      <c r="MA107" s="312"/>
      <c r="MB107" s="312"/>
      <c r="MC107" s="312"/>
      <c r="MD107" s="312"/>
      <c r="ME107" s="312"/>
      <c r="MF107" s="312"/>
      <c r="MG107" s="312"/>
      <c r="MH107" s="312"/>
      <c r="MI107" s="312"/>
      <c r="MJ107" s="312"/>
      <c r="MK107" s="312"/>
      <c r="ML107" s="312"/>
      <c r="MM107" s="312"/>
      <c r="MN107" s="312"/>
      <c r="MO107" s="312"/>
      <c r="MP107" s="312"/>
      <c r="MQ107" s="312"/>
      <c r="MR107" s="312"/>
      <c r="MS107" s="312"/>
      <c r="MT107" s="312"/>
      <c r="MU107" s="312"/>
      <c r="MV107" s="312"/>
      <c r="MW107" s="312"/>
      <c r="MX107" s="312"/>
      <c r="MY107" s="311"/>
      <c r="MZ107" s="311"/>
      <c r="NA107" s="311"/>
      <c r="NB107" s="311"/>
      <c r="NC107" s="311"/>
      <c r="ND107" s="164"/>
      <c r="NE107" s="164"/>
      <c r="NF107" s="164"/>
      <c r="NG107" s="164"/>
      <c r="NH107" s="164"/>
      <c r="NI107" s="164"/>
      <c r="NJ107" s="164"/>
      <c r="NK107" s="164"/>
      <c r="NL107" s="164"/>
      <c r="NM107" s="164"/>
      <c r="NN107" s="164"/>
      <c r="NO107" s="164"/>
      <c r="NP107" s="164"/>
      <c r="NQ107" s="164"/>
      <c r="NR107" s="164"/>
      <c r="NS107" s="164"/>
      <c r="NT107" s="164"/>
      <c r="NU107" s="164"/>
      <c r="NV107" s="164"/>
      <c r="NW107" s="164"/>
      <c r="NX107" s="164"/>
      <c r="NY107" s="164"/>
      <c r="NZ107" s="164"/>
      <c r="OA107" s="164"/>
      <c r="OB107" s="164"/>
      <c r="OC107" s="164"/>
      <c r="OD107" s="164"/>
      <c r="OE107" s="164"/>
      <c r="OF107" s="164"/>
      <c r="OG107" s="164"/>
      <c r="OH107" s="164"/>
      <c r="OI107" s="164"/>
      <c r="OJ107" s="164"/>
      <c r="OK107" s="164"/>
      <c r="OL107" s="164"/>
      <c r="OM107" s="164"/>
      <c r="ON107" s="164"/>
      <c r="OO107" s="164"/>
      <c r="OP107" s="164"/>
      <c r="OQ107" s="164"/>
      <c r="OR107" s="164"/>
      <c r="OS107" s="164"/>
      <c r="OT107" s="164"/>
      <c r="OU107" s="164"/>
      <c r="OV107" s="164"/>
      <c r="OW107" s="178"/>
      <c r="OX107" s="178"/>
      <c r="OY107" s="178"/>
      <c r="OZ107" s="178"/>
      <c r="PA107" s="178"/>
      <c r="PB107" s="178"/>
      <c r="QK107" s="164"/>
      <c r="QL107" s="164"/>
      <c r="QM107" s="164"/>
      <c r="QO107" s="164"/>
      <c r="QP107" s="164"/>
      <c r="QQ107" s="165"/>
      <c r="QR107" s="166"/>
    </row>
    <row r="108" spans="3:465" ht="5.15" customHeight="1" x14ac:dyDescent="0.35">
      <c r="C108" s="161"/>
      <c r="D108" s="162"/>
      <c r="E108" s="164"/>
      <c r="F108" s="164"/>
      <c r="DE108" s="169"/>
      <c r="DF108" s="164"/>
      <c r="DG108" s="164"/>
      <c r="DH108" s="164"/>
      <c r="DI108" s="164"/>
      <c r="DJ108" s="164"/>
      <c r="DK108" s="164"/>
      <c r="DL108" s="164"/>
      <c r="DM108" s="164"/>
      <c r="DN108" s="164"/>
      <c r="DO108" s="164"/>
      <c r="DP108" s="164"/>
      <c r="DQ108" s="164"/>
      <c r="DR108" s="164"/>
      <c r="DS108" s="164"/>
      <c r="DT108" s="164"/>
      <c r="DU108" s="164"/>
      <c r="DV108" s="164"/>
      <c r="DW108" s="164"/>
      <c r="DX108" s="164"/>
      <c r="DY108" s="164"/>
      <c r="DZ108" s="164"/>
      <c r="EA108" s="164"/>
      <c r="EB108" s="164"/>
      <c r="EC108" s="164"/>
      <c r="ED108" s="164"/>
      <c r="EE108" s="164"/>
      <c r="EF108" s="164"/>
      <c r="EG108" s="164"/>
      <c r="EH108" s="164"/>
      <c r="EI108" s="164"/>
      <c r="EJ108" s="164"/>
      <c r="EK108" s="164"/>
      <c r="EL108" s="164"/>
      <c r="EM108" s="164"/>
      <c r="EN108" s="164"/>
      <c r="EO108" s="164"/>
      <c r="EP108" s="164"/>
      <c r="EQ108" s="164"/>
      <c r="ER108" s="164"/>
      <c r="ES108" s="164"/>
      <c r="ET108" s="164"/>
      <c r="EU108" s="164"/>
      <c r="EV108" s="164"/>
      <c r="EW108" s="164"/>
      <c r="EX108" s="164"/>
      <c r="EY108" s="164"/>
      <c r="EZ108" s="164"/>
      <c r="FA108" s="164"/>
      <c r="FB108" s="164"/>
      <c r="FC108" s="164"/>
      <c r="FD108" s="172"/>
      <c r="HP108" s="311"/>
      <c r="HQ108" s="311"/>
      <c r="HR108" s="311"/>
      <c r="HS108" s="311"/>
      <c r="HT108" s="311"/>
      <c r="HU108" s="311"/>
      <c r="HV108" s="311"/>
      <c r="HW108" s="311"/>
      <c r="HX108" s="311"/>
      <c r="HY108" s="311"/>
      <c r="HZ108" s="311"/>
      <c r="IA108" s="311"/>
      <c r="IB108" s="311"/>
      <c r="IC108" s="311"/>
      <c r="ID108" s="311"/>
      <c r="IE108" s="311"/>
      <c r="IF108" s="311"/>
      <c r="IG108" s="311"/>
      <c r="IH108" s="311"/>
      <c r="II108" s="311"/>
      <c r="IJ108" s="311"/>
      <c r="IK108" s="311"/>
      <c r="IL108" s="311"/>
      <c r="IM108" s="311"/>
      <c r="IN108" s="311"/>
      <c r="IO108" s="311"/>
      <c r="IP108" s="311"/>
      <c r="IQ108" s="311"/>
      <c r="IR108" s="311"/>
      <c r="IS108" s="311"/>
      <c r="IT108" s="311"/>
      <c r="IU108" s="311"/>
      <c r="IV108" s="311"/>
      <c r="IW108" s="311"/>
      <c r="IX108" s="311"/>
      <c r="IY108" s="311"/>
      <c r="IZ108" s="311"/>
      <c r="JA108" s="311"/>
      <c r="JB108" s="311"/>
      <c r="JC108" s="311"/>
      <c r="JD108" s="311"/>
      <c r="JE108" s="311"/>
      <c r="JF108" s="311"/>
      <c r="JG108" s="311"/>
      <c r="JH108" s="311"/>
      <c r="JN108" s="333"/>
      <c r="JO108" s="334"/>
      <c r="JP108" s="334"/>
      <c r="JQ108" s="334"/>
      <c r="JR108" s="334"/>
      <c r="JS108" s="334"/>
      <c r="JT108" s="334"/>
      <c r="JU108" s="334"/>
      <c r="JV108" s="334"/>
      <c r="JW108" s="334"/>
      <c r="JX108" s="334"/>
      <c r="JY108" s="334"/>
      <c r="JZ108" s="334"/>
      <c r="KA108" s="334"/>
      <c r="KB108" s="334"/>
      <c r="KC108" s="334"/>
      <c r="KD108" s="334"/>
      <c r="KE108" s="334"/>
      <c r="KF108" s="334"/>
      <c r="KG108" s="334"/>
      <c r="KH108" s="334"/>
      <c r="KI108" s="334"/>
      <c r="KJ108" s="334"/>
      <c r="KK108" s="334"/>
      <c r="KL108" s="334"/>
      <c r="KM108" s="334"/>
      <c r="KN108" s="334"/>
      <c r="KO108" s="334"/>
      <c r="KP108" s="334"/>
      <c r="KQ108" s="334"/>
      <c r="KR108" s="334"/>
      <c r="KS108" s="334"/>
      <c r="KT108" s="334"/>
      <c r="KU108" s="334"/>
      <c r="KV108" s="334"/>
      <c r="KW108" s="334"/>
      <c r="KX108" s="334"/>
      <c r="KY108" s="334"/>
      <c r="KZ108" s="334"/>
      <c r="LA108" s="341"/>
      <c r="LB108" s="333"/>
      <c r="LC108" s="334"/>
      <c r="LD108" s="334"/>
      <c r="LE108" s="334"/>
      <c r="LF108" s="341"/>
      <c r="LK108" s="312"/>
      <c r="LL108" s="312"/>
      <c r="LM108" s="312"/>
      <c r="LN108" s="312"/>
      <c r="LO108" s="312"/>
      <c r="LP108" s="312"/>
      <c r="LQ108" s="312"/>
      <c r="LR108" s="312"/>
      <c r="LS108" s="312"/>
      <c r="LT108" s="312"/>
      <c r="LU108" s="312"/>
      <c r="LV108" s="312"/>
      <c r="LW108" s="312"/>
      <c r="LX108" s="312"/>
      <c r="LY108" s="312"/>
      <c r="LZ108" s="312"/>
      <c r="MA108" s="312"/>
      <c r="MB108" s="312"/>
      <c r="MC108" s="312"/>
      <c r="MD108" s="312"/>
      <c r="ME108" s="312"/>
      <c r="MF108" s="312"/>
      <c r="MG108" s="312"/>
      <c r="MH108" s="312"/>
      <c r="MI108" s="312"/>
      <c r="MJ108" s="312"/>
      <c r="MK108" s="312"/>
      <c r="ML108" s="312"/>
      <c r="MM108" s="312"/>
      <c r="MN108" s="312"/>
      <c r="MO108" s="312"/>
      <c r="MP108" s="312"/>
      <c r="MQ108" s="312"/>
      <c r="MR108" s="312"/>
      <c r="MS108" s="312"/>
      <c r="MT108" s="312"/>
      <c r="MU108" s="312"/>
      <c r="MV108" s="312"/>
      <c r="MW108" s="312"/>
      <c r="MX108" s="312"/>
      <c r="MY108" s="311"/>
      <c r="MZ108" s="311"/>
      <c r="NA108" s="311"/>
      <c r="NB108" s="311"/>
      <c r="NC108" s="311"/>
      <c r="ND108" s="164"/>
      <c r="NE108" s="164"/>
      <c r="NF108" s="164"/>
      <c r="NG108" s="164"/>
      <c r="NH108" s="164"/>
      <c r="NI108" s="164"/>
      <c r="NJ108" s="164"/>
      <c r="NK108" s="164"/>
      <c r="NL108" s="164"/>
      <c r="NM108" s="164"/>
      <c r="NN108" s="164"/>
      <c r="NO108" s="164"/>
      <c r="NP108" s="164"/>
      <c r="NQ108" s="164"/>
      <c r="NR108" s="164"/>
      <c r="NS108" s="164"/>
      <c r="NT108" s="164"/>
      <c r="NU108" s="164"/>
      <c r="NV108" s="164"/>
      <c r="NW108" s="164"/>
      <c r="NX108" s="164"/>
      <c r="NY108" s="164"/>
      <c r="NZ108" s="164"/>
      <c r="OA108" s="164"/>
      <c r="OB108" s="164"/>
      <c r="OC108" s="164"/>
      <c r="OD108" s="164"/>
      <c r="OE108" s="164"/>
      <c r="OF108" s="164"/>
      <c r="OG108" s="164"/>
      <c r="OH108" s="164"/>
      <c r="OI108" s="164"/>
      <c r="OJ108" s="164"/>
      <c r="OK108" s="164"/>
      <c r="OL108" s="164"/>
      <c r="OM108" s="164"/>
      <c r="ON108" s="164"/>
      <c r="OO108" s="164"/>
      <c r="OP108" s="164"/>
      <c r="OQ108" s="164"/>
      <c r="OR108" s="164"/>
      <c r="OS108" s="164"/>
      <c r="OT108" s="164"/>
      <c r="OU108" s="164"/>
      <c r="OV108" s="164"/>
      <c r="OW108" s="178"/>
      <c r="OX108" s="178"/>
      <c r="OY108" s="178"/>
      <c r="OZ108" s="178"/>
      <c r="PA108" s="178"/>
      <c r="PB108" s="178"/>
      <c r="QK108" s="164"/>
      <c r="QL108" s="164"/>
      <c r="QM108" s="164"/>
      <c r="QO108" s="164"/>
      <c r="QP108" s="164"/>
      <c r="QQ108" s="165"/>
      <c r="QR108" s="166"/>
    </row>
    <row r="109" spans="3:465" ht="5.15" customHeight="1" x14ac:dyDescent="0.35">
      <c r="C109" s="161"/>
      <c r="D109" s="162"/>
      <c r="E109" s="164"/>
      <c r="F109" s="164"/>
      <c r="CF109" s="367" t="s">
        <v>286</v>
      </c>
      <c r="CG109" s="367"/>
      <c r="CH109" s="367"/>
      <c r="CI109" s="367"/>
      <c r="CJ109" s="367"/>
      <c r="CK109" s="367"/>
      <c r="CL109" s="367"/>
      <c r="CM109" s="367"/>
      <c r="CN109" s="367"/>
      <c r="CO109" s="367"/>
      <c r="CP109" s="367"/>
      <c r="CQ109" s="367"/>
      <c r="CR109" s="367"/>
      <c r="CS109" s="367"/>
      <c r="CT109" s="367"/>
      <c r="CU109" s="367"/>
      <c r="CV109" s="367"/>
      <c r="CW109" s="367"/>
      <c r="CX109" s="367"/>
      <c r="CY109" s="367"/>
      <c r="CZ109" s="367"/>
      <c r="DA109" s="367"/>
      <c r="DB109" s="367"/>
      <c r="DC109" s="367"/>
      <c r="DD109" s="367"/>
      <c r="DE109" s="367"/>
      <c r="DF109" s="367"/>
      <c r="DG109" s="367"/>
      <c r="DH109" s="367"/>
      <c r="DI109" s="367"/>
      <c r="DJ109" s="367"/>
      <c r="DK109" s="367"/>
      <c r="DL109" s="367"/>
      <c r="DM109" s="367"/>
      <c r="DN109" s="367"/>
      <c r="DO109" s="367"/>
      <c r="DP109" s="367"/>
      <c r="DQ109" s="367"/>
      <c r="DR109" s="367"/>
      <c r="DS109" s="367"/>
      <c r="DT109" s="367"/>
      <c r="DU109" s="367">
        <f>SUM(DU121:DY202)</f>
        <v>19</v>
      </c>
      <c r="DV109" s="367"/>
      <c r="DW109" s="367"/>
      <c r="DX109" s="367"/>
      <c r="DY109" s="367"/>
      <c r="DZ109" s="197"/>
      <c r="EA109" s="197"/>
      <c r="EB109" s="197"/>
      <c r="EC109" s="197"/>
      <c r="ED109" s="197"/>
      <c r="EG109" s="367" t="s">
        <v>287</v>
      </c>
      <c r="EH109" s="367"/>
      <c r="EI109" s="367"/>
      <c r="EJ109" s="367"/>
      <c r="EK109" s="367"/>
      <c r="EL109" s="367"/>
      <c r="EM109" s="367"/>
      <c r="EN109" s="367"/>
      <c r="EO109" s="367"/>
      <c r="EP109" s="367"/>
      <c r="EQ109" s="367"/>
      <c r="ER109" s="367"/>
      <c r="ES109" s="367"/>
      <c r="ET109" s="367"/>
      <c r="EU109" s="367"/>
      <c r="EV109" s="367"/>
      <c r="EW109" s="367"/>
      <c r="EX109" s="367"/>
      <c r="EY109" s="367"/>
      <c r="EZ109" s="367"/>
      <c r="FA109" s="367"/>
      <c r="FB109" s="367"/>
      <c r="FC109" s="367"/>
      <c r="FD109" s="367"/>
      <c r="FE109" s="367"/>
      <c r="FF109" s="367"/>
      <c r="FG109" s="367"/>
      <c r="FH109" s="367"/>
      <c r="FI109" s="367"/>
      <c r="FJ109" s="367"/>
      <c r="FK109" s="367"/>
      <c r="FL109" s="367"/>
      <c r="FM109" s="367"/>
      <c r="FN109" s="367"/>
      <c r="FO109" s="367"/>
      <c r="FP109" s="367"/>
      <c r="FQ109" s="367"/>
      <c r="FR109" s="367"/>
      <c r="FS109" s="367"/>
      <c r="FT109" s="367"/>
      <c r="FU109" s="367"/>
      <c r="FV109" s="367">
        <f>SUM(FV121:FZ162)</f>
        <v>10</v>
      </c>
      <c r="FW109" s="367"/>
      <c r="FX109" s="367"/>
      <c r="FY109" s="367"/>
      <c r="FZ109" s="367"/>
      <c r="HP109" s="311"/>
      <c r="HQ109" s="311"/>
      <c r="HR109" s="311"/>
      <c r="HS109" s="311"/>
      <c r="HT109" s="311"/>
      <c r="HU109" s="311"/>
      <c r="HV109" s="311"/>
      <c r="HW109" s="311"/>
      <c r="HX109" s="311"/>
      <c r="HY109" s="311"/>
      <c r="HZ109" s="311"/>
      <c r="IA109" s="311"/>
      <c r="IB109" s="311"/>
      <c r="IC109" s="311"/>
      <c r="ID109" s="311"/>
      <c r="IE109" s="311"/>
      <c r="IF109" s="311"/>
      <c r="IG109" s="311"/>
      <c r="IH109" s="311"/>
      <c r="II109" s="311"/>
      <c r="IJ109" s="311"/>
      <c r="IK109" s="311"/>
      <c r="IL109" s="311"/>
      <c r="IM109" s="311"/>
      <c r="IN109" s="311"/>
      <c r="IO109" s="311"/>
      <c r="IP109" s="311"/>
      <c r="IQ109" s="311"/>
      <c r="IR109" s="311"/>
      <c r="IS109" s="311"/>
      <c r="IT109" s="311"/>
      <c r="IU109" s="311"/>
      <c r="IV109" s="311"/>
      <c r="IW109" s="311"/>
      <c r="IX109" s="311"/>
      <c r="IY109" s="311"/>
      <c r="IZ109" s="311"/>
      <c r="JA109" s="311"/>
      <c r="JB109" s="311"/>
      <c r="JC109" s="311"/>
      <c r="JD109" s="311"/>
      <c r="JE109" s="311"/>
      <c r="JF109" s="311"/>
      <c r="JG109" s="311"/>
      <c r="JH109" s="311"/>
      <c r="JN109" s="333"/>
      <c r="JO109" s="334"/>
      <c r="JP109" s="334"/>
      <c r="JQ109" s="334"/>
      <c r="JR109" s="334"/>
      <c r="JS109" s="334"/>
      <c r="JT109" s="334"/>
      <c r="JU109" s="334"/>
      <c r="JV109" s="334"/>
      <c r="JW109" s="334"/>
      <c r="JX109" s="334"/>
      <c r="JY109" s="334"/>
      <c r="JZ109" s="334"/>
      <c r="KA109" s="334"/>
      <c r="KB109" s="334"/>
      <c r="KC109" s="334"/>
      <c r="KD109" s="334"/>
      <c r="KE109" s="334"/>
      <c r="KF109" s="334"/>
      <c r="KG109" s="334"/>
      <c r="KH109" s="334"/>
      <c r="KI109" s="334"/>
      <c r="KJ109" s="334"/>
      <c r="KK109" s="334"/>
      <c r="KL109" s="334"/>
      <c r="KM109" s="334"/>
      <c r="KN109" s="334"/>
      <c r="KO109" s="334"/>
      <c r="KP109" s="334"/>
      <c r="KQ109" s="334"/>
      <c r="KR109" s="334"/>
      <c r="KS109" s="334"/>
      <c r="KT109" s="334"/>
      <c r="KU109" s="334"/>
      <c r="KV109" s="334"/>
      <c r="KW109" s="334"/>
      <c r="KX109" s="334"/>
      <c r="KY109" s="334"/>
      <c r="KZ109" s="334"/>
      <c r="LA109" s="341"/>
      <c r="LB109" s="333"/>
      <c r="LC109" s="334"/>
      <c r="LD109" s="334"/>
      <c r="LE109" s="334"/>
      <c r="LF109" s="341"/>
      <c r="LK109" s="312"/>
      <c r="LL109" s="312"/>
      <c r="LM109" s="312"/>
      <c r="LN109" s="312"/>
      <c r="LO109" s="312"/>
      <c r="LP109" s="312"/>
      <c r="LQ109" s="312"/>
      <c r="LR109" s="312"/>
      <c r="LS109" s="312"/>
      <c r="LT109" s="312"/>
      <c r="LU109" s="312"/>
      <c r="LV109" s="312"/>
      <c r="LW109" s="312"/>
      <c r="LX109" s="312"/>
      <c r="LY109" s="312"/>
      <c r="LZ109" s="312"/>
      <c r="MA109" s="312"/>
      <c r="MB109" s="312"/>
      <c r="MC109" s="312"/>
      <c r="MD109" s="312"/>
      <c r="ME109" s="312"/>
      <c r="MF109" s="312"/>
      <c r="MG109" s="312"/>
      <c r="MH109" s="312"/>
      <c r="MI109" s="312"/>
      <c r="MJ109" s="312"/>
      <c r="MK109" s="312"/>
      <c r="ML109" s="312"/>
      <c r="MM109" s="312"/>
      <c r="MN109" s="312"/>
      <c r="MO109" s="312"/>
      <c r="MP109" s="312"/>
      <c r="MQ109" s="312"/>
      <c r="MR109" s="312"/>
      <c r="MS109" s="312"/>
      <c r="MT109" s="312"/>
      <c r="MU109" s="312"/>
      <c r="MV109" s="312"/>
      <c r="MW109" s="312"/>
      <c r="MX109" s="312"/>
      <c r="MY109" s="311"/>
      <c r="MZ109" s="311"/>
      <c r="NA109" s="311"/>
      <c r="NB109" s="311"/>
      <c r="NC109" s="311"/>
      <c r="ND109" s="164"/>
      <c r="NE109" s="164"/>
      <c r="NF109" s="164"/>
      <c r="NG109" s="164"/>
      <c r="NH109" s="164"/>
      <c r="NI109" s="164"/>
      <c r="NJ109" s="164"/>
      <c r="NK109" s="164"/>
      <c r="NL109" s="164"/>
      <c r="NM109" s="164"/>
      <c r="NN109" s="164"/>
      <c r="NO109" s="164"/>
      <c r="NP109" s="164"/>
      <c r="NQ109" s="164"/>
      <c r="NR109" s="164"/>
      <c r="NS109" s="164"/>
      <c r="NT109" s="164"/>
      <c r="NU109" s="164"/>
      <c r="NV109" s="164"/>
      <c r="NW109" s="164"/>
      <c r="NX109" s="164"/>
      <c r="NY109" s="164"/>
      <c r="NZ109" s="164"/>
      <c r="OA109" s="164"/>
      <c r="OB109" s="164"/>
      <c r="OC109" s="164"/>
      <c r="OD109" s="164"/>
      <c r="OE109" s="164"/>
      <c r="OF109" s="164"/>
      <c r="OG109" s="164"/>
      <c r="OH109" s="164"/>
      <c r="OI109" s="164"/>
      <c r="OJ109" s="164"/>
      <c r="OK109" s="164"/>
      <c r="OL109" s="164"/>
      <c r="OM109" s="164"/>
      <c r="ON109" s="164"/>
      <c r="OO109" s="164"/>
      <c r="OP109" s="164"/>
      <c r="OQ109" s="164"/>
      <c r="OR109" s="164"/>
      <c r="OS109" s="164"/>
      <c r="OT109" s="164"/>
      <c r="OU109" s="164"/>
      <c r="OV109" s="164"/>
      <c r="OW109" s="178"/>
      <c r="OX109" s="178"/>
      <c r="OY109" s="178"/>
      <c r="OZ109" s="178"/>
      <c r="PA109" s="178"/>
      <c r="PB109" s="178"/>
      <c r="QK109" s="164"/>
      <c r="QL109" s="164"/>
      <c r="QM109" s="164"/>
      <c r="QO109" s="164"/>
      <c r="QP109" s="164"/>
      <c r="QQ109" s="165"/>
      <c r="QR109" s="166"/>
    </row>
    <row r="110" spans="3:465" ht="5.15" customHeight="1" x14ac:dyDescent="0.35">
      <c r="C110" s="161"/>
      <c r="D110" s="162"/>
      <c r="E110" s="164"/>
      <c r="F110" s="164"/>
      <c r="CF110" s="367"/>
      <c r="CG110" s="367"/>
      <c r="CH110" s="367"/>
      <c r="CI110" s="367"/>
      <c r="CJ110" s="367"/>
      <c r="CK110" s="367"/>
      <c r="CL110" s="367"/>
      <c r="CM110" s="367"/>
      <c r="CN110" s="367"/>
      <c r="CO110" s="367"/>
      <c r="CP110" s="367"/>
      <c r="CQ110" s="367"/>
      <c r="CR110" s="367"/>
      <c r="CS110" s="367"/>
      <c r="CT110" s="367"/>
      <c r="CU110" s="367"/>
      <c r="CV110" s="367"/>
      <c r="CW110" s="367"/>
      <c r="CX110" s="367"/>
      <c r="CY110" s="367"/>
      <c r="CZ110" s="367"/>
      <c r="DA110" s="367"/>
      <c r="DB110" s="367"/>
      <c r="DC110" s="367"/>
      <c r="DD110" s="367"/>
      <c r="DE110" s="367"/>
      <c r="DF110" s="367"/>
      <c r="DG110" s="367"/>
      <c r="DH110" s="367"/>
      <c r="DI110" s="367"/>
      <c r="DJ110" s="367"/>
      <c r="DK110" s="367"/>
      <c r="DL110" s="367"/>
      <c r="DM110" s="367"/>
      <c r="DN110" s="367"/>
      <c r="DO110" s="367"/>
      <c r="DP110" s="367"/>
      <c r="DQ110" s="367"/>
      <c r="DR110" s="367"/>
      <c r="DS110" s="367"/>
      <c r="DT110" s="367"/>
      <c r="DU110" s="367"/>
      <c r="DV110" s="367"/>
      <c r="DW110" s="367"/>
      <c r="DX110" s="367"/>
      <c r="DY110" s="367"/>
      <c r="DZ110" s="197"/>
      <c r="EA110" s="197"/>
      <c r="EB110" s="197"/>
      <c r="EC110" s="197"/>
      <c r="ED110" s="197"/>
      <c r="EG110" s="367"/>
      <c r="EH110" s="367"/>
      <c r="EI110" s="367"/>
      <c r="EJ110" s="367"/>
      <c r="EK110" s="367"/>
      <c r="EL110" s="367"/>
      <c r="EM110" s="367"/>
      <c r="EN110" s="367"/>
      <c r="EO110" s="367"/>
      <c r="EP110" s="367"/>
      <c r="EQ110" s="367"/>
      <c r="ER110" s="367"/>
      <c r="ES110" s="367"/>
      <c r="ET110" s="367"/>
      <c r="EU110" s="367"/>
      <c r="EV110" s="367"/>
      <c r="EW110" s="367"/>
      <c r="EX110" s="367"/>
      <c r="EY110" s="367"/>
      <c r="EZ110" s="367"/>
      <c r="FA110" s="367"/>
      <c r="FB110" s="367"/>
      <c r="FC110" s="367"/>
      <c r="FD110" s="367"/>
      <c r="FE110" s="367"/>
      <c r="FF110" s="367"/>
      <c r="FG110" s="367"/>
      <c r="FH110" s="367"/>
      <c r="FI110" s="367"/>
      <c r="FJ110" s="367"/>
      <c r="FK110" s="367"/>
      <c r="FL110" s="367"/>
      <c r="FM110" s="367"/>
      <c r="FN110" s="367"/>
      <c r="FO110" s="367"/>
      <c r="FP110" s="367"/>
      <c r="FQ110" s="367"/>
      <c r="FR110" s="367"/>
      <c r="FS110" s="367"/>
      <c r="FT110" s="367"/>
      <c r="FU110" s="367"/>
      <c r="FV110" s="367"/>
      <c r="FW110" s="367"/>
      <c r="FX110" s="367"/>
      <c r="FY110" s="367"/>
      <c r="FZ110" s="367"/>
      <c r="HP110" s="311"/>
      <c r="HQ110" s="311"/>
      <c r="HR110" s="311"/>
      <c r="HS110" s="311"/>
      <c r="HT110" s="311"/>
      <c r="HU110" s="311"/>
      <c r="HV110" s="311"/>
      <c r="HW110" s="311"/>
      <c r="HX110" s="311"/>
      <c r="HY110" s="311"/>
      <c r="HZ110" s="311"/>
      <c r="IA110" s="311"/>
      <c r="IB110" s="311"/>
      <c r="IC110" s="311"/>
      <c r="ID110" s="311"/>
      <c r="IE110" s="311"/>
      <c r="IF110" s="311"/>
      <c r="IG110" s="311"/>
      <c r="IH110" s="311"/>
      <c r="II110" s="311"/>
      <c r="IJ110" s="311"/>
      <c r="IK110" s="311"/>
      <c r="IL110" s="311"/>
      <c r="IM110" s="311"/>
      <c r="IN110" s="311"/>
      <c r="IO110" s="311"/>
      <c r="IP110" s="311"/>
      <c r="IQ110" s="311"/>
      <c r="IR110" s="311"/>
      <c r="IS110" s="311"/>
      <c r="IT110" s="311"/>
      <c r="IU110" s="311"/>
      <c r="IV110" s="311"/>
      <c r="IW110" s="311"/>
      <c r="IX110" s="311"/>
      <c r="IY110" s="311"/>
      <c r="IZ110" s="311"/>
      <c r="JA110" s="311"/>
      <c r="JB110" s="311"/>
      <c r="JC110" s="311"/>
      <c r="JD110" s="311"/>
      <c r="JE110" s="311"/>
      <c r="JF110" s="311"/>
      <c r="JG110" s="311"/>
      <c r="JH110" s="311"/>
      <c r="JN110" s="333"/>
      <c r="JO110" s="334"/>
      <c r="JP110" s="334"/>
      <c r="JQ110" s="334"/>
      <c r="JR110" s="334"/>
      <c r="JS110" s="334"/>
      <c r="JT110" s="334"/>
      <c r="JU110" s="334"/>
      <c r="JV110" s="334"/>
      <c r="JW110" s="334"/>
      <c r="JX110" s="334"/>
      <c r="JY110" s="334"/>
      <c r="JZ110" s="334"/>
      <c r="KA110" s="334"/>
      <c r="KB110" s="334"/>
      <c r="KC110" s="334"/>
      <c r="KD110" s="334"/>
      <c r="KE110" s="334"/>
      <c r="KF110" s="334"/>
      <c r="KG110" s="334"/>
      <c r="KH110" s="334"/>
      <c r="KI110" s="334"/>
      <c r="KJ110" s="334"/>
      <c r="KK110" s="334"/>
      <c r="KL110" s="334"/>
      <c r="KM110" s="334"/>
      <c r="KN110" s="334"/>
      <c r="KO110" s="334"/>
      <c r="KP110" s="334"/>
      <c r="KQ110" s="334"/>
      <c r="KR110" s="334"/>
      <c r="KS110" s="334"/>
      <c r="KT110" s="334"/>
      <c r="KU110" s="334"/>
      <c r="KV110" s="334"/>
      <c r="KW110" s="334"/>
      <c r="KX110" s="334"/>
      <c r="KY110" s="334"/>
      <c r="KZ110" s="334"/>
      <c r="LA110" s="341"/>
      <c r="LB110" s="333"/>
      <c r="LC110" s="334"/>
      <c r="LD110" s="334"/>
      <c r="LE110" s="334"/>
      <c r="LF110" s="341"/>
      <c r="LK110" s="312"/>
      <c r="LL110" s="312"/>
      <c r="LM110" s="312"/>
      <c r="LN110" s="312"/>
      <c r="LO110" s="312"/>
      <c r="LP110" s="312"/>
      <c r="LQ110" s="312"/>
      <c r="LR110" s="312"/>
      <c r="LS110" s="312"/>
      <c r="LT110" s="312"/>
      <c r="LU110" s="312"/>
      <c r="LV110" s="312"/>
      <c r="LW110" s="312"/>
      <c r="LX110" s="312"/>
      <c r="LY110" s="312"/>
      <c r="LZ110" s="312"/>
      <c r="MA110" s="312"/>
      <c r="MB110" s="312"/>
      <c r="MC110" s="312"/>
      <c r="MD110" s="312"/>
      <c r="ME110" s="312"/>
      <c r="MF110" s="312"/>
      <c r="MG110" s="312"/>
      <c r="MH110" s="312"/>
      <c r="MI110" s="312"/>
      <c r="MJ110" s="312"/>
      <c r="MK110" s="312"/>
      <c r="ML110" s="312"/>
      <c r="MM110" s="312"/>
      <c r="MN110" s="312"/>
      <c r="MO110" s="312"/>
      <c r="MP110" s="312"/>
      <c r="MQ110" s="312"/>
      <c r="MR110" s="312"/>
      <c r="MS110" s="312"/>
      <c r="MT110" s="312"/>
      <c r="MU110" s="312"/>
      <c r="MV110" s="312"/>
      <c r="MW110" s="312"/>
      <c r="MX110" s="312"/>
      <c r="MY110" s="311"/>
      <c r="MZ110" s="311"/>
      <c r="NA110" s="311"/>
      <c r="NB110" s="311"/>
      <c r="NC110" s="311"/>
      <c r="ND110" s="164"/>
      <c r="NE110" s="164"/>
      <c r="NF110" s="164"/>
      <c r="NG110" s="164"/>
      <c r="NH110" s="164"/>
      <c r="NI110" s="164"/>
      <c r="NJ110" s="164"/>
      <c r="NK110" s="164"/>
      <c r="NL110" s="164"/>
      <c r="NM110" s="164"/>
      <c r="NN110" s="164"/>
      <c r="NO110" s="164"/>
      <c r="NP110" s="164"/>
      <c r="NQ110" s="164"/>
      <c r="NR110" s="164"/>
      <c r="NS110" s="164"/>
      <c r="NT110" s="164"/>
      <c r="NU110" s="164"/>
      <c r="NV110" s="164"/>
      <c r="NW110" s="164"/>
      <c r="NX110" s="164"/>
      <c r="NY110" s="164"/>
      <c r="NZ110" s="164"/>
      <c r="OA110" s="164"/>
      <c r="OB110" s="164"/>
      <c r="OC110" s="164"/>
      <c r="OD110" s="164"/>
      <c r="OE110" s="164"/>
      <c r="OF110" s="164"/>
      <c r="OG110" s="164"/>
      <c r="OH110" s="164"/>
      <c r="OI110" s="164"/>
      <c r="OJ110" s="164"/>
      <c r="OK110" s="164"/>
      <c r="OL110" s="164"/>
      <c r="OM110" s="164"/>
      <c r="ON110" s="164"/>
      <c r="OO110" s="164"/>
      <c r="OP110" s="164"/>
      <c r="OQ110" s="164"/>
      <c r="OR110" s="164"/>
      <c r="OS110" s="164"/>
      <c r="OT110" s="164"/>
      <c r="OU110" s="164"/>
      <c r="OV110" s="164"/>
      <c r="OW110" s="178"/>
      <c r="OX110" s="178"/>
      <c r="OY110" s="178"/>
      <c r="OZ110" s="178"/>
      <c r="PA110" s="178"/>
      <c r="PB110" s="178"/>
      <c r="QK110" s="164"/>
      <c r="QL110" s="164"/>
      <c r="QM110" s="164"/>
      <c r="QO110" s="164"/>
      <c r="QP110" s="164"/>
      <c r="QQ110" s="165"/>
      <c r="QR110" s="166"/>
    </row>
    <row r="111" spans="3:465" ht="5.15" customHeight="1" x14ac:dyDescent="0.35">
      <c r="C111" s="161"/>
      <c r="D111" s="162"/>
      <c r="E111" s="164"/>
      <c r="F111" s="164"/>
      <c r="CF111" s="367"/>
      <c r="CG111" s="367"/>
      <c r="CH111" s="367"/>
      <c r="CI111" s="367"/>
      <c r="CJ111" s="367"/>
      <c r="CK111" s="367"/>
      <c r="CL111" s="367"/>
      <c r="CM111" s="367"/>
      <c r="CN111" s="367"/>
      <c r="CO111" s="367"/>
      <c r="CP111" s="367"/>
      <c r="CQ111" s="367"/>
      <c r="CR111" s="367"/>
      <c r="CS111" s="367"/>
      <c r="CT111" s="367"/>
      <c r="CU111" s="367"/>
      <c r="CV111" s="367"/>
      <c r="CW111" s="367"/>
      <c r="CX111" s="367"/>
      <c r="CY111" s="367"/>
      <c r="CZ111" s="367"/>
      <c r="DA111" s="367"/>
      <c r="DB111" s="367"/>
      <c r="DC111" s="367"/>
      <c r="DD111" s="367"/>
      <c r="DE111" s="367"/>
      <c r="DF111" s="367"/>
      <c r="DG111" s="367"/>
      <c r="DH111" s="367"/>
      <c r="DI111" s="367"/>
      <c r="DJ111" s="367"/>
      <c r="DK111" s="367"/>
      <c r="DL111" s="367"/>
      <c r="DM111" s="367"/>
      <c r="DN111" s="367"/>
      <c r="DO111" s="367"/>
      <c r="DP111" s="367"/>
      <c r="DQ111" s="367"/>
      <c r="DR111" s="367"/>
      <c r="DS111" s="367"/>
      <c r="DT111" s="367"/>
      <c r="DU111" s="367"/>
      <c r="DV111" s="367"/>
      <c r="DW111" s="367"/>
      <c r="DX111" s="367"/>
      <c r="DY111" s="367"/>
      <c r="DZ111" s="197"/>
      <c r="EA111" s="197"/>
      <c r="EB111" s="197"/>
      <c r="EC111" s="197"/>
      <c r="ED111" s="197"/>
      <c r="EG111" s="367"/>
      <c r="EH111" s="367"/>
      <c r="EI111" s="367"/>
      <c r="EJ111" s="367"/>
      <c r="EK111" s="367"/>
      <c r="EL111" s="367"/>
      <c r="EM111" s="367"/>
      <c r="EN111" s="367"/>
      <c r="EO111" s="367"/>
      <c r="EP111" s="367"/>
      <c r="EQ111" s="367"/>
      <c r="ER111" s="367"/>
      <c r="ES111" s="367"/>
      <c r="ET111" s="367"/>
      <c r="EU111" s="367"/>
      <c r="EV111" s="367"/>
      <c r="EW111" s="367"/>
      <c r="EX111" s="367"/>
      <c r="EY111" s="367"/>
      <c r="EZ111" s="367"/>
      <c r="FA111" s="367"/>
      <c r="FB111" s="367"/>
      <c r="FC111" s="367"/>
      <c r="FD111" s="367"/>
      <c r="FE111" s="367"/>
      <c r="FF111" s="367"/>
      <c r="FG111" s="367"/>
      <c r="FH111" s="367"/>
      <c r="FI111" s="367"/>
      <c r="FJ111" s="367"/>
      <c r="FK111" s="367"/>
      <c r="FL111" s="367"/>
      <c r="FM111" s="367"/>
      <c r="FN111" s="367"/>
      <c r="FO111" s="367"/>
      <c r="FP111" s="367"/>
      <c r="FQ111" s="367"/>
      <c r="FR111" s="367"/>
      <c r="FS111" s="367"/>
      <c r="FT111" s="367"/>
      <c r="FU111" s="367"/>
      <c r="FV111" s="367"/>
      <c r="FW111" s="367"/>
      <c r="FX111" s="367"/>
      <c r="FY111" s="367"/>
      <c r="FZ111" s="367"/>
      <c r="HP111" s="311"/>
      <c r="HQ111" s="311"/>
      <c r="HR111" s="311"/>
      <c r="HS111" s="311"/>
      <c r="HT111" s="311"/>
      <c r="HU111" s="311"/>
      <c r="HV111" s="311"/>
      <c r="HW111" s="311"/>
      <c r="HX111" s="311"/>
      <c r="HY111" s="311"/>
      <c r="HZ111" s="311"/>
      <c r="IA111" s="311"/>
      <c r="IB111" s="311"/>
      <c r="IC111" s="311"/>
      <c r="ID111" s="311"/>
      <c r="IE111" s="311"/>
      <c r="IF111" s="311"/>
      <c r="IG111" s="311"/>
      <c r="IH111" s="311"/>
      <c r="II111" s="311"/>
      <c r="IJ111" s="311"/>
      <c r="IK111" s="311"/>
      <c r="IL111" s="311"/>
      <c r="IM111" s="311"/>
      <c r="IN111" s="311"/>
      <c r="IO111" s="311"/>
      <c r="IP111" s="311"/>
      <c r="IQ111" s="311"/>
      <c r="IR111" s="311"/>
      <c r="IS111" s="311"/>
      <c r="IT111" s="311"/>
      <c r="IU111" s="311"/>
      <c r="IV111" s="311"/>
      <c r="IW111" s="311"/>
      <c r="IX111" s="311"/>
      <c r="IY111" s="311"/>
      <c r="IZ111" s="311"/>
      <c r="JA111" s="311"/>
      <c r="JB111" s="311"/>
      <c r="JC111" s="311"/>
      <c r="JD111" s="311"/>
      <c r="JE111" s="311"/>
      <c r="JF111" s="311"/>
      <c r="JG111" s="311"/>
      <c r="JH111" s="311"/>
      <c r="JN111" s="333"/>
      <c r="JO111" s="334"/>
      <c r="JP111" s="334"/>
      <c r="JQ111" s="334"/>
      <c r="JR111" s="334"/>
      <c r="JS111" s="334"/>
      <c r="JT111" s="334"/>
      <c r="JU111" s="334"/>
      <c r="JV111" s="334"/>
      <c r="JW111" s="334"/>
      <c r="JX111" s="334"/>
      <c r="JY111" s="334"/>
      <c r="JZ111" s="334"/>
      <c r="KA111" s="334"/>
      <c r="KB111" s="334"/>
      <c r="KC111" s="334"/>
      <c r="KD111" s="334"/>
      <c r="KE111" s="334"/>
      <c r="KF111" s="334"/>
      <c r="KG111" s="334"/>
      <c r="KH111" s="334"/>
      <c r="KI111" s="334"/>
      <c r="KJ111" s="334"/>
      <c r="KK111" s="334"/>
      <c r="KL111" s="334"/>
      <c r="KM111" s="334"/>
      <c r="KN111" s="334"/>
      <c r="KO111" s="334"/>
      <c r="KP111" s="334"/>
      <c r="KQ111" s="334"/>
      <c r="KR111" s="334"/>
      <c r="KS111" s="334"/>
      <c r="KT111" s="334"/>
      <c r="KU111" s="334"/>
      <c r="KV111" s="334"/>
      <c r="KW111" s="334"/>
      <c r="KX111" s="334"/>
      <c r="KY111" s="334"/>
      <c r="KZ111" s="334"/>
      <c r="LA111" s="341"/>
      <c r="LB111" s="333"/>
      <c r="LC111" s="334"/>
      <c r="LD111" s="334"/>
      <c r="LE111" s="334"/>
      <c r="LF111" s="341"/>
      <c r="LK111" s="312"/>
      <c r="LL111" s="312"/>
      <c r="LM111" s="312"/>
      <c r="LN111" s="312"/>
      <c r="LO111" s="312"/>
      <c r="LP111" s="312"/>
      <c r="LQ111" s="312"/>
      <c r="LR111" s="312"/>
      <c r="LS111" s="312"/>
      <c r="LT111" s="312"/>
      <c r="LU111" s="312"/>
      <c r="LV111" s="312"/>
      <c r="LW111" s="312"/>
      <c r="LX111" s="312"/>
      <c r="LY111" s="312"/>
      <c r="LZ111" s="312"/>
      <c r="MA111" s="312"/>
      <c r="MB111" s="312"/>
      <c r="MC111" s="312"/>
      <c r="MD111" s="312"/>
      <c r="ME111" s="312"/>
      <c r="MF111" s="312"/>
      <c r="MG111" s="312"/>
      <c r="MH111" s="312"/>
      <c r="MI111" s="312"/>
      <c r="MJ111" s="312"/>
      <c r="MK111" s="312"/>
      <c r="ML111" s="312"/>
      <c r="MM111" s="312"/>
      <c r="MN111" s="312"/>
      <c r="MO111" s="312"/>
      <c r="MP111" s="312"/>
      <c r="MQ111" s="312"/>
      <c r="MR111" s="312"/>
      <c r="MS111" s="312"/>
      <c r="MT111" s="312"/>
      <c r="MU111" s="312"/>
      <c r="MV111" s="312"/>
      <c r="MW111" s="312"/>
      <c r="MX111" s="312"/>
      <c r="MY111" s="311"/>
      <c r="MZ111" s="311"/>
      <c r="NA111" s="311"/>
      <c r="NB111" s="311"/>
      <c r="NC111" s="311"/>
      <c r="ND111" s="164"/>
      <c r="NE111" s="164"/>
      <c r="NF111" s="164"/>
      <c r="NG111" s="164"/>
      <c r="NH111" s="164"/>
      <c r="NI111" s="164"/>
      <c r="NJ111" s="164"/>
      <c r="NK111" s="164"/>
      <c r="NL111" s="164"/>
      <c r="NM111" s="164"/>
      <c r="NN111" s="164"/>
      <c r="NO111" s="164"/>
      <c r="NP111" s="164"/>
      <c r="NQ111" s="164"/>
      <c r="NR111" s="164"/>
      <c r="NS111" s="164"/>
      <c r="NT111" s="164"/>
      <c r="NU111" s="164"/>
      <c r="NV111" s="164"/>
      <c r="NW111" s="164"/>
      <c r="NX111" s="164"/>
      <c r="NY111" s="164"/>
      <c r="NZ111" s="164"/>
      <c r="OA111" s="164"/>
      <c r="OB111" s="164"/>
      <c r="OC111" s="164"/>
      <c r="OD111" s="164"/>
      <c r="OE111" s="164"/>
      <c r="OF111" s="164"/>
      <c r="OG111" s="164"/>
      <c r="OH111" s="164"/>
      <c r="OI111" s="164"/>
      <c r="OJ111" s="164"/>
      <c r="OK111" s="164"/>
      <c r="OL111" s="164"/>
      <c r="OM111" s="164"/>
      <c r="ON111" s="164"/>
      <c r="OO111" s="164"/>
      <c r="OP111" s="164"/>
      <c r="OQ111" s="164"/>
      <c r="OR111" s="164"/>
      <c r="OS111" s="164"/>
      <c r="OT111" s="164"/>
      <c r="OU111" s="164"/>
      <c r="OV111" s="164"/>
      <c r="OW111" s="178"/>
      <c r="OX111" s="178"/>
      <c r="OY111" s="178"/>
      <c r="OZ111" s="178"/>
      <c r="PA111" s="178"/>
      <c r="PB111" s="178"/>
      <c r="QK111" s="164"/>
      <c r="QL111" s="164"/>
      <c r="QM111" s="164"/>
      <c r="QO111" s="164"/>
      <c r="QP111" s="164"/>
      <c r="QQ111" s="165"/>
      <c r="QR111" s="166"/>
    </row>
    <row r="112" spans="3:465" ht="5.15" customHeight="1" x14ac:dyDescent="0.35">
      <c r="C112" s="161"/>
      <c r="D112" s="162"/>
      <c r="E112" s="164"/>
      <c r="F112" s="164"/>
      <c r="CF112" s="367"/>
      <c r="CG112" s="367"/>
      <c r="CH112" s="367"/>
      <c r="CI112" s="367"/>
      <c r="CJ112" s="367"/>
      <c r="CK112" s="367"/>
      <c r="CL112" s="367"/>
      <c r="CM112" s="367"/>
      <c r="CN112" s="367"/>
      <c r="CO112" s="367"/>
      <c r="CP112" s="367"/>
      <c r="CQ112" s="367"/>
      <c r="CR112" s="367"/>
      <c r="CS112" s="367"/>
      <c r="CT112" s="367"/>
      <c r="CU112" s="367"/>
      <c r="CV112" s="367"/>
      <c r="CW112" s="367"/>
      <c r="CX112" s="367"/>
      <c r="CY112" s="367"/>
      <c r="CZ112" s="367"/>
      <c r="DA112" s="367"/>
      <c r="DB112" s="367"/>
      <c r="DC112" s="367"/>
      <c r="DD112" s="367"/>
      <c r="DE112" s="367"/>
      <c r="DF112" s="367"/>
      <c r="DG112" s="367"/>
      <c r="DH112" s="367"/>
      <c r="DI112" s="367"/>
      <c r="DJ112" s="367"/>
      <c r="DK112" s="367"/>
      <c r="DL112" s="367"/>
      <c r="DM112" s="367"/>
      <c r="DN112" s="367"/>
      <c r="DO112" s="367"/>
      <c r="DP112" s="367"/>
      <c r="DQ112" s="367"/>
      <c r="DR112" s="367"/>
      <c r="DS112" s="367"/>
      <c r="DT112" s="367"/>
      <c r="DU112" s="367"/>
      <c r="DV112" s="367"/>
      <c r="DW112" s="367"/>
      <c r="DX112" s="367"/>
      <c r="DY112" s="367"/>
      <c r="DZ112" s="197"/>
      <c r="EA112" s="197"/>
      <c r="EB112" s="197"/>
      <c r="EC112" s="197"/>
      <c r="ED112" s="197"/>
      <c r="EG112" s="367"/>
      <c r="EH112" s="367"/>
      <c r="EI112" s="367"/>
      <c r="EJ112" s="367"/>
      <c r="EK112" s="367"/>
      <c r="EL112" s="367"/>
      <c r="EM112" s="367"/>
      <c r="EN112" s="367"/>
      <c r="EO112" s="367"/>
      <c r="EP112" s="367"/>
      <c r="EQ112" s="367"/>
      <c r="ER112" s="367"/>
      <c r="ES112" s="367"/>
      <c r="ET112" s="367"/>
      <c r="EU112" s="367"/>
      <c r="EV112" s="367"/>
      <c r="EW112" s="367"/>
      <c r="EX112" s="367"/>
      <c r="EY112" s="367"/>
      <c r="EZ112" s="367"/>
      <c r="FA112" s="367"/>
      <c r="FB112" s="367"/>
      <c r="FC112" s="367"/>
      <c r="FD112" s="367"/>
      <c r="FE112" s="367"/>
      <c r="FF112" s="367"/>
      <c r="FG112" s="367"/>
      <c r="FH112" s="367"/>
      <c r="FI112" s="367"/>
      <c r="FJ112" s="367"/>
      <c r="FK112" s="367"/>
      <c r="FL112" s="367"/>
      <c r="FM112" s="367"/>
      <c r="FN112" s="367"/>
      <c r="FO112" s="367"/>
      <c r="FP112" s="367"/>
      <c r="FQ112" s="367"/>
      <c r="FR112" s="367"/>
      <c r="FS112" s="367"/>
      <c r="FT112" s="367"/>
      <c r="FU112" s="367"/>
      <c r="FV112" s="367"/>
      <c r="FW112" s="367"/>
      <c r="FX112" s="367"/>
      <c r="FY112" s="367"/>
      <c r="FZ112" s="367"/>
      <c r="HP112" s="311"/>
      <c r="HQ112" s="311"/>
      <c r="HR112" s="311"/>
      <c r="HS112" s="311"/>
      <c r="HT112" s="311"/>
      <c r="HU112" s="311"/>
      <c r="HV112" s="311"/>
      <c r="HW112" s="311"/>
      <c r="HX112" s="311"/>
      <c r="HY112" s="311"/>
      <c r="HZ112" s="311"/>
      <c r="IA112" s="311"/>
      <c r="IB112" s="311"/>
      <c r="IC112" s="311"/>
      <c r="ID112" s="311"/>
      <c r="IE112" s="311"/>
      <c r="IF112" s="311"/>
      <c r="IG112" s="311"/>
      <c r="IH112" s="311"/>
      <c r="II112" s="311"/>
      <c r="IJ112" s="311"/>
      <c r="IK112" s="311"/>
      <c r="IL112" s="311"/>
      <c r="IM112" s="311"/>
      <c r="IN112" s="311"/>
      <c r="IO112" s="311"/>
      <c r="IP112" s="311"/>
      <c r="IQ112" s="311"/>
      <c r="IR112" s="311"/>
      <c r="IS112" s="311"/>
      <c r="IT112" s="311"/>
      <c r="IU112" s="311"/>
      <c r="IV112" s="311"/>
      <c r="IW112" s="311"/>
      <c r="IX112" s="311"/>
      <c r="IY112" s="311"/>
      <c r="IZ112" s="311"/>
      <c r="JA112" s="311"/>
      <c r="JB112" s="311"/>
      <c r="JC112" s="311"/>
      <c r="JD112" s="311"/>
      <c r="JE112" s="311"/>
      <c r="JF112" s="311"/>
      <c r="JG112" s="311"/>
      <c r="JH112" s="311"/>
      <c r="JN112" s="336"/>
      <c r="JO112" s="337"/>
      <c r="JP112" s="337"/>
      <c r="JQ112" s="337"/>
      <c r="JR112" s="337"/>
      <c r="JS112" s="337"/>
      <c r="JT112" s="337"/>
      <c r="JU112" s="337"/>
      <c r="JV112" s="337"/>
      <c r="JW112" s="337"/>
      <c r="JX112" s="337"/>
      <c r="JY112" s="337"/>
      <c r="JZ112" s="337"/>
      <c r="KA112" s="337"/>
      <c r="KB112" s="337"/>
      <c r="KC112" s="337"/>
      <c r="KD112" s="337"/>
      <c r="KE112" s="337"/>
      <c r="KF112" s="337"/>
      <c r="KG112" s="337"/>
      <c r="KH112" s="337"/>
      <c r="KI112" s="337"/>
      <c r="KJ112" s="337"/>
      <c r="KK112" s="337"/>
      <c r="KL112" s="337"/>
      <c r="KM112" s="337"/>
      <c r="KN112" s="337"/>
      <c r="KO112" s="337"/>
      <c r="KP112" s="337"/>
      <c r="KQ112" s="337"/>
      <c r="KR112" s="337"/>
      <c r="KS112" s="337"/>
      <c r="KT112" s="337"/>
      <c r="KU112" s="337"/>
      <c r="KV112" s="337"/>
      <c r="KW112" s="337"/>
      <c r="KX112" s="337"/>
      <c r="KY112" s="337"/>
      <c r="KZ112" s="337"/>
      <c r="LA112" s="342"/>
      <c r="LB112" s="336"/>
      <c r="LC112" s="337"/>
      <c r="LD112" s="337"/>
      <c r="LE112" s="337"/>
      <c r="LF112" s="342"/>
      <c r="LK112" s="312"/>
      <c r="LL112" s="312"/>
      <c r="LM112" s="312"/>
      <c r="LN112" s="312"/>
      <c r="LO112" s="312"/>
      <c r="LP112" s="312"/>
      <c r="LQ112" s="312"/>
      <c r="LR112" s="312"/>
      <c r="LS112" s="312"/>
      <c r="LT112" s="312"/>
      <c r="LU112" s="312"/>
      <c r="LV112" s="312"/>
      <c r="LW112" s="312"/>
      <c r="LX112" s="312"/>
      <c r="LY112" s="312"/>
      <c r="LZ112" s="312"/>
      <c r="MA112" s="312"/>
      <c r="MB112" s="312"/>
      <c r="MC112" s="312"/>
      <c r="MD112" s="312"/>
      <c r="ME112" s="312"/>
      <c r="MF112" s="312"/>
      <c r="MG112" s="312"/>
      <c r="MH112" s="312"/>
      <c r="MI112" s="312"/>
      <c r="MJ112" s="312"/>
      <c r="MK112" s="312"/>
      <c r="ML112" s="312"/>
      <c r="MM112" s="312"/>
      <c r="MN112" s="312"/>
      <c r="MO112" s="312"/>
      <c r="MP112" s="312"/>
      <c r="MQ112" s="312"/>
      <c r="MR112" s="312"/>
      <c r="MS112" s="312"/>
      <c r="MT112" s="312"/>
      <c r="MU112" s="312"/>
      <c r="MV112" s="312"/>
      <c r="MW112" s="312"/>
      <c r="MX112" s="312"/>
      <c r="MY112" s="311"/>
      <c r="MZ112" s="311"/>
      <c r="NA112" s="311"/>
      <c r="NB112" s="311"/>
      <c r="NC112" s="311"/>
      <c r="ND112" s="164"/>
      <c r="NE112" s="164"/>
      <c r="NF112" s="164"/>
      <c r="NG112" s="164"/>
      <c r="NH112" s="164"/>
      <c r="NI112" s="164"/>
      <c r="NJ112" s="164"/>
      <c r="NK112" s="164"/>
      <c r="NL112" s="164"/>
      <c r="NM112" s="164"/>
      <c r="NN112" s="164"/>
      <c r="NO112" s="164"/>
      <c r="NP112" s="164"/>
      <c r="NQ112" s="164"/>
      <c r="NR112" s="164"/>
      <c r="NS112" s="164"/>
      <c r="NT112" s="164"/>
      <c r="NU112" s="164"/>
      <c r="NV112" s="164"/>
      <c r="NW112" s="164"/>
      <c r="NX112" s="164"/>
      <c r="NY112" s="164"/>
      <c r="NZ112" s="164"/>
      <c r="OA112" s="164"/>
      <c r="OB112" s="164"/>
      <c r="OC112" s="164"/>
      <c r="OD112" s="164"/>
      <c r="OE112" s="164"/>
      <c r="OF112" s="164"/>
      <c r="OG112" s="164"/>
      <c r="OH112" s="164"/>
      <c r="OI112" s="164"/>
      <c r="OJ112" s="164"/>
      <c r="OK112" s="164"/>
      <c r="OL112" s="164"/>
      <c r="OM112" s="164"/>
      <c r="ON112" s="164"/>
      <c r="OO112" s="164"/>
      <c r="OP112" s="164"/>
      <c r="OQ112" s="164"/>
      <c r="OR112" s="164"/>
      <c r="OS112" s="164"/>
      <c r="OT112" s="164"/>
      <c r="OU112" s="164"/>
      <c r="OV112" s="164"/>
      <c r="OW112" s="178"/>
      <c r="OX112" s="178"/>
      <c r="OY112" s="178"/>
      <c r="OZ112" s="178"/>
      <c r="PA112" s="178"/>
      <c r="PB112" s="178"/>
      <c r="QE112" s="164"/>
      <c r="QF112" s="164"/>
      <c r="QG112" s="164"/>
      <c r="QH112" s="164"/>
      <c r="QI112" s="164"/>
      <c r="QJ112" s="164"/>
      <c r="QK112" s="164"/>
      <c r="QL112" s="164"/>
      <c r="QM112" s="164"/>
      <c r="QO112" s="164"/>
      <c r="QP112" s="164"/>
      <c r="QQ112" s="165"/>
      <c r="QR112" s="166"/>
      <c r="QS112" s="189"/>
      <c r="QT112" s="189"/>
      <c r="QU112" s="189"/>
      <c r="QV112" s="189"/>
      <c r="QW112" s="190"/>
    </row>
    <row r="113" spans="3:465" ht="5.15" customHeight="1" x14ac:dyDescent="0.35">
      <c r="C113" s="161"/>
      <c r="D113" s="162"/>
      <c r="E113" s="164"/>
      <c r="F113" s="164"/>
      <c r="CF113" s="367"/>
      <c r="CG113" s="367"/>
      <c r="CH113" s="367"/>
      <c r="CI113" s="367"/>
      <c r="CJ113" s="367"/>
      <c r="CK113" s="367"/>
      <c r="CL113" s="367"/>
      <c r="CM113" s="367"/>
      <c r="CN113" s="367"/>
      <c r="CO113" s="367"/>
      <c r="CP113" s="367"/>
      <c r="CQ113" s="367"/>
      <c r="CR113" s="367"/>
      <c r="CS113" s="367"/>
      <c r="CT113" s="367"/>
      <c r="CU113" s="367"/>
      <c r="CV113" s="367"/>
      <c r="CW113" s="367"/>
      <c r="CX113" s="367"/>
      <c r="CY113" s="367"/>
      <c r="CZ113" s="367"/>
      <c r="DA113" s="367"/>
      <c r="DB113" s="367"/>
      <c r="DC113" s="367"/>
      <c r="DD113" s="367"/>
      <c r="DE113" s="367"/>
      <c r="DF113" s="367"/>
      <c r="DG113" s="367"/>
      <c r="DH113" s="367"/>
      <c r="DI113" s="367"/>
      <c r="DJ113" s="367"/>
      <c r="DK113" s="367"/>
      <c r="DL113" s="367"/>
      <c r="DM113" s="367"/>
      <c r="DN113" s="367"/>
      <c r="DO113" s="367"/>
      <c r="DP113" s="367"/>
      <c r="DQ113" s="367"/>
      <c r="DR113" s="367"/>
      <c r="DS113" s="367"/>
      <c r="DT113" s="367"/>
      <c r="DU113" s="367"/>
      <c r="DV113" s="367"/>
      <c r="DW113" s="367"/>
      <c r="DX113" s="367"/>
      <c r="DY113" s="367"/>
      <c r="DZ113" s="197"/>
      <c r="EA113" s="197"/>
      <c r="EB113" s="197"/>
      <c r="EC113" s="197"/>
      <c r="ED113" s="197"/>
      <c r="EG113" s="367"/>
      <c r="EH113" s="367"/>
      <c r="EI113" s="367"/>
      <c r="EJ113" s="367"/>
      <c r="EK113" s="367"/>
      <c r="EL113" s="367"/>
      <c r="EM113" s="367"/>
      <c r="EN113" s="367"/>
      <c r="EO113" s="367"/>
      <c r="EP113" s="367"/>
      <c r="EQ113" s="367"/>
      <c r="ER113" s="367"/>
      <c r="ES113" s="367"/>
      <c r="ET113" s="367"/>
      <c r="EU113" s="367"/>
      <c r="EV113" s="367"/>
      <c r="EW113" s="367"/>
      <c r="EX113" s="367"/>
      <c r="EY113" s="367"/>
      <c r="EZ113" s="367"/>
      <c r="FA113" s="367"/>
      <c r="FB113" s="367"/>
      <c r="FC113" s="367"/>
      <c r="FD113" s="367"/>
      <c r="FE113" s="367"/>
      <c r="FF113" s="367"/>
      <c r="FG113" s="367"/>
      <c r="FH113" s="367"/>
      <c r="FI113" s="367"/>
      <c r="FJ113" s="367"/>
      <c r="FK113" s="367"/>
      <c r="FL113" s="367"/>
      <c r="FM113" s="367"/>
      <c r="FN113" s="367"/>
      <c r="FO113" s="367"/>
      <c r="FP113" s="367"/>
      <c r="FQ113" s="367"/>
      <c r="FR113" s="367"/>
      <c r="FS113" s="367"/>
      <c r="FT113" s="367"/>
      <c r="FU113" s="367"/>
      <c r="FV113" s="367"/>
      <c r="FW113" s="367"/>
      <c r="FX113" s="367"/>
      <c r="FY113" s="367"/>
      <c r="FZ113" s="367"/>
      <c r="HP113" s="311"/>
      <c r="HQ113" s="311"/>
      <c r="HR113" s="311"/>
      <c r="HS113" s="311"/>
      <c r="HT113" s="311"/>
      <c r="HU113" s="311"/>
      <c r="HV113" s="311"/>
      <c r="HW113" s="311"/>
      <c r="HX113" s="311"/>
      <c r="HY113" s="311"/>
      <c r="HZ113" s="311"/>
      <c r="IA113" s="311"/>
      <c r="IB113" s="311"/>
      <c r="IC113" s="311"/>
      <c r="ID113" s="311"/>
      <c r="IE113" s="311"/>
      <c r="IF113" s="311"/>
      <c r="IG113" s="311"/>
      <c r="IH113" s="311"/>
      <c r="II113" s="311"/>
      <c r="IJ113" s="311"/>
      <c r="IK113" s="311"/>
      <c r="IL113" s="311"/>
      <c r="IM113" s="311"/>
      <c r="IN113" s="311"/>
      <c r="IO113" s="311"/>
      <c r="IP113" s="311"/>
      <c r="IQ113" s="311"/>
      <c r="IR113" s="311"/>
      <c r="IS113" s="311"/>
      <c r="IT113" s="311"/>
      <c r="IU113" s="311"/>
      <c r="IV113" s="311"/>
      <c r="IW113" s="311"/>
      <c r="IX113" s="311"/>
      <c r="IY113" s="311"/>
      <c r="IZ113" s="311"/>
      <c r="JA113" s="311"/>
      <c r="JB113" s="311"/>
      <c r="JC113" s="311"/>
      <c r="JD113" s="311"/>
      <c r="JE113" s="311"/>
      <c r="JF113" s="311"/>
      <c r="JG113" s="311"/>
      <c r="JH113" s="311"/>
      <c r="JN113" s="368" t="s">
        <v>291</v>
      </c>
      <c r="JO113" s="369"/>
      <c r="JP113" s="369"/>
      <c r="JQ113" s="369"/>
      <c r="JR113" s="369"/>
      <c r="JS113" s="369"/>
      <c r="JT113" s="369"/>
      <c r="JU113" s="369"/>
      <c r="JV113" s="369"/>
      <c r="JW113" s="369"/>
      <c r="JX113" s="369"/>
      <c r="JY113" s="369"/>
      <c r="JZ113" s="369"/>
      <c r="KA113" s="369"/>
      <c r="KB113" s="369"/>
      <c r="KC113" s="369"/>
      <c r="KD113" s="369"/>
      <c r="KE113" s="369"/>
      <c r="KF113" s="369"/>
      <c r="KG113" s="369"/>
      <c r="KH113" s="369"/>
      <c r="KI113" s="369"/>
      <c r="KJ113" s="369"/>
      <c r="KK113" s="369"/>
      <c r="KL113" s="369"/>
      <c r="KM113" s="369"/>
      <c r="KN113" s="369"/>
      <c r="KO113" s="369"/>
      <c r="KP113" s="369"/>
      <c r="KQ113" s="369"/>
      <c r="KR113" s="369"/>
      <c r="KS113" s="369"/>
      <c r="KT113" s="369"/>
      <c r="KU113" s="369"/>
      <c r="KV113" s="369"/>
      <c r="KW113" s="369"/>
      <c r="KX113" s="369"/>
      <c r="KY113" s="369"/>
      <c r="KZ113" s="369"/>
      <c r="LA113" s="370"/>
      <c r="LB113" s="330"/>
      <c r="LC113" s="331"/>
      <c r="LD113" s="331"/>
      <c r="LE113" s="331"/>
      <c r="LF113" s="340"/>
      <c r="LK113" s="358" t="s">
        <v>288</v>
      </c>
      <c r="LL113" s="359"/>
      <c r="LM113" s="359"/>
      <c r="LN113" s="359"/>
      <c r="LO113" s="359"/>
      <c r="LP113" s="359"/>
      <c r="LQ113" s="359"/>
      <c r="LR113" s="359"/>
      <c r="LS113" s="359"/>
      <c r="LT113" s="359"/>
      <c r="LU113" s="359"/>
      <c r="LV113" s="359"/>
      <c r="LW113" s="359"/>
      <c r="LX113" s="359"/>
      <c r="LY113" s="359"/>
      <c r="LZ113" s="359"/>
      <c r="MA113" s="359"/>
      <c r="MB113" s="359"/>
      <c r="MC113" s="359"/>
      <c r="MD113" s="359"/>
      <c r="ME113" s="359"/>
      <c r="MF113" s="359"/>
      <c r="MG113" s="359"/>
      <c r="MH113" s="359"/>
      <c r="MI113" s="359"/>
      <c r="MJ113" s="359"/>
      <c r="MK113" s="359"/>
      <c r="ML113" s="359"/>
      <c r="MM113" s="359"/>
      <c r="MN113" s="359"/>
      <c r="MO113" s="359"/>
      <c r="MP113" s="359"/>
      <c r="MQ113" s="359"/>
      <c r="MR113" s="359"/>
      <c r="MS113" s="359"/>
      <c r="MT113" s="359"/>
      <c r="MU113" s="359"/>
      <c r="MV113" s="359"/>
      <c r="MW113" s="359"/>
      <c r="MX113" s="360"/>
      <c r="MY113" s="330">
        <v>1</v>
      </c>
      <c r="MZ113" s="331"/>
      <c r="NA113" s="331"/>
      <c r="NB113" s="331"/>
      <c r="NC113" s="340"/>
      <c r="ND113" s="164"/>
      <c r="NE113" s="164"/>
      <c r="NF113" s="164"/>
      <c r="NG113" s="164"/>
      <c r="NH113" s="164"/>
      <c r="NI113" s="164"/>
      <c r="NJ113" s="164"/>
      <c r="NK113" s="164"/>
      <c r="NL113" s="164"/>
      <c r="NM113" s="164"/>
      <c r="NN113" s="164"/>
      <c r="NO113" s="164"/>
      <c r="NP113" s="164"/>
      <c r="NQ113" s="164"/>
      <c r="NR113" s="164"/>
      <c r="NS113" s="164"/>
      <c r="NT113" s="164"/>
      <c r="NU113" s="164"/>
      <c r="NV113" s="164"/>
      <c r="NW113" s="164"/>
      <c r="NX113" s="164"/>
      <c r="NY113" s="164"/>
      <c r="NZ113" s="164"/>
      <c r="OA113" s="164"/>
      <c r="OB113" s="164"/>
      <c r="OC113" s="164"/>
      <c r="OD113" s="164"/>
      <c r="OE113" s="164"/>
      <c r="OF113" s="164"/>
      <c r="OG113" s="164"/>
      <c r="OH113" s="164"/>
      <c r="OI113" s="164"/>
      <c r="OJ113" s="164"/>
      <c r="OK113" s="164"/>
      <c r="OL113" s="164"/>
      <c r="OM113" s="164"/>
      <c r="ON113" s="164"/>
      <c r="OO113" s="164"/>
      <c r="OP113" s="164"/>
      <c r="OQ113" s="164"/>
      <c r="OR113" s="164"/>
      <c r="OS113" s="164"/>
      <c r="OT113" s="164"/>
      <c r="OU113" s="164"/>
      <c r="OV113" s="164"/>
      <c r="OW113" s="164"/>
      <c r="OX113" s="164"/>
      <c r="OY113" s="164"/>
      <c r="OZ113" s="164"/>
      <c r="PA113" s="164"/>
      <c r="PB113" s="164"/>
      <c r="QE113" s="164"/>
      <c r="QF113" s="164"/>
      <c r="QG113" s="164"/>
      <c r="QH113" s="164"/>
      <c r="QI113" s="164"/>
      <c r="QJ113" s="164"/>
      <c r="QK113" s="164"/>
      <c r="QL113" s="164"/>
      <c r="QM113" s="164"/>
      <c r="QO113" s="164"/>
      <c r="QP113" s="164"/>
      <c r="QQ113" s="165"/>
      <c r="QR113" s="166"/>
      <c r="QS113" s="189"/>
      <c r="QT113" s="189"/>
      <c r="QU113" s="189"/>
      <c r="QV113" s="189"/>
      <c r="QW113" s="190"/>
    </row>
    <row r="114" spans="3:465" ht="5.15" customHeight="1" x14ac:dyDescent="0.35">
      <c r="C114" s="161"/>
      <c r="D114" s="162"/>
      <c r="E114" s="164"/>
      <c r="F114" s="164"/>
      <c r="CF114" s="367"/>
      <c r="CG114" s="367"/>
      <c r="CH114" s="367"/>
      <c r="CI114" s="367"/>
      <c r="CJ114" s="367"/>
      <c r="CK114" s="367"/>
      <c r="CL114" s="367"/>
      <c r="CM114" s="367"/>
      <c r="CN114" s="367"/>
      <c r="CO114" s="367"/>
      <c r="CP114" s="367"/>
      <c r="CQ114" s="367"/>
      <c r="CR114" s="367"/>
      <c r="CS114" s="367"/>
      <c r="CT114" s="367"/>
      <c r="CU114" s="367"/>
      <c r="CV114" s="367"/>
      <c r="CW114" s="367"/>
      <c r="CX114" s="367"/>
      <c r="CY114" s="367"/>
      <c r="CZ114" s="367"/>
      <c r="DA114" s="367"/>
      <c r="DB114" s="367"/>
      <c r="DC114" s="367"/>
      <c r="DD114" s="367"/>
      <c r="DE114" s="367"/>
      <c r="DF114" s="367"/>
      <c r="DG114" s="367"/>
      <c r="DH114" s="367"/>
      <c r="DI114" s="367"/>
      <c r="DJ114" s="367"/>
      <c r="DK114" s="367"/>
      <c r="DL114" s="367"/>
      <c r="DM114" s="367"/>
      <c r="DN114" s="367"/>
      <c r="DO114" s="367"/>
      <c r="DP114" s="367"/>
      <c r="DQ114" s="367"/>
      <c r="DR114" s="367"/>
      <c r="DS114" s="367"/>
      <c r="DT114" s="367"/>
      <c r="DU114" s="367"/>
      <c r="DV114" s="367"/>
      <c r="DW114" s="367"/>
      <c r="DX114" s="367"/>
      <c r="DY114" s="367"/>
      <c r="DZ114" s="197"/>
      <c r="EA114" s="197"/>
      <c r="EB114" s="197"/>
      <c r="EC114" s="197"/>
      <c r="ED114" s="197"/>
      <c r="EG114" s="367"/>
      <c r="EH114" s="367"/>
      <c r="EI114" s="367"/>
      <c r="EJ114" s="367"/>
      <c r="EK114" s="367"/>
      <c r="EL114" s="367"/>
      <c r="EM114" s="367"/>
      <c r="EN114" s="367"/>
      <c r="EO114" s="367"/>
      <c r="EP114" s="367"/>
      <c r="EQ114" s="367"/>
      <c r="ER114" s="367"/>
      <c r="ES114" s="367"/>
      <c r="ET114" s="367"/>
      <c r="EU114" s="367"/>
      <c r="EV114" s="367"/>
      <c r="EW114" s="367"/>
      <c r="EX114" s="367"/>
      <c r="EY114" s="367"/>
      <c r="EZ114" s="367"/>
      <c r="FA114" s="367"/>
      <c r="FB114" s="367"/>
      <c r="FC114" s="367"/>
      <c r="FD114" s="367"/>
      <c r="FE114" s="367"/>
      <c r="FF114" s="367"/>
      <c r="FG114" s="367"/>
      <c r="FH114" s="367"/>
      <c r="FI114" s="367"/>
      <c r="FJ114" s="367"/>
      <c r="FK114" s="367"/>
      <c r="FL114" s="367"/>
      <c r="FM114" s="367"/>
      <c r="FN114" s="367"/>
      <c r="FO114" s="367"/>
      <c r="FP114" s="367"/>
      <c r="FQ114" s="367"/>
      <c r="FR114" s="367"/>
      <c r="FS114" s="367"/>
      <c r="FT114" s="367"/>
      <c r="FU114" s="367"/>
      <c r="FV114" s="367"/>
      <c r="FW114" s="367"/>
      <c r="FX114" s="367"/>
      <c r="FY114" s="367"/>
      <c r="FZ114" s="367"/>
      <c r="HP114" s="311"/>
      <c r="HQ114" s="311"/>
      <c r="HR114" s="311"/>
      <c r="HS114" s="311"/>
      <c r="HT114" s="311"/>
      <c r="HU114" s="311"/>
      <c r="HV114" s="311"/>
      <c r="HW114" s="311"/>
      <c r="HX114" s="311"/>
      <c r="HY114" s="311"/>
      <c r="HZ114" s="311"/>
      <c r="IA114" s="311"/>
      <c r="IB114" s="311"/>
      <c r="IC114" s="311"/>
      <c r="ID114" s="311"/>
      <c r="IE114" s="311"/>
      <c r="IF114" s="311"/>
      <c r="IG114" s="311"/>
      <c r="IH114" s="311"/>
      <c r="II114" s="311"/>
      <c r="IJ114" s="311"/>
      <c r="IK114" s="311"/>
      <c r="IL114" s="311"/>
      <c r="IM114" s="311"/>
      <c r="IN114" s="311"/>
      <c r="IO114" s="311"/>
      <c r="IP114" s="311"/>
      <c r="IQ114" s="311"/>
      <c r="IR114" s="311"/>
      <c r="IS114" s="311"/>
      <c r="IT114" s="311"/>
      <c r="IU114" s="311"/>
      <c r="IV114" s="311"/>
      <c r="IW114" s="311"/>
      <c r="IX114" s="311"/>
      <c r="IY114" s="311"/>
      <c r="IZ114" s="311"/>
      <c r="JA114" s="311"/>
      <c r="JB114" s="311"/>
      <c r="JC114" s="311"/>
      <c r="JD114" s="311"/>
      <c r="JE114" s="311"/>
      <c r="JF114" s="311"/>
      <c r="JG114" s="311"/>
      <c r="JH114" s="311"/>
      <c r="JN114" s="371"/>
      <c r="JO114" s="372"/>
      <c r="JP114" s="372"/>
      <c r="JQ114" s="372"/>
      <c r="JR114" s="372"/>
      <c r="JS114" s="372"/>
      <c r="JT114" s="372"/>
      <c r="JU114" s="372"/>
      <c r="JV114" s="372"/>
      <c r="JW114" s="372"/>
      <c r="JX114" s="372"/>
      <c r="JY114" s="372"/>
      <c r="JZ114" s="372"/>
      <c r="KA114" s="372"/>
      <c r="KB114" s="372"/>
      <c r="KC114" s="372"/>
      <c r="KD114" s="372"/>
      <c r="KE114" s="372"/>
      <c r="KF114" s="372"/>
      <c r="KG114" s="372"/>
      <c r="KH114" s="372"/>
      <c r="KI114" s="372"/>
      <c r="KJ114" s="372"/>
      <c r="KK114" s="372"/>
      <c r="KL114" s="372"/>
      <c r="KM114" s="372"/>
      <c r="KN114" s="372"/>
      <c r="KO114" s="372"/>
      <c r="KP114" s="372"/>
      <c r="KQ114" s="372"/>
      <c r="KR114" s="372"/>
      <c r="KS114" s="372"/>
      <c r="KT114" s="372"/>
      <c r="KU114" s="372"/>
      <c r="KV114" s="372"/>
      <c r="KW114" s="372"/>
      <c r="KX114" s="372"/>
      <c r="KY114" s="372"/>
      <c r="KZ114" s="372"/>
      <c r="LA114" s="373"/>
      <c r="LB114" s="333"/>
      <c r="LC114" s="334"/>
      <c r="LD114" s="334"/>
      <c r="LE114" s="334"/>
      <c r="LF114" s="341"/>
      <c r="LK114" s="361"/>
      <c r="LL114" s="362"/>
      <c r="LM114" s="362"/>
      <c r="LN114" s="362"/>
      <c r="LO114" s="362"/>
      <c r="LP114" s="362"/>
      <c r="LQ114" s="362"/>
      <c r="LR114" s="362"/>
      <c r="LS114" s="362"/>
      <c r="LT114" s="362"/>
      <c r="LU114" s="362"/>
      <c r="LV114" s="362"/>
      <c r="LW114" s="362"/>
      <c r="LX114" s="362"/>
      <c r="LY114" s="362"/>
      <c r="LZ114" s="362"/>
      <c r="MA114" s="362"/>
      <c r="MB114" s="362"/>
      <c r="MC114" s="362"/>
      <c r="MD114" s="362"/>
      <c r="ME114" s="362"/>
      <c r="MF114" s="362"/>
      <c r="MG114" s="362"/>
      <c r="MH114" s="362"/>
      <c r="MI114" s="362"/>
      <c r="MJ114" s="362"/>
      <c r="MK114" s="362"/>
      <c r="ML114" s="362"/>
      <c r="MM114" s="362"/>
      <c r="MN114" s="362"/>
      <c r="MO114" s="362"/>
      <c r="MP114" s="362"/>
      <c r="MQ114" s="362"/>
      <c r="MR114" s="362"/>
      <c r="MS114" s="362"/>
      <c r="MT114" s="362"/>
      <c r="MU114" s="362"/>
      <c r="MV114" s="362"/>
      <c r="MW114" s="362"/>
      <c r="MX114" s="363"/>
      <c r="MY114" s="333"/>
      <c r="MZ114" s="334"/>
      <c r="NA114" s="334"/>
      <c r="NB114" s="334"/>
      <c r="NC114" s="341"/>
      <c r="ND114" s="164"/>
      <c r="NE114" s="164"/>
      <c r="NF114" s="164"/>
      <c r="NG114" s="164"/>
      <c r="NH114" s="164"/>
      <c r="NI114" s="164"/>
      <c r="NJ114" s="164"/>
      <c r="NK114" s="164"/>
      <c r="NL114" s="164"/>
      <c r="NM114" s="164"/>
      <c r="NN114" s="164"/>
      <c r="NO114" s="164"/>
      <c r="NP114" s="164"/>
      <c r="NQ114" s="164"/>
      <c r="NR114" s="164"/>
      <c r="NS114" s="164"/>
      <c r="NT114" s="164"/>
      <c r="NU114" s="164"/>
      <c r="NV114" s="164"/>
      <c r="NW114" s="164"/>
      <c r="NX114" s="164"/>
      <c r="NY114" s="164"/>
      <c r="NZ114" s="164"/>
      <c r="OA114" s="164"/>
      <c r="OB114" s="164"/>
      <c r="OC114" s="164"/>
      <c r="OD114" s="164"/>
      <c r="OE114" s="164"/>
      <c r="OF114" s="164"/>
      <c r="OG114" s="164"/>
      <c r="OH114" s="164"/>
      <c r="OI114" s="164"/>
      <c r="OJ114" s="164"/>
      <c r="OK114" s="164"/>
      <c r="OL114" s="164"/>
      <c r="OM114" s="164"/>
      <c r="ON114" s="164"/>
      <c r="OO114" s="164"/>
      <c r="OP114" s="164"/>
      <c r="OQ114" s="164"/>
      <c r="OR114" s="164"/>
      <c r="OS114" s="164"/>
      <c r="OT114" s="164"/>
      <c r="OU114" s="164"/>
      <c r="OV114" s="164"/>
      <c r="OW114" s="164"/>
      <c r="OX114" s="164"/>
      <c r="OY114" s="164"/>
      <c r="OZ114" s="164"/>
      <c r="PA114" s="164"/>
      <c r="PB114" s="164"/>
      <c r="QE114" s="164"/>
      <c r="QF114" s="164"/>
      <c r="QG114" s="164"/>
      <c r="QH114" s="164"/>
      <c r="QI114" s="164"/>
      <c r="QJ114" s="164"/>
      <c r="QK114" s="164"/>
      <c r="QL114" s="164"/>
      <c r="QM114" s="164"/>
      <c r="QO114" s="164"/>
      <c r="QP114" s="164"/>
      <c r="QQ114" s="165"/>
      <c r="QR114" s="166"/>
      <c r="QS114" s="189"/>
      <c r="QT114" s="189"/>
      <c r="QU114" s="189"/>
      <c r="QV114" s="189"/>
      <c r="QW114" s="190"/>
    </row>
    <row r="115" spans="3:465" ht="5.15" customHeight="1" x14ac:dyDescent="0.35">
      <c r="C115" s="161"/>
      <c r="D115" s="162"/>
      <c r="E115" s="164"/>
      <c r="F115" s="164"/>
      <c r="CF115" s="367"/>
      <c r="CG115" s="367"/>
      <c r="CH115" s="367"/>
      <c r="CI115" s="367"/>
      <c r="CJ115" s="367"/>
      <c r="CK115" s="367"/>
      <c r="CL115" s="367"/>
      <c r="CM115" s="367"/>
      <c r="CN115" s="367"/>
      <c r="CO115" s="367"/>
      <c r="CP115" s="367"/>
      <c r="CQ115" s="367"/>
      <c r="CR115" s="367"/>
      <c r="CS115" s="367"/>
      <c r="CT115" s="367"/>
      <c r="CU115" s="367"/>
      <c r="CV115" s="367"/>
      <c r="CW115" s="367"/>
      <c r="CX115" s="367"/>
      <c r="CY115" s="367"/>
      <c r="CZ115" s="367"/>
      <c r="DA115" s="367"/>
      <c r="DB115" s="367"/>
      <c r="DC115" s="367"/>
      <c r="DD115" s="367"/>
      <c r="DE115" s="367"/>
      <c r="DF115" s="367"/>
      <c r="DG115" s="367"/>
      <c r="DH115" s="367"/>
      <c r="DI115" s="367"/>
      <c r="DJ115" s="367"/>
      <c r="DK115" s="367"/>
      <c r="DL115" s="367"/>
      <c r="DM115" s="367"/>
      <c r="DN115" s="367"/>
      <c r="DO115" s="367"/>
      <c r="DP115" s="367"/>
      <c r="DQ115" s="367"/>
      <c r="DR115" s="367"/>
      <c r="DS115" s="367"/>
      <c r="DT115" s="367"/>
      <c r="DU115" s="367"/>
      <c r="DV115" s="367"/>
      <c r="DW115" s="367"/>
      <c r="DX115" s="367"/>
      <c r="DY115" s="367"/>
      <c r="DZ115" s="197"/>
      <c r="EA115" s="197"/>
      <c r="EB115" s="197"/>
      <c r="EC115" s="197"/>
      <c r="ED115" s="197"/>
      <c r="EG115" s="367"/>
      <c r="EH115" s="367"/>
      <c r="EI115" s="367"/>
      <c r="EJ115" s="367"/>
      <c r="EK115" s="367"/>
      <c r="EL115" s="367"/>
      <c r="EM115" s="367"/>
      <c r="EN115" s="367"/>
      <c r="EO115" s="367"/>
      <c r="EP115" s="367"/>
      <c r="EQ115" s="367"/>
      <c r="ER115" s="367"/>
      <c r="ES115" s="367"/>
      <c r="ET115" s="367"/>
      <c r="EU115" s="367"/>
      <c r="EV115" s="367"/>
      <c r="EW115" s="367"/>
      <c r="EX115" s="367"/>
      <c r="EY115" s="367"/>
      <c r="EZ115" s="367"/>
      <c r="FA115" s="367"/>
      <c r="FB115" s="367"/>
      <c r="FC115" s="367"/>
      <c r="FD115" s="367"/>
      <c r="FE115" s="367"/>
      <c r="FF115" s="367"/>
      <c r="FG115" s="367"/>
      <c r="FH115" s="367"/>
      <c r="FI115" s="367"/>
      <c r="FJ115" s="367"/>
      <c r="FK115" s="367"/>
      <c r="FL115" s="367"/>
      <c r="FM115" s="367"/>
      <c r="FN115" s="367"/>
      <c r="FO115" s="367"/>
      <c r="FP115" s="367"/>
      <c r="FQ115" s="367"/>
      <c r="FR115" s="367"/>
      <c r="FS115" s="367"/>
      <c r="FT115" s="367"/>
      <c r="FU115" s="367"/>
      <c r="FV115" s="367"/>
      <c r="FW115" s="367"/>
      <c r="FX115" s="367"/>
      <c r="FY115" s="367"/>
      <c r="FZ115" s="367"/>
      <c r="HP115" s="178"/>
      <c r="HQ115" s="178"/>
      <c r="HR115" s="178"/>
      <c r="HS115" s="178"/>
      <c r="HT115" s="178"/>
      <c r="HU115" s="178"/>
      <c r="HV115" s="178"/>
      <c r="HW115" s="178"/>
      <c r="HX115" s="178"/>
      <c r="HY115" s="178"/>
      <c r="HZ115" s="178"/>
      <c r="IA115" s="178"/>
      <c r="IB115" s="178"/>
      <c r="IC115" s="178"/>
      <c r="ID115" s="178"/>
      <c r="IE115" s="178"/>
      <c r="IF115" s="178"/>
      <c r="IG115" s="178"/>
      <c r="IH115" s="178"/>
      <c r="II115" s="178"/>
      <c r="IJ115" s="178"/>
      <c r="IK115" s="178"/>
      <c r="IL115" s="178"/>
      <c r="IM115" s="178"/>
      <c r="IN115" s="178"/>
      <c r="IO115" s="178"/>
      <c r="IP115" s="178"/>
      <c r="IQ115" s="178"/>
      <c r="IR115" s="178"/>
      <c r="IS115" s="178"/>
      <c r="IT115" s="178"/>
      <c r="IU115" s="178"/>
      <c r="IV115" s="178"/>
      <c r="IW115" s="178"/>
      <c r="IX115" s="178"/>
      <c r="IY115" s="178"/>
      <c r="IZ115" s="178"/>
      <c r="JA115" s="178"/>
      <c r="JB115" s="178"/>
      <c r="JC115" s="178"/>
      <c r="JD115" s="178"/>
      <c r="JE115" s="178"/>
      <c r="JF115" s="178"/>
      <c r="JG115" s="178"/>
      <c r="JH115" s="178"/>
      <c r="JN115" s="371"/>
      <c r="JO115" s="372"/>
      <c r="JP115" s="372"/>
      <c r="JQ115" s="372"/>
      <c r="JR115" s="372"/>
      <c r="JS115" s="372"/>
      <c r="JT115" s="372"/>
      <c r="JU115" s="372"/>
      <c r="JV115" s="372"/>
      <c r="JW115" s="372"/>
      <c r="JX115" s="372"/>
      <c r="JY115" s="372"/>
      <c r="JZ115" s="372"/>
      <c r="KA115" s="372"/>
      <c r="KB115" s="372"/>
      <c r="KC115" s="372"/>
      <c r="KD115" s="372"/>
      <c r="KE115" s="372"/>
      <c r="KF115" s="372"/>
      <c r="KG115" s="372"/>
      <c r="KH115" s="372"/>
      <c r="KI115" s="372"/>
      <c r="KJ115" s="372"/>
      <c r="KK115" s="372"/>
      <c r="KL115" s="372"/>
      <c r="KM115" s="372"/>
      <c r="KN115" s="372"/>
      <c r="KO115" s="372"/>
      <c r="KP115" s="372"/>
      <c r="KQ115" s="372"/>
      <c r="KR115" s="372"/>
      <c r="KS115" s="372"/>
      <c r="KT115" s="372"/>
      <c r="KU115" s="372"/>
      <c r="KV115" s="372"/>
      <c r="KW115" s="372"/>
      <c r="KX115" s="372"/>
      <c r="KY115" s="372"/>
      <c r="KZ115" s="372"/>
      <c r="LA115" s="373"/>
      <c r="LB115" s="333"/>
      <c r="LC115" s="334"/>
      <c r="LD115" s="334"/>
      <c r="LE115" s="334"/>
      <c r="LF115" s="341"/>
      <c r="LK115" s="361"/>
      <c r="LL115" s="362"/>
      <c r="LM115" s="362"/>
      <c r="LN115" s="362"/>
      <c r="LO115" s="362"/>
      <c r="LP115" s="362"/>
      <c r="LQ115" s="362"/>
      <c r="LR115" s="362"/>
      <c r="LS115" s="362"/>
      <c r="LT115" s="362"/>
      <c r="LU115" s="362"/>
      <c r="LV115" s="362"/>
      <c r="LW115" s="362"/>
      <c r="LX115" s="362"/>
      <c r="LY115" s="362"/>
      <c r="LZ115" s="362"/>
      <c r="MA115" s="362"/>
      <c r="MB115" s="362"/>
      <c r="MC115" s="362"/>
      <c r="MD115" s="362"/>
      <c r="ME115" s="362"/>
      <c r="MF115" s="362"/>
      <c r="MG115" s="362"/>
      <c r="MH115" s="362"/>
      <c r="MI115" s="362"/>
      <c r="MJ115" s="362"/>
      <c r="MK115" s="362"/>
      <c r="ML115" s="362"/>
      <c r="MM115" s="362"/>
      <c r="MN115" s="362"/>
      <c r="MO115" s="362"/>
      <c r="MP115" s="362"/>
      <c r="MQ115" s="362"/>
      <c r="MR115" s="362"/>
      <c r="MS115" s="362"/>
      <c r="MT115" s="362"/>
      <c r="MU115" s="362"/>
      <c r="MV115" s="362"/>
      <c r="MW115" s="362"/>
      <c r="MX115" s="363"/>
      <c r="MY115" s="333"/>
      <c r="MZ115" s="334"/>
      <c r="NA115" s="334"/>
      <c r="NB115" s="334"/>
      <c r="NC115" s="341"/>
      <c r="QE115" s="164"/>
      <c r="QF115" s="164"/>
      <c r="QG115" s="164"/>
      <c r="QH115" s="164"/>
      <c r="QI115" s="164"/>
      <c r="QJ115" s="164"/>
      <c r="QK115" s="164"/>
      <c r="QL115" s="164"/>
      <c r="QM115" s="164"/>
      <c r="QQ115" s="165"/>
      <c r="QR115" s="166"/>
      <c r="QS115" s="189"/>
      <c r="QT115" s="189"/>
      <c r="QU115" s="189"/>
      <c r="QV115" s="189"/>
      <c r="QW115" s="190"/>
    </row>
    <row r="116" spans="3:465" ht="5.15" customHeight="1" x14ac:dyDescent="0.35">
      <c r="C116" s="161"/>
      <c r="D116" s="162"/>
      <c r="E116" s="164"/>
      <c r="F116" s="164"/>
      <c r="CF116" s="367"/>
      <c r="CG116" s="367"/>
      <c r="CH116" s="367"/>
      <c r="CI116" s="367"/>
      <c r="CJ116" s="367"/>
      <c r="CK116" s="367"/>
      <c r="CL116" s="367"/>
      <c r="CM116" s="367"/>
      <c r="CN116" s="367"/>
      <c r="CO116" s="367"/>
      <c r="CP116" s="367"/>
      <c r="CQ116" s="367"/>
      <c r="CR116" s="367"/>
      <c r="CS116" s="367"/>
      <c r="CT116" s="367"/>
      <c r="CU116" s="367"/>
      <c r="CV116" s="367"/>
      <c r="CW116" s="367"/>
      <c r="CX116" s="367"/>
      <c r="CY116" s="367"/>
      <c r="CZ116" s="367"/>
      <c r="DA116" s="367"/>
      <c r="DB116" s="367"/>
      <c r="DC116" s="367"/>
      <c r="DD116" s="367"/>
      <c r="DE116" s="367"/>
      <c r="DF116" s="367"/>
      <c r="DG116" s="367"/>
      <c r="DH116" s="367"/>
      <c r="DI116" s="367"/>
      <c r="DJ116" s="367"/>
      <c r="DK116" s="367"/>
      <c r="DL116" s="367"/>
      <c r="DM116" s="367"/>
      <c r="DN116" s="367"/>
      <c r="DO116" s="367"/>
      <c r="DP116" s="367"/>
      <c r="DQ116" s="367"/>
      <c r="DR116" s="367"/>
      <c r="DS116" s="367"/>
      <c r="DT116" s="367"/>
      <c r="DU116" s="367"/>
      <c r="DV116" s="367"/>
      <c r="DW116" s="367"/>
      <c r="DX116" s="367"/>
      <c r="DY116" s="367"/>
      <c r="DZ116" s="197"/>
      <c r="EA116" s="197"/>
      <c r="EB116" s="197"/>
      <c r="EC116" s="197"/>
      <c r="ED116" s="197"/>
      <c r="EG116" s="367"/>
      <c r="EH116" s="367"/>
      <c r="EI116" s="367"/>
      <c r="EJ116" s="367"/>
      <c r="EK116" s="367"/>
      <c r="EL116" s="367"/>
      <c r="EM116" s="367"/>
      <c r="EN116" s="367"/>
      <c r="EO116" s="367"/>
      <c r="EP116" s="367"/>
      <c r="EQ116" s="367"/>
      <c r="ER116" s="367"/>
      <c r="ES116" s="367"/>
      <c r="ET116" s="367"/>
      <c r="EU116" s="367"/>
      <c r="EV116" s="367"/>
      <c r="EW116" s="367"/>
      <c r="EX116" s="367"/>
      <c r="EY116" s="367"/>
      <c r="EZ116" s="367"/>
      <c r="FA116" s="367"/>
      <c r="FB116" s="367"/>
      <c r="FC116" s="367"/>
      <c r="FD116" s="367"/>
      <c r="FE116" s="367"/>
      <c r="FF116" s="367"/>
      <c r="FG116" s="367"/>
      <c r="FH116" s="367"/>
      <c r="FI116" s="367"/>
      <c r="FJ116" s="367"/>
      <c r="FK116" s="367"/>
      <c r="FL116" s="367"/>
      <c r="FM116" s="367"/>
      <c r="FN116" s="367"/>
      <c r="FO116" s="367"/>
      <c r="FP116" s="367"/>
      <c r="FQ116" s="367"/>
      <c r="FR116" s="367"/>
      <c r="FS116" s="367"/>
      <c r="FT116" s="367"/>
      <c r="FU116" s="367"/>
      <c r="FV116" s="367"/>
      <c r="FW116" s="367"/>
      <c r="FX116" s="367"/>
      <c r="FY116" s="367"/>
      <c r="FZ116" s="367"/>
      <c r="HP116" s="178"/>
      <c r="HQ116" s="178"/>
      <c r="HR116" s="178"/>
      <c r="HS116" s="178"/>
      <c r="HT116" s="178"/>
      <c r="HU116" s="178"/>
      <c r="HV116" s="178"/>
      <c r="HW116" s="178"/>
      <c r="HX116" s="178"/>
      <c r="HY116" s="178"/>
      <c r="HZ116" s="178"/>
      <c r="IA116" s="178"/>
      <c r="IB116" s="178"/>
      <c r="IC116" s="178"/>
      <c r="ID116" s="178"/>
      <c r="IE116" s="178"/>
      <c r="IF116" s="178"/>
      <c r="IG116" s="178"/>
      <c r="IH116" s="178"/>
      <c r="II116" s="178"/>
      <c r="IJ116" s="178"/>
      <c r="IK116" s="178"/>
      <c r="IL116" s="178"/>
      <c r="IM116" s="178"/>
      <c r="IN116" s="178"/>
      <c r="IO116" s="178"/>
      <c r="IP116" s="178"/>
      <c r="IQ116" s="178"/>
      <c r="IR116" s="178"/>
      <c r="IS116" s="178"/>
      <c r="IT116" s="178"/>
      <c r="IU116" s="178"/>
      <c r="IV116" s="178"/>
      <c r="IW116" s="178"/>
      <c r="IX116" s="178"/>
      <c r="IY116" s="178"/>
      <c r="IZ116" s="178"/>
      <c r="JA116" s="178"/>
      <c r="JB116" s="178"/>
      <c r="JC116" s="178"/>
      <c r="JD116" s="178"/>
      <c r="JE116" s="178"/>
      <c r="JF116" s="178"/>
      <c r="JG116" s="178"/>
      <c r="JH116" s="178"/>
      <c r="JN116" s="371"/>
      <c r="JO116" s="372"/>
      <c r="JP116" s="372"/>
      <c r="JQ116" s="372"/>
      <c r="JR116" s="372"/>
      <c r="JS116" s="372"/>
      <c r="JT116" s="372"/>
      <c r="JU116" s="372"/>
      <c r="JV116" s="372"/>
      <c r="JW116" s="372"/>
      <c r="JX116" s="372"/>
      <c r="JY116" s="372"/>
      <c r="JZ116" s="372"/>
      <c r="KA116" s="372"/>
      <c r="KB116" s="372"/>
      <c r="KC116" s="372"/>
      <c r="KD116" s="372"/>
      <c r="KE116" s="372"/>
      <c r="KF116" s="372"/>
      <c r="KG116" s="372"/>
      <c r="KH116" s="372"/>
      <c r="KI116" s="372"/>
      <c r="KJ116" s="372"/>
      <c r="KK116" s="372"/>
      <c r="KL116" s="372"/>
      <c r="KM116" s="372"/>
      <c r="KN116" s="372"/>
      <c r="KO116" s="372"/>
      <c r="KP116" s="372"/>
      <c r="KQ116" s="372"/>
      <c r="KR116" s="372"/>
      <c r="KS116" s="372"/>
      <c r="KT116" s="372"/>
      <c r="KU116" s="372"/>
      <c r="KV116" s="372"/>
      <c r="KW116" s="372"/>
      <c r="KX116" s="372"/>
      <c r="KY116" s="372"/>
      <c r="KZ116" s="372"/>
      <c r="LA116" s="373"/>
      <c r="LB116" s="333"/>
      <c r="LC116" s="334"/>
      <c r="LD116" s="334"/>
      <c r="LE116" s="334"/>
      <c r="LF116" s="341"/>
      <c r="LK116" s="361"/>
      <c r="LL116" s="362"/>
      <c r="LM116" s="362"/>
      <c r="LN116" s="362"/>
      <c r="LO116" s="362"/>
      <c r="LP116" s="362"/>
      <c r="LQ116" s="362"/>
      <c r="LR116" s="362"/>
      <c r="LS116" s="362"/>
      <c r="LT116" s="362"/>
      <c r="LU116" s="362"/>
      <c r="LV116" s="362"/>
      <c r="LW116" s="362"/>
      <c r="LX116" s="362"/>
      <c r="LY116" s="362"/>
      <c r="LZ116" s="362"/>
      <c r="MA116" s="362"/>
      <c r="MB116" s="362"/>
      <c r="MC116" s="362"/>
      <c r="MD116" s="362"/>
      <c r="ME116" s="362"/>
      <c r="MF116" s="362"/>
      <c r="MG116" s="362"/>
      <c r="MH116" s="362"/>
      <c r="MI116" s="362"/>
      <c r="MJ116" s="362"/>
      <c r="MK116" s="362"/>
      <c r="ML116" s="362"/>
      <c r="MM116" s="362"/>
      <c r="MN116" s="362"/>
      <c r="MO116" s="362"/>
      <c r="MP116" s="362"/>
      <c r="MQ116" s="362"/>
      <c r="MR116" s="362"/>
      <c r="MS116" s="362"/>
      <c r="MT116" s="362"/>
      <c r="MU116" s="362"/>
      <c r="MV116" s="362"/>
      <c r="MW116" s="362"/>
      <c r="MX116" s="363"/>
      <c r="MY116" s="333"/>
      <c r="MZ116" s="334"/>
      <c r="NA116" s="334"/>
      <c r="NB116" s="334"/>
      <c r="NC116" s="341"/>
      <c r="QE116" s="164"/>
      <c r="QF116" s="164"/>
      <c r="QG116" s="164"/>
      <c r="QH116" s="164"/>
      <c r="QI116" s="164"/>
      <c r="QJ116" s="164"/>
      <c r="QK116" s="164"/>
      <c r="QL116" s="164"/>
      <c r="QM116" s="164"/>
      <c r="QQ116" s="165"/>
      <c r="QR116" s="166"/>
      <c r="QS116" s="189"/>
      <c r="QT116" s="189"/>
      <c r="QU116" s="189"/>
      <c r="QV116" s="189"/>
      <c r="QW116" s="190"/>
    </row>
    <row r="117" spans="3:465" ht="5.15" customHeight="1" x14ac:dyDescent="0.35">
      <c r="C117" s="161"/>
      <c r="D117" s="162"/>
      <c r="E117" s="164"/>
      <c r="CF117" s="367"/>
      <c r="CG117" s="367"/>
      <c r="CH117" s="367"/>
      <c r="CI117" s="367"/>
      <c r="CJ117" s="367"/>
      <c r="CK117" s="367"/>
      <c r="CL117" s="367"/>
      <c r="CM117" s="367"/>
      <c r="CN117" s="367"/>
      <c r="CO117" s="367"/>
      <c r="CP117" s="367"/>
      <c r="CQ117" s="367"/>
      <c r="CR117" s="367"/>
      <c r="CS117" s="367"/>
      <c r="CT117" s="367"/>
      <c r="CU117" s="367"/>
      <c r="CV117" s="367"/>
      <c r="CW117" s="367"/>
      <c r="CX117" s="367"/>
      <c r="CY117" s="367"/>
      <c r="CZ117" s="367"/>
      <c r="DA117" s="367"/>
      <c r="DB117" s="367"/>
      <c r="DC117" s="367"/>
      <c r="DD117" s="367"/>
      <c r="DE117" s="367"/>
      <c r="DF117" s="367"/>
      <c r="DG117" s="367"/>
      <c r="DH117" s="367"/>
      <c r="DI117" s="367"/>
      <c r="DJ117" s="367"/>
      <c r="DK117" s="367"/>
      <c r="DL117" s="367"/>
      <c r="DM117" s="367"/>
      <c r="DN117" s="367"/>
      <c r="DO117" s="367"/>
      <c r="DP117" s="367"/>
      <c r="DQ117" s="367"/>
      <c r="DR117" s="367"/>
      <c r="DS117" s="367"/>
      <c r="DT117" s="367"/>
      <c r="DU117" s="367"/>
      <c r="DV117" s="367"/>
      <c r="DW117" s="367"/>
      <c r="DX117" s="367"/>
      <c r="DY117" s="367"/>
      <c r="DZ117" s="197"/>
      <c r="EA117" s="197"/>
      <c r="EB117" s="197"/>
      <c r="EC117" s="197"/>
      <c r="ED117" s="197"/>
      <c r="EG117" s="367"/>
      <c r="EH117" s="367"/>
      <c r="EI117" s="367"/>
      <c r="EJ117" s="367"/>
      <c r="EK117" s="367"/>
      <c r="EL117" s="367"/>
      <c r="EM117" s="367"/>
      <c r="EN117" s="367"/>
      <c r="EO117" s="367"/>
      <c r="EP117" s="367"/>
      <c r="EQ117" s="367"/>
      <c r="ER117" s="367"/>
      <c r="ES117" s="367"/>
      <c r="ET117" s="367"/>
      <c r="EU117" s="367"/>
      <c r="EV117" s="367"/>
      <c r="EW117" s="367"/>
      <c r="EX117" s="367"/>
      <c r="EY117" s="367"/>
      <c r="EZ117" s="367"/>
      <c r="FA117" s="367"/>
      <c r="FB117" s="367"/>
      <c r="FC117" s="367"/>
      <c r="FD117" s="367"/>
      <c r="FE117" s="367"/>
      <c r="FF117" s="367"/>
      <c r="FG117" s="367"/>
      <c r="FH117" s="367"/>
      <c r="FI117" s="367"/>
      <c r="FJ117" s="367"/>
      <c r="FK117" s="367"/>
      <c r="FL117" s="367"/>
      <c r="FM117" s="367"/>
      <c r="FN117" s="367"/>
      <c r="FO117" s="367"/>
      <c r="FP117" s="367"/>
      <c r="FQ117" s="367"/>
      <c r="FR117" s="367"/>
      <c r="FS117" s="367"/>
      <c r="FT117" s="367"/>
      <c r="FU117" s="367"/>
      <c r="FV117" s="367"/>
      <c r="FW117" s="367"/>
      <c r="FX117" s="367"/>
      <c r="FY117" s="367"/>
      <c r="FZ117" s="367"/>
      <c r="HP117" s="178"/>
      <c r="HQ117" s="178"/>
      <c r="HR117" s="178"/>
      <c r="HS117" s="178"/>
      <c r="HT117" s="178"/>
      <c r="HU117" s="178"/>
      <c r="HV117" s="178"/>
      <c r="HW117" s="178"/>
      <c r="HX117" s="178"/>
      <c r="HY117" s="178"/>
      <c r="HZ117" s="178"/>
      <c r="IA117" s="178"/>
      <c r="IB117" s="178"/>
      <c r="IC117" s="178"/>
      <c r="ID117" s="178"/>
      <c r="IE117" s="178"/>
      <c r="IF117" s="178"/>
      <c r="IG117" s="178"/>
      <c r="IH117" s="178"/>
      <c r="II117" s="178"/>
      <c r="IJ117" s="178"/>
      <c r="IK117" s="178"/>
      <c r="IL117" s="178"/>
      <c r="IM117" s="178"/>
      <c r="IN117" s="178"/>
      <c r="IO117" s="178"/>
      <c r="IP117" s="178"/>
      <c r="IQ117" s="178"/>
      <c r="IR117" s="178"/>
      <c r="IS117" s="178"/>
      <c r="IT117" s="178"/>
      <c r="IU117" s="178"/>
      <c r="IV117" s="178"/>
      <c r="IW117" s="178"/>
      <c r="IX117" s="178"/>
      <c r="IY117" s="178"/>
      <c r="IZ117" s="178"/>
      <c r="JA117" s="178"/>
      <c r="JB117" s="178"/>
      <c r="JC117" s="178"/>
      <c r="JD117" s="178"/>
      <c r="JE117" s="178"/>
      <c r="JF117" s="178"/>
      <c r="JG117" s="178"/>
      <c r="JH117" s="178"/>
      <c r="JN117" s="371"/>
      <c r="JO117" s="372"/>
      <c r="JP117" s="372"/>
      <c r="JQ117" s="372"/>
      <c r="JR117" s="372"/>
      <c r="JS117" s="372"/>
      <c r="JT117" s="372"/>
      <c r="JU117" s="372"/>
      <c r="JV117" s="372"/>
      <c r="JW117" s="372"/>
      <c r="JX117" s="372"/>
      <c r="JY117" s="372"/>
      <c r="JZ117" s="372"/>
      <c r="KA117" s="372"/>
      <c r="KB117" s="372"/>
      <c r="KC117" s="372"/>
      <c r="KD117" s="372"/>
      <c r="KE117" s="372"/>
      <c r="KF117" s="372"/>
      <c r="KG117" s="372"/>
      <c r="KH117" s="372"/>
      <c r="KI117" s="372"/>
      <c r="KJ117" s="372"/>
      <c r="KK117" s="372"/>
      <c r="KL117" s="372"/>
      <c r="KM117" s="372"/>
      <c r="KN117" s="372"/>
      <c r="KO117" s="372"/>
      <c r="KP117" s="372"/>
      <c r="KQ117" s="372"/>
      <c r="KR117" s="372"/>
      <c r="KS117" s="372"/>
      <c r="KT117" s="372"/>
      <c r="KU117" s="372"/>
      <c r="KV117" s="372"/>
      <c r="KW117" s="372"/>
      <c r="KX117" s="372"/>
      <c r="KY117" s="372"/>
      <c r="KZ117" s="372"/>
      <c r="LA117" s="373"/>
      <c r="LB117" s="333"/>
      <c r="LC117" s="334"/>
      <c r="LD117" s="334"/>
      <c r="LE117" s="334"/>
      <c r="LF117" s="341"/>
      <c r="LK117" s="361"/>
      <c r="LL117" s="362"/>
      <c r="LM117" s="362"/>
      <c r="LN117" s="362"/>
      <c r="LO117" s="362"/>
      <c r="LP117" s="362"/>
      <c r="LQ117" s="362"/>
      <c r="LR117" s="362"/>
      <c r="LS117" s="362"/>
      <c r="LT117" s="362"/>
      <c r="LU117" s="362"/>
      <c r="LV117" s="362"/>
      <c r="LW117" s="362"/>
      <c r="LX117" s="362"/>
      <c r="LY117" s="362"/>
      <c r="LZ117" s="362"/>
      <c r="MA117" s="362"/>
      <c r="MB117" s="362"/>
      <c r="MC117" s="362"/>
      <c r="MD117" s="362"/>
      <c r="ME117" s="362"/>
      <c r="MF117" s="362"/>
      <c r="MG117" s="362"/>
      <c r="MH117" s="362"/>
      <c r="MI117" s="362"/>
      <c r="MJ117" s="362"/>
      <c r="MK117" s="362"/>
      <c r="ML117" s="362"/>
      <c r="MM117" s="362"/>
      <c r="MN117" s="362"/>
      <c r="MO117" s="362"/>
      <c r="MP117" s="362"/>
      <c r="MQ117" s="362"/>
      <c r="MR117" s="362"/>
      <c r="MS117" s="362"/>
      <c r="MT117" s="362"/>
      <c r="MU117" s="362"/>
      <c r="MV117" s="362"/>
      <c r="MW117" s="362"/>
      <c r="MX117" s="363"/>
      <c r="MY117" s="333"/>
      <c r="MZ117" s="334"/>
      <c r="NA117" s="334"/>
      <c r="NB117" s="334"/>
      <c r="NC117" s="341"/>
      <c r="QM117" s="164"/>
      <c r="QQ117" s="165"/>
      <c r="QR117" s="166"/>
      <c r="QS117" s="189"/>
      <c r="QT117" s="189"/>
      <c r="QU117" s="189"/>
      <c r="QV117" s="189"/>
      <c r="QW117" s="190"/>
    </row>
    <row r="118" spans="3:465" ht="5.15" customHeight="1" x14ac:dyDescent="0.35">
      <c r="C118" s="161"/>
      <c r="D118" s="162"/>
      <c r="E118" s="164"/>
      <c r="CF118" s="367"/>
      <c r="CG118" s="367"/>
      <c r="CH118" s="367"/>
      <c r="CI118" s="367"/>
      <c r="CJ118" s="367"/>
      <c r="CK118" s="367"/>
      <c r="CL118" s="367"/>
      <c r="CM118" s="367"/>
      <c r="CN118" s="367"/>
      <c r="CO118" s="367"/>
      <c r="CP118" s="367"/>
      <c r="CQ118" s="367"/>
      <c r="CR118" s="367"/>
      <c r="CS118" s="367"/>
      <c r="CT118" s="367"/>
      <c r="CU118" s="367"/>
      <c r="CV118" s="367"/>
      <c r="CW118" s="367"/>
      <c r="CX118" s="367"/>
      <c r="CY118" s="367"/>
      <c r="CZ118" s="367"/>
      <c r="DA118" s="367"/>
      <c r="DB118" s="367"/>
      <c r="DC118" s="367"/>
      <c r="DD118" s="367"/>
      <c r="DE118" s="367"/>
      <c r="DF118" s="367"/>
      <c r="DG118" s="367"/>
      <c r="DH118" s="367"/>
      <c r="DI118" s="367"/>
      <c r="DJ118" s="367"/>
      <c r="DK118" s="367"/>
      <c r="DL118" s="367"/>
      <c r="DM118" s="367"/>
      <c r="DN118" s="367"/>
      <c r="DO118" s="367"/>
      <c r="DP118" s="367"/>
      <c r="DQ118" s="367"/>
      <c r="DR118" s="367"/>
      <c r="DS118" s="367"/>
      <c r="DT118" s="367"/>
      <c r="DU118" s="367"/>
      <c r="DV118" s="367"/>
      <c r="DW118" s="367"/>
      <c r="DX118" s="367"/>
      <c r="DY118" s="367"/>
      <c r="DZ118" s="197"/>
      <c r="EA118" s="197"/>
      <c r="EB118" s="197"/>
      <c r="EC118" s="197"/>
      <c r="ED118" s="197"/>
      <c r="EG118" s="367"/>
      <c r="EH118" s="367"/>
      <c r="EI118" s="367"/>
      <c r="EJ118" s="367"/>
      <c r="EK118" s="367"/>
      <c r="EL118" s="367"/>
      <c r="EM118" s="367"/>
      <c r="EN118" s="367"/>
      <c r="EO118" s="367"/>
      <c r="EP118" s="367"/>
      <c r="EQ118" s="367"/>
      <c r="ER118" s="367"/>
      <c r="ES118" s="367"/>
      <c r="ET118" s="367"/>
      <c r="EU118" s="367"/>
      <c r="EV118" s="367"/>
      <c r="EW118" s="367"/>
      <c r="EX118" s="367"/>
      <c r="EY118" s="367"/>
      <c r="EZ118" s="367"/>
      <c r="FA118" s="367"/>
      <c r="FB118" s="367"/>
      <c r="FC118" s="367"/>
      <c r="FD118" s="367"/>
      <c r="FE118" s="367"/>
      <c r="FF118" s="367"/>
      <c r="FG118" s="367"/>
      <c r="FH118" s="367"/>
      <c r="FI118" s="367"/>
      <c r="FJ118" s="367"/>
      <c r="FK118" s="367"/>
      <c r="FL118" s="367"/>
      <c r="FM118" s="367"/>
      <c r="FN118" s="367"/>
      <c r="FO118" s="367"/>
      <c r="FP118" s="367"/>
      <c r="FQ118" s="367"/>
      <c r="FR118" s="367"/>
      <c r="FS118" s="367"/>
      <c r="FT118" s="367"/>
      <c r="FU118" s="367"/>
      <c r="FV118" s="367"/>
      <c r="FW118" s="367"/>
      <c r="FX118" s="367"/>
      <c r="FY118" s="367"/>
      <c r="FZ118" s="367"/>
      <c r="HP118" s="178"/>
      <c r="HQ118" s="178"/>
      <c r="HR118" s="178"/>
      <c r="HS118" s="178"/>
      <c r="HT118" s="178"/>
      <c r="HU118" s="178"/>
      <c r="HV118" s="178"/>
      <c r="HW118" s="178"/>
      <c r="HX118" s="178"/>
      <c r="HY118" s="178"/>
      <c r="HZ118" s="178"/>
      <c r="IA118" s="178"/>
      <c r="IB118" s="178"/>
      <c r="IC118" s="178"/>
      <c r="ID118" s="178"/>
      <c r="IE118" s="178"/>
      <c r="IF118" s="178"/>
      <c r="IG118" s="178"/>
      <c r="IH118" s="178"/>
      <c r="II118" s="178"/>
      <c r="IJ118" s="178"/>
      <c r="IK118" s="178"/>
      <c r="IL118" s="178"/>
      <c r="IM118" s="178"/>
      <c r="IN118" s="178"/>
      <c r="IO118" s="178"/>
      <c r="IP118" s="178"/>
      <c r="IQ118" s="178"/>
      <c r="IR118" s="178"/>
      <c r="IS118" s="178"/>
      <c r="IT118" s="178"/>
      <c r="IU118" s="178"/>
      <c r="IV118" s="178"/>
      <c r="IW118" s="178"/>
      <c r="IX118" s="178"/>
      <c r="IY118" s="178"/>
      <c r="IZ118" s="178"/>
      <c r="JA118" s="178"/>
      <c r="JB118" s="178"/>
      <c r="JC118" s="178"/>
      <c r="JD118" s="178"/>
      <c r="JE118" s="178"/>
      <c r="JF118" s="178"/>
      <c r="JG118" s="178"/>
      <c r="JH118" s="178"/>
      <c r="JN118" s="371"/>
      <c r="JO118" s="372"/>
      <c r="JP118" s="372"/>
      <c r="JQ118" s="372"/>
      <c r="JR118" s="372"/>
      <c r="JS118" s="372"/>
      <c r="JT118" s="372"/>
      <c r="JU118" s="372"/>
      <c r="JV118" s="372"/>
      <c r="JW118" s="372"/>
      <c r="JX118" s="372"/>
      <c r="JY118" s="372"/>
      <c r="JZ118" s="372"/>
      <c r="KA118" s="372"/>
      <c r="KB118" s="372"/>
      <c r="KC118" s="372"/>
      <c r="KD118" s="372"/>
      <c r="KE118" s="372"/>
      <c r="KF118" s="372"/>
      <c r="KG118" s="372"/>
      <c r="KH118" s="372"/>
      <c r="KI118" s="372"/>
      <c r="KJ118" s="372"/>
      <c r="KK118" s="372"/>
      <c r="KL118" s="372"/>
      <c r="KM118" s="372"/>
      <c r="KN118" s="372"/>
      <c r="KO118" s="372"/>
      <c r="KP118" s="372"/>
      <c r="KQ118" s="372"/>
      <c r="KR118" s="372"/>
      <c r="KS118" s="372"/>
      <c r="KT118" s="372"/>
      <c r="KU118" s="372"/>
      <c r="KV118" s="372"/>
      <c r="KW118" s="372"/>
      <c r="KX118" s="372"/>
      <c r="KY118" s="372"/>
      <c r="KZ118" s="372"/>
      <c r="LA118" s="373"/>
      <c r="LB118" s="333"/>
      <c r="LC118" s="334"/>
      <c r="LD118" s="334"/>
      <c r="LE118" s="334"/>
      <c r="LF118" s="341"/>
      <c r="LK118" s="361"/>
      <c r="LL118" s="362"/>
      <c r="LM118" s="362"/>
      <c r="LN118" s="362"/>
      <c r="LO118" s="362"/>
      <c r="LP118" s="362"/>
      <c r="LQ118" s="362"/>
      <c r="LR118" s="362"/>
      <c r="LS118" s="362"/>
      <c r="LT118" s="362"/>
      <c r="LU118" s="362"/>
      <c r="LV118" s="362"/>
      <c r="LW118" s="362"/>
      <c r="LX118" s="362"/>
      <c r="LY118" s="362"/>
      <c r="LZ118" s="362"/>
      <c r="MA118" s="362"/>
      <c r="MB118" s="362"/>
      <c r="MC118" s="362"/>
      <c r="MD118" s="362"/>
      <c r="ME118" s="362"/>
      <c r="MF118" s="362"/>
      <c r="MG118" s="362"/>
      <c r="MH118" s="362"/>
      <c r="MI118" s="362"/>
      <c r="MJ118" s="362"/>
      <c r="MK118" s="362"/>
      <c r="ML118" s="362"/>
      <c r="MM118" s="362"/>
      <c r="MN118" s="362"/>
      <c r="MO118" s="362"/>
      <c r="MP118" s="362"/>
      <c r="MQ118" s="362"/>
      <c r="MR118" s="362"/>
      <c r="MS118" s="362"/>
      <c r="MT118" s="362"/>
      <c r="MU118" s="362"/>
      <c r="MV118" s="362"/>
      <c r="MW118" s="362"/>
      <c r="MX118" s="363"/>
      <c r="MY118" s="333"/>
      <c r="MZ118" s="334"/>
      <c r="NA118" s="334"/>
      <c r="NB118" s="334"/>
      <c r="NC118" s="341"/>
      <c r="QM118" s="164"/>
      <c r="QQ118" s="165"/>
      <c r="QR118" s="166"/>
      <c r="QS118" s="189"/>
      <c r="QT118" s="189"/>
      <c r="QU118" s="189"/>
      <c r="QV118" s="189"/>
      <c r="QW118" s="190"/>
    </row>
    <row r="119" spans="3:465" ht="5.15" customHeight="1" x14ac:dyDescent="0.35">
      <c r="C119" s="161"/>
      <c r="D119" s="162"/>
      <c r="E119" s="164"/>
      <c r="DC119" s="198"/>
      <c r="DZ119" s="178"/>
      <c r="EA119" s="178"/>
      <c r="EB119" s="178"/>
      <c r="EC119" s="178"/>
      <c r="ED119" s="178"/>
      <c r="FD119" s="198"/>
      <c r="HP119" s="178"/>
      <c r="HQ119" s="178"/>
      <c r="HR119" s="178"/>
      <c r="HS119" s="178"/>
      <c r="HT119" s="178"/>
      <c r="HU119" s="178"/>
      <c r="HV119" s="178"/>
      <c r="HW119" s="178"/>
      <c r="HX119" s="178"/>
      <c r="HY119" s="178"/>
      <c r="HZ119" s="178"/>
      <c r="IA119" s="178"/>
      <c r="IB119" s="178"/>
      <c r="IC119" s="178"/>
      <c r="ID119" s="178"/>
      <c r="IE119" s="178"/>
      <c r="IF119" s="178"/>
      <c r="IG119" s="178"/>
      <c r="IH119" s="178"/>
      <c r="II119" s="178"/>
      <c r="IJ119" s="178"/>
      <c r="IK119" s="178"/>
      <c r="IL119" s="178"/>
      <c r="IM119" s="178"/>
      <c r="IN119" s="178"/>
      <c r="IO119" s="178"/>
      <c r="IP119" s="178"/>
      <c r="IQ119" s="178"/>
      <c r="IR119" s="178"/>
      <c r="IS119" s="178"/>
      <c r="IT119" s="178"/>
      <c r="IU119" s="178"/>
      <c r="IV119" s="178"/>
      <c r="IW119" s="178"/>
      <c r="IX119" s="178"/>
      <c r="IY119" s="178"/>
      <c r="IZ119" s="178"/>
      <c r="JA119" s="178"/>
      <c r="JB119" s="178"/>
      <c r="JC119" s="178"/>
      <c r="JD119" s="178"/>
      <c r="JE119" s="178"/>
      <c r="JF119" s="178"/>
      <c r="JG119" s="178"/>
      <c r="JH119" s="178"/>
      <c r="JN119" s="371"/>
      <c r="JO119" s="372"/>
      <c r="JP119" s="372"/>
      <c r="JQ119" s="372"/>
      <c r="JR119" s="372"/>
      <c r="JS119" s="372"/>
      <c r="JT119" s="372"/>
      <c r="JU119" s="372"/>
      <c r="JV119" s="372"/>
      <c r="JW119" s="372"/>
      <c r="JX119" s="372"/>
      <c r="JY119" s="372"/>
      <c r="JZ119" s="372"/>
      <c r="KA119" s="372"/>
      <c r="KB119" s="372"/>
      <c r="KC119" s="372"/>
      <c r="KD119" s="372"/>
      <c r="KE119" s="372"/>
      <c r="KF119" s="372"/>
      <c r="KG119" s="372"/>
      <c r="KH119" s="372"/>
      <c r="KI119" s="372"/>
      <c r="KJ119" s="372"/>
      <c r="KK119" s="372"/>
      <c r="KL119" s="372"/>
      <c r="KM119" s="372"/>
      <c r="KN119" s="372"/>
      <c r="KO119" s="372"/>
      <c r="KP119" s="372"/>
      <c r="KQ119" s="372"/>
      <c r="KR119" s="372"/>
      <c r="KS119" s="372"/>
      <c r="KT119" s="372"/>
      <c r="KU119" s="372"/>
      <c r="KV119" s="372"/>
      <c r="KW119" s="372"/>
      <c r="KX119" s="372"/>
      <c r="KY119" s="372"/>
      <c r="KZ119" s="372"/>
      <c r="LA119" s="373"/>
      <c r="LB119" s="333"/>
      <c r="LC119" s="334"/>
      <c r="LD119" s="334"/>
      <c r="LE119" s="334"/>
      <c r="LF119" s="341"/>
      <c r="LK119" s="361"/>
      <c r="LL119" s="362"/>
      <c r="LM119" s="362"/>
      <c r="LN119" s="362"/>
      <c r="LO119" s="362"/>
      <c r="LP119" s="362"/>
      <c r="LQ119" s="362"/>
      <c r="LR119" s="362"/>
      <c r="LS119" s="362"/>
      <c r="LT119" s="362"/>
      <c r="LU119" s="362"/>
      <c r="LV119" s="362"/>
      <c r="LW119" s="362"/>
      <c r="LX119" s="362"/>
      <c r="LY119" s="362"/>
      <c r="LZ119" s="362"/>
      <c r="MA119" s="362"/>
      <c r="MB119" s="362"/>
      <c r="MC119" s="362"/>
      <c r="MD119" s="362"/>
      <c r="ME119" s="362"/>
      <c r="MF119" s="362"/>
      <c r="MG119" s="362"/>
      <c r="MH119" s="362"/>
      <c r="MI119" s="362"/>
      <c r="MJ119" s="362"/>
      <c r="MK119" s="362"/>
      <c r="ML119" s="362"/>
      <c r="MM119" s="362"/>
      <c r="MN119" s="362"/>
      <c r="MO119" s="362"/>
      <c r="MP119" s="362"/>
      <c r="MQ119" s="362"/>
      <c r="MR119" s="362"/>
      <c r="MS119" s="362"/>
      <c r="MT119" s="362"/>
      <c r="MU119" s="362"/>
      <c r="MV119" s="362"/>
      <c r="MW119" s="362"/>
      <c r="MX119" s="363"/>
      <c r="MY119" s="333"/>
      <c r="MZ119" s="334"/>
      <c r="NA119" s="334"/>
      <c r="NB119" s="334"/>
      <c r="NC119" s="341"/>
      <c r="QM119" s="164"/>
      <c r="QQ119" s="165"/>
      <c r="QR119" s="166"/>
      <c r="QS119" s="189"/>
      <c r="QT119" s="189"/>
      <c r="QU119" s="189"/>
      <c r="QV119" s="189"/>
      <c r="QW119" s="190"/>
    </row>
    <row r="120" spans="3:465" ht="5.15" customHeight="1" x14ac:dyDescent="0.35">
      <c r="C120" s="161"/>
      <c r="D120" s="162"/>
      <c r="E120" s="164"/>
      <c r="DC120" s="199"/>
      <c r="DZ120" s="178"/>
      <c r="EA120" s="178"/>
      <c r="EB120" s="178"/>
      <c r="EC120" s="178"/>
      <c r="ED120" s="178"/>
      <c r="FD120" s="199"/>
      <c r="HP120" s="178"/>
      <c r="HQ120" s="178"/>
      <c r="HR120" s="178"/>
      <c r="HS120" s="178"/>
      <c r="HT120" s="178"/>
      <c r="HU120" s="178"/>
      <c r="HV120" s="178"/>
      <c r="HW120" s="178"/>
      <c r="HX120" s="178"/>
      <c r="HY120" s="178"/>
      <c r="HZ120" s="178"/>
      <c r="IA120" s="178"/>
      <c r="IB120" s="178"/>
      <c r="IC120" s="178"/>
      <c r="ID120" s="178"/>
      <c r="IE120" s="178"/>
      <c r="IF120" s="178"/>
      <c r="IG120" s="178"/>
      <c r="IH120" s="178"/>
      <c r="II120" s="178"/>
      <c r="IJ120" s="178"/>
      <c r="IK120" s="178"/>
      <c r="IL120" s="178"/>
      <c r="IM120" s="178"/>
      <c r="IN120" s="178"/>
      <c r="IO120" s="178"/>
      <c r="IP120" s="178"/>
      <c r="IQ120" s="178"/>
      <c r="IR120" s="178"/>
      <c r="IS120" s="178"/>
      <c r="IT120" s="178"/>
      <c r="IU120" s="178"/>
      <c r="IV120" s="178"/>
      <c r="IW120" s="178"/>
      <c r="IX120" s="178"/>
      <c r="IY120" s="178"/>
      <c r="IZ120" s="178"/>
      <c r="JA120" s="178"/>
      <c r="JB120" s="178"/>
      <c r="JC120" s="178"/>
      <c r="JD120" s="178"/>
      <c r="JE120" s="178"/>
      <c r="JF120" s="178"/>
      <c r="JG120" s="178"/>
      <c r="JH120" s="178"/>
      <c r="JN120" s="371"/>
      <c r="JO120" s="372"/>
      <c r="JP120" s="372"/>
      <c r="JQ120" s="372"/>
      <c r="JR120" s="372"/>
      <c r="JS120" s="372"/>
      <c r="JT120" s="372"/>
      <c r="JU120" s="372"/>
      <c r="JV120" s="372"/>
      <c r="JW120" s="372"/>
      <c r="JX120" s="372"/>
      <c r="JY120" s="372"/>
      <c r="JZ120" s="372"/>
      <c r="KA120" s="372"/>
      <c r="KB120" s="372"/>
      <c r="KC120" s="372"/>
      <c r="KD120" s="372"/>
      <c r="KE120" s="372"/>
      <c r="KF120" s="372"/>
      <c r="KG120" s="372"/>
      <c r="KH120" s="372"/>
      <c r="KI120" s="372"/>
      <c r="KJ120" s="372"/>
      <c r="KK120" s="372"/>
      <c r="KL120" s="372"/>
      <c r="KM120" s="372"/>
      <c r="KN120" s="372"/>
      <c r="KO120" s="372"/>
      <c r="KP120" s="372"/>
      <c r="KQ120" s="372"/>
      <c r="KR120" s="372"/>
      <c r="KS120" s="372"/>
      <c r="KT120" s="372"/>
      <c r="KU120" s="372"/>
      <c r="KV120" s="372"/>
      <c r="KW120" s="372"/>
      <c r="KX120" s="372"/>
      <c r="KY120" s="372"/>
      <c r="KZ120" s="372"/>
      <c r="LA120" s="373"/>
      <c r="LB120" s="333"/>
      <c r="LC120" s="334"/>
      <c r="LD120" s="334"/>
      <c r="LE120" s="334"/>
      <c r="LF120" s="341"/>
      <c r="LK120" s="361"/>
      <c r="LL120" s="362"/>
      <c r="LM120" s="362"/>
      <c r="LN120" s="362"/>
      <c r="LO120" s="362"/>
      <c r="LP120" s="362"/>
      <c r="LQ120" s="362"/>
      <c r="LR120" s="362"/>
      <c r="LS120" s="362"/>
      <c r="LT120" s="362"/>
      <c r="LU120" s="362"/>
      <c r="LV120" s="362"/>
      <c r="LW120" s="362"/>
      <c r="LX120" s="362"/>
      <c r="LY120" s="362"/>
      <c r="LZ120" s="362"/>
      <c r="MA120" s="362"/>
      <c r="MB120" s="362"/>
      <c r="MC120" s="362"/>
      <c r="MD120" s="362"/>
      <c r="ME120" s="362"/>
      <c r="MF120" s="362"/>
      <c r="MG120" s="362"/>
      <c r="MH120" s="362"/>
      <c r="MI120" s="362"/>
      <c r="MJ120" s="362"/>
      <c r="MK120" s="362"/>
      <c r="ML120" s="362"/>
      <c r="MM120" s="362"/>
      <c r="MN120" s="362"/>
      <c r="MO120" s="362"/>
      <c r="MP120" s="362"/>
      <c r="MQ120" s="362"/>
      <c r="MR120" s="362"/>
      <c r="MS120" s="362"/>
      <c r="MT120" s="362"/>
      <c r="MU120" s="362"/>
      <c r="MV120" s="362"/>
      <c r="MW120" s="362"/>
      <c r="MX120" s="363"/>
      <c r="MY120" s="333"/>
      <c r="MZ120" s="334"/>
      <c r="NA120" s="334"/>
      <c r="NB120" s="334"/>
      <c r="NC120" s="341"/>
      <c r="QM120" s="164"/>
      <c r="QQ120" s="165"/>
      <c r="QR120" s="166"/>
      <c r="QS120" s="189"/>
      <c r="QT120" s="189"/>
      <c r="QU120" s="189"/>
      <c r="QV120" s="189"/>
      <c r="QW120" s="190"/>
    </row>
    <row r="121" spans="3:465" ht="5.15" customHeight="1" x14ac:dyDescent="0.35">
      <c r="C121" s="161"/>
      <c r="D121" s="162"/>
      <c r="E121" s="164"/>
      <c r="CF121" s="358" t="s">
        <v>289</v>
      </c>
      <c r="CG121" s="359"/>
      <c r="CH121" s="359"/>
      <c r="CI121" s="359"/>
      <c r="CJ121" s="359"/>
      <c r="CK121" s="359"/>
      <c r="CL121" s="359"/>
      <c r="CM121" s="359"/>
      <c r="CN121" s="359"/>
      <c r="CO121" s="359"/>
      <c r="CP121" s="359"/>
      <c r="CQ121" s="359"/>
      <c r="CR121" s="359"/>
      <c r="CS121" s="359"/>
      <c r="CT121" s="359"/>
      <c r="CU121" s="359"/>
      <c r="CV121" s="359"/>
      <c r="CW121" s="359"/>
      <c r="CX121" s="359"/>
      <c r="CY121" s="359"/>
      <c r="CZ121" s="359"/>
      <c r="DA121" s="359"/>
      <c r="DB121" s="359"/>
      <c r="DC121" s="359"/>
      <c r="DD121" s="359"/>
      <c r="DE121" s="359"/>
      <c r="DF121" s="359"/>
      <c r="DG121" s="359"/>
      <c r="DH121" s="359"/>
      <c r="DI121" s="359"/>
      <c r="DJ121" s="359"/>
      <c r="DK121" s="359"/>
      <c r="DL121" s="359"/>
      <c r="DM121" s="359"/>
      <c r="DN121" s="359"/>
      <c r="DO121" s="359"/>
      <c r="DP121" s="359"/>
      <c r="DQ121" s="359"/>
      <c r="DR121" s="359"/>
      <c r="DS121" s="359"/>
      <c r="DT121" s="360"/>
      <c r="DU121" s="330">
        <v>1</v>
      </c>
      <c r="DV121" s="331"/>
      <c r="DW121" s="331"/>
      <c r="DX121" s="331"/>
      <c r="DY121" s="340"/>
      <c r="DZ121" s="178"/>
      <c r="EA121" s="178"/>
      <c r="EB121" s="178"/>
      <c r="EC121" s="178"/>
      <c r="ED121" s="178"/>
      <c r="EG121" s="358" t="s">
        <v>290</v>
      </c>
      <c r="EH121" s="359"/>
      <c r="EI121" s="359"/>
      <c r="EJ121" s="359"/>
      <c r="EK121" s="359"/>
      <c r="EL121" s="359"/>
      <c r="EM121" s="359"/>
      <c r="EN121" s="359"/>
      <c r="EO121" s="359"/>
      <c r="EP121" s="359"/>
      <c r="EQ121" s="359"/>
      <c r="ER121" s="359"/>
      <c r="ES121" s="359"/>
      <c r="ET121" s="359"/>
      <c r="EU121" s="359"/>
      <c r="EV121" s="359"/>
      <c r="EW121" s="359"/>
      <c r="EX121" s="359"/>
      <c r="EY121" s="359"/>
      <c r="EZ121" s="359"/>
      <c r="FA121" s="359"/>
      <c r="FB121" s="359"/>
      <c r="FC121" s="359"/>
      <c r="FD121" s="359"/>
      <c r="FE121" s="359"/>
      <c r="FF121" s="359"/>
      <c r="FG121" s="359"/>
      <c r="FH121" s="359"/>
      <c r="FI121" s="359"/>
      <c r="FJ121" s="359"/>
      <c r="FK121" s="359"/>
      <c r="FL121" s="359"/>
      <c r="FM121" s="359"/>
      <c r="FN121" s="359"/>
      <c r="FO121" s="359"/>
      <c r="FP121" s="359"/>
      <c r="FQ121" s="359"/>
      <c r="FR121" s="359"/>
      <c r="FS121" s="359"/>
      <c r="FT121" s="359"/>
      <c r="FU121" s="360"/>
      <c r="FV121" s="330">
        <v>1</v>
      </c>
      <c r="FW121" s="331"/>
      <c r="FX121" s="331"/>
      <c r="FY121" s="331"/>
      <c r="FZ121" s="340"/>
      <c r="HP121" s="178"/>
      <c r="HQ121" s="178"/>
      <c r="HR121" s="178"/>
      <c r="HS121" s="178"/>
      <c r="HT121" s="178"/>
      <c r="HU121" s="178"/>
      <c r="HV121" s="178"/>
      <c r="HW121" s="178"/>
      <c r="HX121" s="178"/>
      <c r="HY121" s="178"/>
      <c r="HZ121" s="178"/>
      <c r="IA121" s="178"/>
      <c r="IB121" s="178"/>
      <c r="IC121" s="178"/>
      <c r="ID121" s="178"/>
      <c r="IE121" s="178"/>
      <c r="IF121" s="178"/>
      <c r="IG121" s="178"/>
      <c r="IH121" s="178"/>
      <c r="II121" s="178"/>
      <c r="IJ121" s="178"/>
      <c r="IK121" s="178"/>
      <c r="IL121" s="178"/>
      <c r="IM121" s="178"/>
      <c r="IN121" s="178"/>
      <c r="IO121" s="178"/>
      <c r="IP121" s="178"/>
      <c r="IQ121" s="178"/>
      <c r="IR121" s="178"/>
      <c r="IS121" s="178"/>
      <c r="IT121" s="178"/>
      <c r="IU121" s="178"/>
      <c r="IV121" s="178"/>
      <c r="IW121" s="178"/>
      <c r="IX121" s="178"/>
      <c r="IY121" s="178"/>
      <c r="IZ121" s="178"/>
      <c r="JA121" s="178"/>
      <c r="JB121" s="178"/>
      <c r="JC121" s="178"/>
      <c r="JD121" s="178"/>
      <c r="JE121" s="178"/>
      <c r="JF121" s="178"/>
      <c r="JG121" s="178"/>
      <c r="JH121" s="178"/>
      <c r="JN121" s="371"/>
      <c r="JO121" s="372"/>
      <c r="JP121" s="372"/>
      <c r="JQ121" s="372"/>
      <c r="JR121" s="372"/>
      <c r="JS121" s="372"/>
      <c r="JT121" s="372"/>
      <c r="JU121" s="372"/>
      <c r="JV121" s="372"/>
      <c r="JW121" s="372"/>
      <c r="JX121" s="372"/>
      <c r="JY121" s="372"/>
      <c r="JZ121" s="372"/>
      <c r="KA121" s="372"/>
      <c r="KB121" s="372"/>
      <c r="KC121" s="372"/>
      <c r="KD121" s="372"/>
      <c r="KE121" s="372"/>
      <c r="KF121" s="372"/>
      <c r="KG121" s="372"/>
      <c r="KH121" s="372"/>
      <c r="KI121" s="372"/>
      <c r="KJ121" s="372"/>
      <c r="KK121" s="372"/>
      <c r="KL121" s="372"/>
      <c r="KM121" s="372"/>
      <c r="KN121" s="372"/>
      <c r="KO121" s="372"/>
      <c r="KP121" s="372"/>
      <c r="KQ121" s="372"/>
      <c r="KR121" s="372"/>
      <c r="KS121" s="372"/>
      <c r="KT121" s="372"/>
      <c r="KU121" s="372"/>
      <c r="KV121" s="372"/>
      <c r="KW121" s="372"/>
      <c r="KX121" s="372"/>
      <c r="KY121" s="372"/>
      <c r="KZ121" s="372"/>
      <c r="LA121" s="373"/>
      <c r="LB121" s="333"/>
      <c r="LC121" s="334"/>
      <c r="LD121" s="334"/>
      <c r="LE121" s="334"/>
      <c r="LF121" s="341"/>
      <c r="LK121" s="361"/>
      <c r="LL121" s="362"/>
      <c r="LM121" s="362"/>
      <c r="LN121" s="362"/>
      <c r="LO121" s="362"/>
      <c r="LP121" s="362"/>
      <c r="LQ121" s="362"/>
      <c r="LR121" s="362"/>
      <c r="LS121" s="362"/>
      <c r="LT121" s="362"/>
      <c r="LU121" s="362"/>
      <c r="LV121" s="362"/>
      <c r="LW121" s="362"/>
      <c r="LX121" s="362"/>
      <c r="LY121" s="362"/>
      <c r="LZ121" s="362"/>
      <c r="MA121" s="362"/>
      <c r="MB121" s="362"/>
      <c r="MC121" s="362"/>
      <c r="MD121" s="362"/>
      <c r="ME121" s="362"/>
      <c r="MF121" s="362"/>
      <c r="MG121" s="362"/>
      <c r="MH121" s="362"/>
      <c r="MI121" s="362"/>
      <c r="MJ121" s="362"/>
      <c r="MK121" s="362"/>
      <c r="ML121" s="362"/>
      <c r="MM121" s="362"/>
      <c r="MN121" s="362"/>
      <c r="MO121" s="362"/>
      <c r="MP121" s="362"/>
      <c r="MQ121" s="362"/>
      <c r="MR121" s="362"/>
      <c r="MS121" s="362"/>
      <c r="MT121" s="362"/>
      <c r="MU121" s="362"/>
      <c r="MV121" s="362"/>
      <c r="MW121" s="362"/>
      <c r="MX121" s="363"/>
      <c r="MY121" s="333"/>
      <c r="MZ121" s="334"/>
      <c r="NA121" s="334"/>
      <c r="NB121" s="334"/>
      <c r="NC121" s="341"/>
      <c r="QM121" s="164"/>
      <c r="QQ121" s="165"/>
      <c r="QR121" s="166"/>
      <c r="QS121" s="189"/>
      <c r="QT121" s="189"/>
      <c r="QU121" s="189"/>
      <c r="QV121" s="189"/>
      <c r="QW121" s="190"/>
    </row>
    <row r="122" spans="3:465" ht="5.15" customHeight="1" x14ac:dyDescent="0.35">
      <c r="C122" s="161"/>
      <c r="D122" s="162"/>
      <c r="E122" s="164"/>
      <c r="CF122" s="361"/>
      <c r="CG122" s="362"/>
      <c r="CH122" s="362"/>
      <c r="CI122" s="362"/>
      <c r="CJ122" s="362"/>
      <c r="CK122" s="362"/>
      <c r="CL122" s="362"/>
      <c r="CM122" s="362"/>
      <c r="CN122" s="362"/>
      <c r="CO122" s="362"/>
      <c r="CP122" s="362"/>
      <c r="CQ122" s="362"/>
      <c r="CR122" s="362"/>
      <c r="CS122" s="362"/>
      <c r="CT122" s="362"/>
      <c r="CU122" s="362"/>
      <c r="CV122" s="362"/>
      <c r="CW122" s="362"/>
      <c r="CX122" s="362"/>
      <c r="CY122" s="362"/>
      <c r="CZ122" s="362"/>
      <c r="DA122" s="362"/>
      <c r="DB122" s="362"/>
      <c r="DC122" s="362"/>
      <c r="DD122" s="362"/>
      <c r="DE122" s="362"/>
      <c r="DF122" s="362"/>
      <c r="DG122" s="362"/>
      <c r="DH122" s="362"/>
      <c r="DI122" s="362"/>
      <c r="DJ122" s="362"/>
      <c r="DK122" s="362"/>
      <c r="DL122" s="362"/>
      <c r="DM122" s="362"/>
      <c r="DN122" s="362"/>
      <c r="DO122" s="362"/>
      <c r="DP122" s="362"/>
      <c r="DQ122" s="362"/>
      <c r="DR122" s="362"/>
      <c r="DS122" s="362"/>
      <c r="DT122" s="363"/>
      <c r="DU122" s="333"/>
      <c r="DV122" s="334"/>
      <c r="DW122" s="334"/>
      <c r="DX122" s="334"/>
      <c r="DY122" s="341"/>
      <c r="DZ122" s="178"/>
      <c r="EA122" s="178"/>
      <c r="EB122" s="178"/>
      <c r="EC122" s="178"/>
      <c r="ED122" s="178"/>
      <c r="EG122" s="361"/>
      <c r="EH122" s="362"/>
      <c r="EI122" s="362"/>
      <c r="EJ122" s="362"/>
      <c r="EK122" s="362"/>
      <c r="EL122" s="362"/>
      <c r="EM122" s="362"/>
      <c r="EN122" s="362"/>
      <c r="EO122" s="362"/>
      <c r="EP122" s="362"/>
      <c r="EQ122" s="362"/>
      <c r="ER122" s="362"/>
      <c r="ES122" s="362"/>
      <c r="ET122" s="362"/>
      <c r="EU122" s="362"/>
      <c r="EV122" s="362"/>
      <c r="EW122" s="362"/>
      <c r="EX122" s="362"/>
      <c r="EY122" s="362"/>
      <c r="EZ122" s="362"/>
      <c r="FA122" s="362"/>
      <c r="FB122" s="362"/>
      <c r="FC122" s="362"/>
      <c r="FD122" s="362"/>
      <c r="FE122" s="362"/>
      <c r="FF122" s="362"/>
      <c r="FG122" s="362"/>
      <c r="FH122" s="362"/>
      <c r="FI122" s="362"/>
      <c r="FJ122" s="362"/>
      <c r="FK122" s="362"/>
      <c r="FL122" s="362"/>
      <c r="FM122" s="362"/>
      <c r="FN122" s="362"/>
      <c r="FO122" s="362"/>
      <c r="FP122" s="362"/>
      <c r="FQ122" s="362"/>
      <c r="FR122" s="362"/>
      <c r="FS122" s="362"/>
      <c r="FT122" s="362"/>
      <c r="FU122" s="363"/>
      <c r="FV122" s="333"/>
      <c r="FW122" s="334"/>
      <c r="FX122" s="334"/>
      <c r="FY122" s="334"/>
      <c r="FZ122" s="341"/>
      <c r="HP122" s="178"/>
      <c r="HQ122" s="178"/>
      <c r="HR122" s="178"/>
      <c r="HS122" s="178"/>
      <c r="HT122" s="178"/>
      <c r="HU122" s="178"/>
      <c r="HV122" s="178"/>
      <c r="HW122" s="178"/>
      <c r="HX122" s="178"/>
      <c r="HY122" s="178"/>
      <c r="HZ122" s="178"/>
      <c r="IA122" s="178"/>
      <c r="IB122" s="178"/>
      <c r="IC122" s="178"/>
      <c r="ID122" s="178"/>
      <c r="IE122" s="178"/>
      <c r="IF122" s="178"/>
      <c r="IG122" s="178"/>
      <c r="IH122" s="178"/>
      <c r="II122" s="178"/>
      <c r="IJ122" s="178"/>
      <c r="IK122" s="178"/>
      <c r="IL122" s="178"/>
      <c r="IM122" s="178"/>
      <c r="IN122" s="178"/>
      <c r="IO122" s="178"/>
      <c r="IP122" s="178"/>
      <c r="IQ122" s="178"/>
      <c r="IR122" s="178"/>
      <c r="IS122" s="178"/>
      <c r="IT122" s="178"/>
      <c r="IU122" s="178"/>
      <c r="IV122" s="178"/>
      <c r="IW122" s="178"/>
      <c r="IX122" s="178"/>
      <c r="IY122" s="178"/>
      <c r="IZ122" s="178"/>
      <c r="JA122" s="178"/>
      <c r="JB122" s="178"/>
      <c r="JC122" s="178"/>
      <c r="JD122" s="178"/>
      <c r="JE122" s="178"/>
      <c r="JF122" s="178"/>
      <c r="JG122" s="178"/>
      <c r="JH122" s="178"/>
      <c r="JN122" s="374"/>
      <c r="JO122" s="375"/>
      <c r="JP122" s="375"/>
      <c r="JQ122" s="375"/>
      <c r="JR122" s="375"/>
      <c r="JS122" s="375"/>
      <c r="JT122" s="375"/>
      <c r="JU122" s="375"/>
      <c r="JV122" s="375"/>
      <c r="JW122" s="375"/>
      <c r="JX122" s="375"/>
      <c r="JY122" s="375"/>
      <c r="JZ122" s="375"/>
      <c r="KA122" s="375"/>
      <c r="KB122" s="375"/>
      <c r="KC122" s="375"/>
      <c r="KD122" s="375"/>
      <c r="KE122" s="375"/>
      <c r="KF122" s="375"/>
      <c r="KG122" s="375"/>
      <c r="KH122" s="375"/>
      <c r="KI122" s="375"/>
      <c r="KJ122" s="375"/>
      <c r="KK122" s="375"/>
      <c r="KL122" s="375"/>
      <c r="KM122" s="375"/>
      <c r="KN122" s="375"/>
      <c r="KO122" s="375"/>
      <c r="KP122" s="375"/>
      <c r="KQ122" s="375"/>
      <c r="KR122" s="375"/>
      <c r="KS122" s="375"/>
      <c r="KT122" s="375"/>
      <c r="KU122" s="375"/>
      <c r="KV122" s="375"/>
      <c r="KW122" s="375"/>
      <c r="KX122" s="375"/>
      <c r="KY122" s="375"/>
      <c r="KZ122" s="375"/>
      <c r="LA122" s="376"/>
      <c r="LB122" s="336"/>
      <c r="LC122" s="337"/>
      <c r="LD122" s="337"/>
      <c r="LE122" s="337"/>
      <c r="LF122" s="342"/>
      <c r="LK122" s="364"/>
      <c r="LL122" s="365"/>
      <c r="LM122" s="365"/>
      <c r="LN122" s="365"/>
      <c r="LO122" s="365"/>
      <c r="LP122" s="365"/>
      <c r="LQ122" s="365"/>
      <c r="LR122" s="365"/>
      <c r="LS122" s="365"/>
      <c r="LT122" s="365"/>
      <c r="LU122" s="365"/>
      <c r="LV122" s="365"/>
      <c r="LW122" s="365"/>
      <c r="LX122" s="365"/>
      <c r="LY122" s="365"/>
      <c r="LZ122" s="365"/>
      <c r="MA122" s="365"/>
      <c r="MB122" s="365"/>
      <c r="MC122" s="365"/>
      <c r="MD122" s="365"/>
      <c r="ME122" s="365"/>
      <c r="MF122" s="365"/>
      <c r="MG122" s="365"/>
      <c r="MH122" s="365"/>
      <c r="MI122" s="365"/>
      <c r="MJ122" s="365"/>
      <c r="MK122" s="365"/>
      <c r="ML122" s="365"/>
      <c r="MM122" s="365"/>
      <c r="MN122" s="365"/>
      <c r="MO122" s="365"/>
      <c r="MP122" s="365"/>
      <c r="MQ122" s="365"/>
      <c r="MR122" s="365"/>
      <c r="MS122" s="365"/>
      <c r="MT122" s="365"/>
      <c r="MU122" s="365"/>
      <c r="MV122" s="365"/>
      <c r="MW122" s="365"/>
      <c r="MX122" s="366"/>
      <c r="MY122" s="336"/>
      <c r="MZ122" s="337"/>
      <c r="NA122" s="337"/>
      <c r="NB122" s="337"/>
      <c r="NC122" s="342"/>
      <c r="QM122" s="164"/>
      <c r="QQ122" s="165"/>
      <c r="QR122" s="166"/>
      <c r="QS122" s="189"/>
      <c r="QT122" s="189"/>
      <c r="QU122" s="189"/>
      <c r="QV122" s="189"/>
      <c r="QW122" s="190"/>
    </row>
    <row r="123" spans="3:465" ht="5.15" customHeight="1" x14ac:dyDescent="0.35">
      <c r="C123" s="161"/>
      <c r="D123" s="162"/>
      <c r="E123" s="164"/>
      <c r="CF123" s="361"/>
      <c r="CG123" s="362"/>
      <c r="CH123" s="362"/>
      <c r="CI123" s="362"/>
      <c r="CJ123" s="362"/>
      <c r="CK123" s="362"/>
      <c r="CL123" s="362"/>
      <c r="CM123" s="362"/>
      <c r="CN123" s="362"/>
      <c r="CO123" s="362"/>
      <c r="CP123" s="362"/>
      <c r="CQ123" s="362"/>
      <c r="CR123" s="362"/>
      <c r="CS123" s="362"/>
      <c r="CT123" s="362"/>
      <c r="CU123" s="362"/>
      <c r="CV123" s="362"/>
      <c r="CW123" s="362"/>
      <c r="CX123" s="362"/>
      <c r="CY123" s="362"/>
      <c r="CZ123" s="362"/>
      <c r="DA123" s="362"/>
      <c r="DB123" s="362"/>
      <c r="DC123" s="362"/>
      <c r="DD123" s="362"/>
      <c r="DE123" s="362"/>
      <c r="DF123" s="362"/>
      <c r="DG123" s="362"/>
      <c r="DH123" s="362"/>
      <c r="DI123" s="362"/>
      <c r="DJ123" s="362"/>
      <c r="DK123" s="362"/>
      <c r="DL123" s="362"/>
      <c r="DM123" s="362"/>
      <c r="DN123" s="362"/>
      <c r="DO123" s="362"/>
      <c r="DP123" s="362"/>
      <c r="DQ123" s="362"/>
      <c r="DR123" s="362"/>
      <c r="DS123" s="362"/>
      <c r="DT123" s="363"/>
      <c r="DU123" s="333"/>
      <c r="DV123" s="334"/>
      <c r="DW123" s="334"/>
      <c r="DX123" s="334"/>
      <c r="DY123" s="341"/>
      <c r="DZ123" s="178"/>
      <c r="EA123" s="178"/>
      <c r="EB123" s="178"/>
      <c r="EC123" s="178"/>
      <c r="ED123" s="178"/>
      <c r="EG123" s="361"/>
      <c r="EH123" s="362"/>
      <c r="EI123" s="362"/>
      <c r="EJ123" s="362"/>
      <c r="EK123" s="362"/>
      <c r="EL123" s="362"/>
      <c r="EM123" s="362"/>
      <c r="EN123" s="362"/>
      <c r="EO123" s="362"/>
      <c r="EP123" s="362"/>
      <c r="EQ123" s="362"/>
      <c r="ER123" s="362"/>
      <c r="ES123" s="362"/>
      <c r="ET123" s="362"/>
      <c r="EU123" s="362"/>
      <c r="EV123" s="362"/>
      <c r="EW123" s="362"/>
      <c r="EX123" s="362"/>
      <c r="EY123" s="362"/>
      <c r="EZ123" s="362"/>
      <c r="FA123" s="362"/>
      <c r="FB123" s="362"/>
      <c r="FC123" s="362"/>
      <c r="FD123" s="362"/>
      <c r="FE123" s="362"/>
      <c r="FF123" s="362"/>
      <c r="FG123" s="362"/>
      <c r="FH123" s="362"/>
      <c r="FI123" s="362"/>
      <c r="FJ123" s="362"/>
      <c r="FK123" s="362"/>
      <c r="FL123" s="362"/>
      <c r="FM123" s="362"/>
      <c r="FN123" s="362"/>
      <c r="FO123" s="362"/>
      <c r="FP123" s="362"/>
      <c r="FQ123" s="362"/>
      <c r="FR123" s="362"/>
      <c r="FS123" s="362"/>
      <c r="FT123" s="362"/>
      <c r="FU123" s="363"/>
      <c r="FV123" s="333"/>
      <c r="FW123" s="334"/>
      <c r="FX123" s="334"/>
      <c r="FY123" s="334"/>
      <c r="FZ123" s="341"/>
      <c r="HP123" s="178"/>
      <c r="HQ123" s="178"/>
      <c r="HR123" s="178"/>
      <c r="HS123" s="178"/>
      <c r="HT123" s="178"/>
      <c r="HU123" s="178"/>
      <c r="HV123" s="178"/>
      <c r="HW123" s="178"/>
      <c r="HX123" s="178"/>
      <c r="HY123" s="178"/>
      <c r="HZ123" s="178"/>
      <c r="IA123" s="178"/>
      <c r="IB123" s="178"/>
      <c r="IC123" s="178"/>
      <c r="ID123" s="178"/>
      <c r="IE123" s="178"/>
      <c r="IF123" s="178"/>
      <c r="IG123" s="178"/>
      <c r="IH123" s="178"/>
      <c r="II123" s="178"/>
      <c r="IJ123" s="178"/>
      <c r="IK123" s="178"/>
      <c r="IL123" s="178"/>
      <c r="IM123" s="178"/>
      <c r="IN123" s="178"/>
      <c r="IO123" s="178"/>
      <c r="IP123" s="178"/>
      <c r="IQ123" s="178"/>
      <c r="IR123" s="178"/>
      <c r="IS123" s="178"/>
      <c r="IT123" s="178"/>
      <c r="IU123" s="178"/>
      <c r="IV123" s="178"/>
      <c r="IW123" s="178"/>
      <c r="IX123" s="178"/>
      <c r="IY123" s="178"/>
      <c r="IZ123" s="178"/>
      <c r="JA123" s="178"/>
      <c r="JB123" s="178"/>
      <c r="JC123" s="178"/>
      <c r="JD123" s="178"/>
      <c r="JE123" s="178"/>
      <c r="JF123" s="178"/>
      <c r="JG123" s="178"/>
      <c r="JH123" s="178"/>
      <c r="JN123" s="368" t="s">
        <v>294</v>
      </c>
      <c r="JO123" s="369"/>
      <c r="JP123" s="369"/>
      <c r="JQ123" s="369"/>
      <c r="JR123" s="369"/>
      <c r="JS123" s="369"/>
      <c r="JT123" s="369"/>
      <c r="JU123" s="369"/>
      <c r="JV123" s="369"/>
      <c r="JW123" s="369"/>
      <c r="JX123" s="369"/>
      <c r="JY123" s="369"/>
      <c r="JZ123" s="369"/>
      <c r="KA123" s="369"/>
      <c r="KB123" s="369"/>
      <c r="KC123" s="369"/>
      <c r="KD123" s="369"/>
      <c r="KE123" s="369"/>
      <c r="KF123" s="369"/>
      <c r="KG123" s="369"/>
      <c r="KH123" s="369"/>
      <c r="KI123" s="369"/>
      <c r="KJ123" s="369"/>
      <c r="KK123" s="369"/>
      <c r="KL123" s="369"/>
      <c r="KM123" s="369"/>
      <c r="KN123" s="369"/>
      <c r="KO123" s="369"/>
      <c r="KP123" s="369"/>
      <c r="KQ123" s="369"/>
      <c r="KR123" s="369"/>
      <c r="KS123" s="369"/>
      <c r="KT123" s="369"/>
      <c r="KU123" s="369"/>
      <c r="KV123" s="369"/>
      <c r="KW123" s="369"/>
      <c r="KX123" s="369"/>
      <c r="KY123" s="369"/>
      <c r="KZ123" s="369"/>
      <c r="LA123" s="370"/>
      <c r="LB123" s="330"/>
      <c r="LC123" s="331"/>
      <c r="LD123" s="331"/>
      <c r="LE123" s="331"/>
      <c r="LF123" s="340"/>
      <c r="LK123" s="358" t="s">
        <v>292</v>
      </c>
      <c r="LL123" s="359"/>
      <c r="LM123" s="359"/>
      <c r="LN123" s="359"/>
      <c r="LO123" s="359"/>
      <c r="LP123" s="359"/>
      <c r="LQ123" s="359"/>
      <c r="LR123" s="359"/>
      <c r="LS123" s="359"/>
      <c r="LT123" s="359"/>
      <c r="LU123" s="359"/>
      <c r="LV123" s="359"/>
      <c r="LW123" s="359"/>
      <c r="LX123" s="359"/>
      <c r="LY123" s="359"/>
      <c r="LZ123" s="359"/>
      <c r="MA123" s="359"/>
      <c r="MB123" s="359"/>
      <c r="MC123" s="359"/>
      <c r="MD123" s="359"/>
      <c r="ME123" s="359"/>
      <c r="MF123" s="359"/>
      <c r="MG123" s="359"/>
      <c r="MH123" s="359"/>
      <c r="MI123" s="359"/>
      <c r="MJ123" s="359"/>
      <c r="MK123" s="359"/>
      <c r="ML123" s="359"/>
      <c r="MM123" s="359"/>
      <c r="MN123" s="359"/>
      <c r="MO123" s="359"/>
      <c r="MP123" s="359"/>
      <c r="MQ123" s="359"/>
      <c r="MR123" s="359"/>
      <c r="MS123" s="359"/>
      <c r="MT123" s="359"/>
      <c r="MU123" s="359"/>
      <c r="MV123" s="359"/>
      <c r="MW123" s="359"/>
      <c r="MX123" s="360"/>
      <c r="MY123" s="330">
        <v>2</v>
      </c>
      <c r="MZ123" s="331"/>
      <c r="NA123" s="331"/>
      <c r="NB123" s="331"/>
      <c r="NC123" s="340"/>
      <c r="QM123" s="164"/>
      <c r="QQ123" s="165"/>
      <c r="QR123" s="166"/>
      <c r="QS123" s="189"/>
      <c r="QT123" s="189"/>
      <c r="QU123" s="189"/>
      <c r="QV123" s="189"/>
      <c r="QW123" s="190"/>
    </row>
    <row r="124" spans="3:465" ht="5.15" customHeight="1" x14ac:dyDescent="0.35">
      <c r="C124" s="161"/>
      <c r="D124" s="162"/>
      <c r="E124" s="164"/>
      <c r="CF124" s="361"/>
      <c r="CG124" s="362"/>
      <c r="CH124" s="362"/>
      <c r="CI124" s="362"/>
      <c r="CJ124" s="362"/>
      <c r="CK124" s="362"/>
      <c r="CL124" s="362"/>
      <c r="CM124" s="362"/>
      <c r="CN124" s="362"/>
      <c r="CO124" s="362"/>
      <c r="CP124" s="362"/>
      <c r="CQ124" s="362"/>
      <c r="CR124" s="362"/>
      <c r="CS124" s="362"/>
      <c r="CT124" s="362"/>
      <c r="CU124" s="362"/>
      <c r="CV124" s="362"/>
      <c r="CW124" s="362"/>
      <c r="CX124" s="362"/>
      <c r="CY124" s="362"/>
      <c r="CZ124" s="362"/>
      <c r="DA124" s="362"/>
      <c r="DB124" s="362"/>
      <c r="DC124" s="362"/>
      <c r="DD124" s="362"/>
      <c r="DE124" s="362"/>
      <c r="DF124" s="362"/>
      <c r="DG124" s="362"/>
      <c r="DH124" s="362"/>
      <c r="DI124" s="362"/>
      <c r="DJ124" s="362"/>
      <c r="DK124" s="362"/>
      <c r="DL124" s="362"/>
      <c r="DM124" s="362"/>
      <c r="DN124" s="362"/>
      <c r="DO124" s="362"/>
      <c r="DP124" s="362"/>
      <c r="DQ124" s="362"/>
      <c r="DR124" s="362"/>
      <c r="DS124" s="362"/>
      <c r="DT124" s="363"/>
      <c r="DU124" s="333"/>
      <c r="DV124" s="334"/>
      <c r="DW124" s="334"/>
      <c r="DX124" s="334"/>
      <c r="DY124" s="341"/>
      <c r="DZ124" s="178"/>
      <c r="EA124" s="178"/>
      <c r="EB124" s="178"/>
      <c r="EC124" s="178"/>
      <c r="ED124" s="178"/>
      <c r="EG124" s="361"/>
      <c r="EH124" s="362"/>
      <c r="EI124" s="362"/>
      <c r="EJ124" s="362"/>
      <c r="EK124" s="362"/>
      <c r="EL124" s="362"/>
      <c r="EM124" s="362"/>
      <c r="EN124" s="362"/>
      <c r="EO124" s="362"/>
      <c r="EP124" s="362"/>
      <c r="EQ124" s="362"/>
      <c r="ER124" s="362"/>
      <c r="ES124" s="362"/>
      <c r="ET124" s="362"/>
      <c r="EU124" s="362"/>
      <c r="EV124" s="362"/>
      <c r="EW124" s="362"/>
      <c r="EX124" s="362"/>
      <c r="EY124" s="362"/>
      <c r="EZ124" s="362"/>
      <c r="FA124" s="362"/>
      <c r="FB124" s="362"/>
      <c r="FC124" s="362"/>
      <c r="FD124" s="362"/>
      <c r="FE124" s="362"/>
      <c r="FF124" s="362"/>
      <c r="FG124" s="362"/>
      <c r="FH124" s="362"/>
      <c r="FI124" s="362"/>
      <c r="FJ124" s="362"/>
      <c r="FK124" s="362"/>
      <c r="FL124" s="362"/>
      <c r="FM124" s="362"/>
      <c r="FN124" s="362"/>
      <c r="FO124" s="362"/>
      <c r="FP124" s="362"/>
      <c r="FQ124" s="362"/>
      <c r="FR124" s="362"/>
      <c r="FS124" s="362"/>
      <c r="FT124" s="362"/>
      <c r="FU124" s="363"/>
      <c r="FV124" s="333"/>
      <c r="FW124" s="334"/>
      <c r="FX124" s="334"/>
      <c r="FY124" s="334"/>
      <c r="FZ124" s="341"/>
      <c r="HP124" s="178"/>
      <c r="HQ124" s="178"/>
      <c r="HR124" s="178"/>
      <c r="HS124" s="178"/>
      <c r="HT124" s="178"/>
      <c r="HU124" s="178"/>
      <c r="HV124" s="178"/>
      <c r="HW124" s="178"/>
      <c r="HX124" s="178"/>
      <c r="HY124" s="178"/>
      <c r="HZ124" s="178"/>
      <c r="IA124" s="178"/>
      <c r="IB124" s="178"/>
      <c r="IC124" s="178"/>
      <c r="ID124" s="178"/>
      <c r="IE124" s="178"/>
      <c r="IF124" s="178"/>
      <c r="IG124" s="178"/>
      <c r="IH124" s="178"/>
      <c r="II124" s="178"/>
      <c r="IJ124" s="178"/>
      <c r="IK124" s="178"/>
      <c r="IL124" s="178"/>
      <c r="IM124" s="178"/>
      <c r="IN124" s="178"/>
      <c r="IO124" s="178"/>
      <c r="IP124" s="178"/>
      <c r="IQ124" s="178"/>
      <c r="IR124" s="178"/>
      <c r="IS124" s="178"/>
      <c r="IT124" s="178"/>
      <c r="IU124" s="178"/>
      <c r="IV124" s="178"/>
      <c r="IW124" s="178"/>
      <c r="IX124" s="178"/>
      <c r="IY124" s="178"/>
      <c r="IZ124" s="178"/>
      <c r="JA124" s="178"/>
      <c r="JB124" s="178"/>
      <c r="JC124" s="178"/>
      <c r="JD124" s="178"/>
      <c r="JE124" s="178"/>
      <c r="JF124" s="178"/>
      <c r="JG124" s="178"/>
      <c r="JH124" s="178"/>
      <c r="JN124" s="371"/>
      <c r="JO124" s="372"/>
      <c r="JP124" s="372"/>
      <c r="JQ124" s="372"/>
      <c r="JR124" s="372"/>
      <c r="JS124" s="372"/>
      <c r="JT124" s="372"/>
      <c r="JU124" s="372"/>
      <c r="JV124" s="372"/>
      <c r="JW124" s="372"/>
      <c r="JX124" s="372"/>
      <c r="JY124" s="372"/>
      <c r="JZ124" s="372"/>
      <c r="KA124" s="372"/>
      <c r="KB124" s="372"/>
      <c r="KC124" s="372"/>
      <c r="KD124" s="372"/>
      <c r="KE124" s="372"/>
      <c r="KF124" s="372"/>
      <c r="KG124" s="372"/>
      <c r="KH124" s="372"/>
      <c r="KI124" s="372"/>
      <c r="KJ124" s="372"/>
      <c r="KK124" s="372"/>
      <c r="KL124" s="372"/>
      <c r="KM124" s="372"/>
      <c r="KN124" s="372"/>
      <c r="KO124" s="372"/>
      <c r="KP124" s="372"/>
      <c r="KQ124" s="372"/>
      <c r="KR124" s="372"/>
      <c r="KS124" s="372"/>
      <c r="KT124" s="372"/>
      <c r="KU124" s="372"/>
      <c r="KV124" s="372"/>
      <c r="KW124" s="372"/>
      <c r="KX124" s="372"/>
      <c r="KY124" s="372"/>
      <c r="KZ124" s="372"/>
      <c r="LA124" s="373"/>
      <c r="LB124" s="333"/>
      <c r="LC124" s="334"/>
      <c r="LD124" s="334"/>
      <c r="LE124" s="334"/>
      <c r="LF124" s="341"/>
      <c r="LK124" s="361"/>
      <c r="LL124" s="362"/>
      <c r="LM124" s="362"/>
      <c r="LN124" s="362"/>
      <c r="LO124" s="362"/>
      <c r="LP124" s="362"/>
      <c r="LQ124" s="362"/>
      <c r="LR124" s="362"/>
      <c r="LS124" s="362"/>
      <c r="LT124" s="362"/>
      <c r="LU124" s="362"/>
      <c r="LV124" s="362"/>
      <c r="LW124" s="362"/>
      <c r="LX124" s="362"/>
      <c r="LY124" s="362"/>
      <c r="LZ124" s="362"/>
      <c r="MA124" s="362"/>
      <c r="MB124" s="362"/>
      <c r="MC124" s="362"/>
      <c r="MD124" s="362"/>
      <c r="ME124" s="362"/>
      <c r="MF124" s="362"/>
      <c r="MG124" s="362"/>
      <c r="MH124" s="362"/>
      <c r="MI124" s="362"/>
      <c r="MJ124" s="362"/>
      <c r="MK124" s="362"/>
      <c r="ML124" s="362"/>
      <c r="MM124" s="362"/>
      <c r="MN124" s="362"/>
      <c r="MO124" s="362"/>
      <c r="MP124" s="362"/>
      <c r="MQ124" s="362"/>
      <c r="MR124" s="362"/>
      <c r="MS124" s="362"/>
      <c r="MT124" s="362"/>
      <c r="MU124" s="362"/>
      <c r="MV124" s="362"/>
      <c r="MW124" s="362"/>
      <c r="MX124" s="363"/>
      <c r="MY124" s="333"/>
      <c r="MZ124" s="334"/>
      <c r="NA124" s="334"/>
      <c r="NB124" s="334"/>
      <c r="NC124" s="341"/>
      <c r="QM124" s="164"/>
      <c r="QQ124" s="165"/>
      <c r="QR124" s="166"/>
      <c r="QS124" s="189"/>
      <c r="QT124" s="189"/>
      <c r="QU124" s="189"/>
      <c r="QV124" s="189"/>
      <c r="QW124" s="190"/>
    </row>
    <row r="125" spans="3:465" ht="5.15" customHeight="1" x14ac:dyDescent="0.35">
      <c r="C125" s="161"/>
      <c r="D125" s="162"/>
      <c r="E125" s="164"/>
      <c r="CF125" s="361"/>
      <c r="CG125" s="362"/>
      <c r="CH125" s="362"/>
      <c r="CI125" s="362"/>
      <c r="CJ125" s="362"/>
      <c r="CK125" s="362"/>
      <c r="CL125" s="362"/>
      <c r="CM125" s="362"/>
      <c r="CN125" s="362"/>
      <c r="CO125" s="362"/>
      <c r="CP125" s="362"/>
      <c r="CQ125" s="362"/>
      <c r="CR125" s="362"/>
      <c r="CS125" s="362"/>
      <c r="CT125" s="362"/>
      <c r="CU125" s="362"/>
      <c r="CV125" s="362"/>
      <c r="CW125" s="362"/>
      <c r="CX125" s="362"/>
      <c r="CY125" s="362"/>
      <c r="CZ125" s="362"/>
      <c r="DA125" s="362"/>
      <c r="DB125" s="362"/>
      <c r="DC125" s="362"/>
      <c r="DD125" s="362"/>
      <c r="DE125" s="362"/>
      <c r="DF125" s="362"/>
      <c r="DG125" s="362"/>
      <c r="DH125" s="362"/>
      <c r="DI125" s="362"/>
      <c r="DJ125" s="362"/>
      <c r="DK125" s="362"/>
      <c r="DL125" s="362"/>
      <c r="DM125" s="362"/>
      <c r="DN125" s="362"/>
      <c r="DO125" s="362"/>
      <c r="DP125" s="362"/>
      <c r="DQ125" s="362"/>
      <c r="DR125" s="362"/>
      <c r="DS125" s="362"/>
      <c r="DT125" s="363"/>
      <c r="DU125" s="333"/>
      <c r="DV125" s="334"/>
      <c r="DW125" s="334"/>
      <c r="DX125" s="334"/>
      <c r="DY125" s="341"/>
      <c r="DZ125" s="178"/>
      <c r="EA125" s="178"/>
      <c r="EB125" s="178"/>
      <c r="EC125" s="178"/>
      <c r="ED125" s="178"/>
      <c r="EG125" s="361"/>
      <c r="EH125" s="362"/>
      <c r="EI125" s="362"/>
      <c r="EJ125" s="362"/>
      <c r="EK125" s="362"/>
      <c r="EL125" s="362"/>
      <c r="EM125" s="362"/>
      <c r="EN125" s="362"/>
      <c r="EO125" s="362"/>
      <c r="EP125" s="362"/>
      <c r="EQ125" s="362"/>
      <c r="ER125" s="362"/>
      <c r="ES125" s="362"/>
      <c r="ET125" s="362"/>
      <c r="EU125" s="362"/>
      <c r="EV125" s="362"/>
      <c r="EW125" s="362"/>
      <c r="EX125" s="362"/>
      <c r="EY125" s="362"/>
      <c r="EZ125" s="362"/>
      <c r="FA125" s="362"/>
      <c r="FB125" s="362"/>
      <c r="FC125" s="362"/>
      <c r="FD125" s="362"/>
      <c r="FE125" s="362"/>
      <c r="FF125" s="362"/>
      <c r="FG125" s="362"/>
      <c r="FH125" s="362"/>
      <c r="FI125" s="362"/>
      <c r="FJ125" s="362"/>
      <c r="FK125" s="362"/>
      <c r="FL125" s="362"/>
      <c r="FM125" s="362"/>
      <c r="FN125" s="362"/>
      <c r="FO125" s="362"/>
      <c r="FP125" s="362"/>
      <c r="FQ125" s="362"/>
      <c r="FR125" s="362"/>
      <c r="FS125" s="362"/>
      <c r="FT125" s="362"/>
      <c r="FU125" s="363"/>
      <c r="FV125" s="333"/>
      <c r="FW125" s="334"/>
      <c r="FX125" s="334"/>
      <c r="FY125" s="334"/>
      <c r="FZ125" s="341"/>
      <c r="JN125" s="371"/>
      <c r="JO125" s="372"/>
      <c r="JP125" s="372"/>
      <c r="JQ125" s="372"/>
      <c r="JR125" s="372"/>
      <c r="JS125" s="372"/>
      <c r="JT125" s="372"/>
      <c r="JU125" s="372"/>
      <c r="JV125" s="372"/>
      <c r="JW125" s="372"/>
      <c r="JX125" s="372"/>
      <c r="JY125" s="372"/>
      <c r="JZ125" s="372"/>
      <c r="KA125" s="372"/>
      <c r="KB125" s="372"/>
      <c r="KC125" s="372"/>
      <c r="KD125" s="372"/>
      <c r="KE125" s="372"/>
      <c r="KF125" s="372"/>
      <c r="KG125" s="372"/>
      <c r="KH125" s="372"/>
      <c r="KI125" s="372"/>
      <c r="KJ125" s="372"/>
      <c r="KK125" s="372"/>
      <c r="KL125" s="372"/>
      <c r="KM125" s="372"/>
      <c r="KN125" s="372"/>
      <c r="KO125" s="372"/>
      <c r="KP125" s="372"/>
      <c r="KQ125" s="372"/>
      <c r="KR125" s="372"/>
      <c r="KS125" s="372"/>
      <c r="KT125" s="372"/>
      <c r="KU125" s="372"/>
      <c r="KV125" s="372"/>
      <c r="KW125" s="372"/>
      <c r="KX125" s="372"/>
      <c r="KY125" s="372"/>
      <c r="KZ125" s="372"/>
      <c r="LA125" s="373"/>
      <c r="LB125" s="333"/>
      <c r="LC125" s="334"/>
      <c r="LD125" s="334"/>
      <c r="LE125" s="334"/>
      <c r="LF125" s="341"/>
      <c r="LK125" s="361"/>
      <c r="LL125" s="362"/>
      <c r="LM125" s="362"/>
      <c r="LN125" s="362"/>
      <c r="LO125" s="362"/>
      <c r="LP125" s="362"/>
      <c r="LQ125" s="362"/>
      <c r="LR125" s="362"/>
      <c r="LS125" s="362"/>
      <c r="LT125" s="362"/>
      <c r="LU125" s="362"/>
      <c r="LV125" s="362"/>
      <c r="LW125" s="362"/>
      <c r="LX125" s="362"/>
      <c r="LY125" s="362"/>
      <c r="LZ125" s="362"/>
      <c r="MA125" s="362"/>
      <c r="MB125" s="362"/>
      <c r="MC125" s="362"/>
      <c r="MD125" s="362"/>
      <c r="ME125" s="362"/>
      <c r="MF125" s="362"/>
      <c r="MG125" s="362"/>
      <c r="MH125" s="362"/>
      <c r="MI125" s="362"/>
      <c r="MJ125" s="362"/>
      <c r="MK125" s="362"/>
      <c r="ML125" s="362"/>
      <c r="MM125" s="362"/>
      <c r="MN125" s="362"/>
      <c r="MO125" s="362"/>
      <c r="MP125" s="362"/>
      <c r="MQ125" s="362"/>
      <c r="MR125" s="362"/>
      <c r="MS125" s="362"/>
      <c r="MT125" s="362"/>
      <c r="MU125" s="362"/>
      <c r="MV125" s="362"/>
      <c r="MW125" s="362"/>
      <c r="MX125" s="363"/>
      <c r="MY125" s="333"/>
      <c r="MZ125" s="334"/>
      <c r="NA125" s="334"/>
      <c r="NB125" s="334"/>
      <c r="NC125" s="341"/>
      <c r="QM125" s="164"/>
      <c r="QQ125" s="165"/>
      <c r="QR125" s="166"/>
      <c r="QS125" s="189"/>
      <c r="QT125" s="189"/>
      <c r="QU125" s="189"/>
      <c r="QV125" s="189"/>
      <c r="QW125" s="190"/>
    </row>
    <row r="126" spans="3:465" ht="5.15" customHeight="1" x14ac:dyDescent="0.35">
      <c r="C126" s="161"/>
      <c r="D126" s="162"/>
      <c r="E126" s="164"/>
      <c r="CF126" s="361"/>
      <c r="CG126" s="362"/>
      <c r="CH126" s="362"/>
      <c r="CI126" s="362"/>
      <c r="CJ126" s="362"/>
      <c r="CK126" s="362"/>
      <c r="CL126" s="362"/>
      <c r="CM126" s="362"/>
      <c r="CN126" s="362"/>
      <c r="CO126" s="362"/>
      <c r="CP126" s="362"/>
      <c r="CQ126" s="362"/>
      <c r="CR126" s="362"/>
      <c r="CS126" s="362"/>
      <c r="CT126" s="362"/>
      <c r="CU126" s="362"/>
      <c r="CV126" s="362"/>
      <c r="CW126" s="362"/>
      <c r="CX126" s="362"/>
      <c r="CY126" s="362"/>
      <c r="CZ126" s="362"/>
      <c r="DA126" s="362"/>
      <c r="DB126" s="362"/>
      <c r="DC126" s="362"/>
      <c r="DD126" s="362"/>
      <c r="DE126" s="362"/>
      <c r="DF126" s="362"/>
      <c r="DG126" s="362"/>
      <c r="DH126" s="362"/>
      <c r="DI126" s="362"/>
      <c r="DJ126" s="362"/>
      <c r="DK126" s="362"/>
      <c r="DL126" s="362"/>
      <c r="DM126" s="362"/>
      <c r="DN126" s="362"/>
      <c r="DO126" s="362"/>
      <c r="DP126" s="362"/>
      <c r="DQ126" s="362"/>
      <c r="DR126" s="362"/>
      <c r="DS126" s="362"/>
      <c r="DT126" s="363"/>
      <c r="DU126" s="333"/>
      <c r="DV126" s="334"/>
      <c r="DW126" s="334"/>
      <c r="DX126" s="334"/>
      <c r="DY126" s="341"/>
      <c r="DZ126" s="178"/>
      <c r="EA126" s="178"/>
      <c r="EB126" s="178"/>
      <c r="EC126" s="178"/>
      <c r="ED126" s="178"/>
      <c r="EG126" s="361"/>
      <c r="EH126" s="362"/>
      <c r="EI126" s="362"/>
      <c r="EJ126" s="362"/>
      <c r="EK126" s="362"/>
      <c r="EL126" s="362"/>
      <c r="EM126" s="362"/>
      <c r="EN126" s="362"/>
      <c r="EO126" s="362"/>
      <c r="EP126" s="362"/>
      <c r="EQ126" s="362"/>
      <c r="ER126" s="362"/>
      <c r="ES126" s="362"/>
      <c r="ET126" s="362"/>
      <c r="EU126" s="362"/>
      <c r="EV126" s="362"/>
      <c r="EW126" s="362"/>
      <c r="EX126" s="362"/>
      <c r="EY126" s="362"/>
      <c r="EZ126" s="362"/>
      <c r="FA126" s="362"/>
      <c r="FB126" s="362"/>
      <c r="FC126" s="362"/>
      <c r="FD126" s="362"/>
      <c r="FE126" s="362"/>
      <c r="FF126" s="362"/>
      <c r="FG126" s="362"/>
      <c r="FH126" s="362"/>
      <c r="FI126" s="362"/>
      <c r="FJ126" s="362"/>
      <c r="FK126" s="362"/>
      <c r="FL126" s="362"/>
      <c r="FM126" s="362"/>
      <c r="FN126" s="362"/>
      <c r="FO126" s="362"/>
      <c r="FP126" s="362"/>
      <c r="FQ126" s="362"/>
      <c r="FR126" s="362"/>
      <c r="FS126" s="362"/>
      <c r="FT126" s="362"/>
      <c r="FU126" s="363"/>
      <c r="FV126" s="333"/>
      <c r="FW126" s="334"/>
      <c r="FX126" s="334"/>
      <c r="FY126" s="334"/>
      <c r="FZ126" s="341"/>
      <c r="JN126" s="371"/>
      <c r="JO126" s="372"/>
      <c r="JP126" s="372"/>
      <c r="JQ126" s="372"/>
      <c r="JR126" s="372"/>
      <c r="JS126" s="372"/>
      <c r="JT126" s="372"/>
      <c r="JU126" s="372"/>
      <c r="JV126" s="372"/>
      <c r="JW126" s="372"/>
      <c r="JX126" s="372"/>
      <c r="JY126" s="372"/>
      <c r="JZ126" s="372"/>
      <c r="KA126" s="372"/>
      <c r="KB126" s="372"/>
      <c r="KC126" s="372"/>
      <c r="KD126" s="372"/>
      <c r="KE126" s="372"/>
      <c r="KF126" s="372"/>
      <c r="KG126" s="372"/>
      <c r="KH126" s="372"/>
      <c r="KI126" s="372"/>
      <c r="KJ126" s="372"/>
      <c r="KK126" s="372"/>
      <c r="KL126" s="372"/>
      <c r="KM126" s="372"/>
      <c r="KN126" s="372"/>
      <c r="KO126" s="372"/>
      <c r="KP126" s="372"/>
      <c r="KQ126" s="372"/>
      <c r="KR126" s="372"/>
      <c r="KS126" s="372"/>
      <c r="KT126" s="372"/>
      <c r="KU126" s="372"/>
      <c r="KV126" s="372"/>
      <c r="KW126" s="372"/>
      <c r="KX126" s="372"/>
      <c r="KY126" s="372"/>
      <c r="KZ126" s="372"/>
      <c r="LA126" s="373"/>
      <c r="LB126" s="333"/>
      <c r="LC126" s="334"/>
      <c r="LD126" s="334"/>
      <c r="LE126" s="334"/>
      <c r="LF126" s="341"/>
      <c r="LK126" s="361"/>
      <c r="LL126" s="362"/>
      <c r="LM126" s="362"/>
      <c r="LN126" s="362"/>
      <c r="LO126" s="362"/>
      <c r="LP126" s="362"/>
      <c r="LQ126" s="362"/>
      <c r="LR126" s="362"/>
      <c r="LS126" s="362"/>
      <c r="LT126" s="362"/>
      <c r="LU126" s="362"/>
      <c r="LV126" s="362"/>
      <c r="LW126" s="362"/>
      <c r="LX126" s="362"/>
      <c r="LY126" s="362"/>
      <c r="LZ126" s="362"/>
      <c r="MA126" s="362"/>
      <c r="MB126" s="362"/>
      <c r="MC126" s="362"/>
      <c r="MD126" s="362"/>
      <c r="ME126" s="362"/>
      <c r="MF126" s="362"/>
      <c r="MG126" s="362"/>
      <c r="MH126" s="362"/>
      <c r="MI126" s="362"/>
      <c r="MJ126" s="362"/>
      <c r="MK126" s="362"/>
      <c r="ML126" s="362"/>
      <c r="MM126" s="362"/>
      <c r="MN126" s="362"/>
      <c r="MO126" s="362"/>
      <c r="MP126" s="362"/>
      <c r="MQ126" s="362"/>
      <c r="MR126" s="362"/>
      <c r="MS126" s="362"/>
      <c r="MT126" s="362"/>
      <c r="MU126" s="362"/>
      <c r="MV126" s="362"/>
      <c r="MW126" s="362"/>
      <c r="MX126" s="363"/>
      <c r="MY126" s="333"/>
      <c r="MZ126" s="334"/>
      <c r="NA126" s="334"/>
      <c r="NB126" s="334"/>
      <c r="NC126" s="341"/>
      <c r="QM126" s="164"/>
      <c r="QQ126" s="165"/>
      <c r="QR126" s="166"/>
      <c r="QS126" s="189"/>
      <c r="QT126" s="189"/>
      <c r="QU126" s="189"/>
      <c r="QV126" s="189"/>
      <c r="QW126" s="190"/>
    </row>
    <row r="127" spans="3:465" ht="5.15" customHeight="1" x14ac:dyDescent="0.35">
      <c r="C127" s="161"/>
      <c r="D127" s="162"/>
      <c r="E127" s="164"/>
      <c r="CF127" s="361"/>
      <c r="CG127" s="362"/>
      <c r="CH127" s="362"/>
      <c r="CI127" s="362"/>
      <c r="CJ127" s="362"/>
      <c r="CK127" s="362"/>
      <c r="CL127" s="362"/>
      <c r="CM127" s="362"/>
      <c r="CN127" s="362"/>
      <c r="CO127" s="362"/>
      <c r="CP127" s="362"/>
      <c r="CQ127" s="362"/>
      <c r="CR127" s="362"/>
      <c r="CS127" s="362"/>
      <c r="CT127" s="362"/>
      <c r="CU127" s="362"/>
      <c r="CV127" s="362"/>
      <c r="CW127" s="362"/>
      <c r="CX127" s="362"/>
      <c r="CY127" s="362"/>
      <c r="CZ127" s="362"/>
      <c r="DA127" s="362"/>
      <c r="DB127" s="362"/>
      <c r="DC127" s="362"/>
      <c r="DD127" s="362"/>
      <c r="DE127" s="362"/>
      <c r="DF127" s="362"/>
      <c r="DG127" s="362"/>
      <c r="DH127" s="362"/>
      <c r="DI127" s="362"/>
      <c r="DJ127" s="362"/>
      <c r="DK127" s="362"/>
      <c r="DL127" s="362"/>
      <c r="DM127" s="362"/>
      <c r="DN127" s="362"/>
      <c r="DO127" s="362"/>
      <c r="DP127" s="362"/>
      <c r="DQ127" s="362"/>
      <c r="DR127" s="362"/>
      <c r="DS127" s="362"/>
      <c r="DT127" s="363"/>
      <c r="DU127" s="333"/>
      <c r="DV127" s="334"/>
      <c r="DW127" s="334"/>
      <c r="DX127" s="334"/>
      <c r="DY127" s="341"/>
      <c r="DZ127" s="178"/>
      <c r="EA127" s="178"/>
      <c r="EB127" s="178"/>
      <c r="EC127" s="178"/>
      <c r="ED127" s="178"/>
      <c r="EG127" s="361"/>
      <c r="EH127" s="362"/>
      <c r="EI127" s="362"/>
      <c r="EJ127" s="362"/>
      <c r="EK127" s="362"/>
      <c r="EL127" s="362"/>
      <c r="EM127" s="362"/>
      <c r="EN127" s="362"/>
      <c r="EO127" s="362"/>
      <c r="EP127" s="362"/>
      <c r="EQ127" s="362"/>
      <c r="ER127" s="362"/>
      <c r="ES127" s="362"/>
      <c r="ET127" s="362"/>
      <c r="EU127" s="362"/>
      <c r="EV127" s="362"/>
      <c r="EW127" s="362"/>
      <c r="EX127" s="362"/>
      <c r="EY127" s="362"/>
      <c r="EZ127" s="362"/>
      <c r="FA127" s="362"/>
      <c r="FB127" s="362"/>
      <c r="FC127" s="362"/>
      <c r="FD127" s="362"/>
      <c r="FE127" s="362"/>
      <c r="FF127" s="362"/>
      <c r="FG127" s="362"/>
      <c r="FH127" s="362"/>
      <c r="FI127" s="362"/>
      <c r="FJ127" s="362"/>
      <c r="FK127" s="362"/>
      <c r="FL127" s="362"/>
      <c r="FM127" s="362"/>
      <c r="FN127" s="362"/>
      <c r="FO127" s="362"/>
      <c r="FP127" s="362"/>
      <c r="FQ127" s="362"/>
      <c r="FR127" s="362"/>
      <c r="FS127" s="362"/>
      <c r="FT127" s="362"/>
      <c r="FU127" s="363"/>
      <c r="FV127" s="333"/>
      <c r="FW127" s="334"/>
      <c r="FX127" s="334"/>
      <c r="FY127" s="334"/>
      <c r="FZ127" s="341"/>
      <c r="JN127" s="371"/>
      <c r="JO127" s="372"/>
      <c r="JP127" s="372"/>
      <c r="JQ127" s="372"/>
      <c r="JR127" s="372"/>
      <c r="JS127" s="372"/>
      <c r="JT127" s="372"/>
      <c r="JU127" s="372"/>
      <c r="JV127" s="372"/>
      <c r="JW127" s="372"/>
      <c r="JX127" s="372"/>
      <c r="JY127" s="372"/>
      <c r="JZ127" s="372"/>
      <c r="KA127" s="372"/>
      <c r="KB127" s="372"/>
      <c r="KC127" s="372"/>
      <c r="KD127" s="372"/>
      <c r="KE127" s="372"/>
      <c r="KF127" s="372"/>
      <c r="KG127" s="372"/>
      <c r="KH127" s="372"/>
      <c r="KI127" s="372"/>
      <c r="KJ127" s="372"/>
      <c r="KK127" s="372"/>
      <c r="KL127" s="372"/>
      <c r="KM127" s="372"/>
      <c r="KN127" s="372"/>
      <c r="KO127" s="372"/>
      <c r="KP127" s="372"/>
      <c r="KQ127" s="372"/>
      <c r="KR127" s="372"/>
      <c r="KS127" s="372"/>
      <c r="KT127" s="372"/>
      <c r="KU127" s="372"/>
      <c r="KV127" s="372"/>
      <c r="KW127" s="372"/>
      <c r="KX127" s="372"/>
      <c r="KY127" s="372"/>
      <c r="KZ127" s="372"/>
      <c r="LA127" s="373"/>
      <c r="LB127" s="333"/>
      <c r="LC127" s="334"/>
      <c r="LD127" s="334"/>
      <c r="LE127" s="334"/>
      <c r="LF127" s="341"/>
      <c r="LK127" s="361"/>
      <c r="LL127" s="362"/>
      <c r="LM127" s="362"/>
      <c r="LN127" s="362"/>
      <c r="LO127" s="362"/>
      <c r="LP127" s="362"/>
      <c r="LQ127" s="362"/>
      <c r="LR127" s="362"/>
      <c r="LS127" s="362"/>
      <c r="LT127" s="362"/>
      <c r="LU127" s="362"/>
      <c r="LV127" s="362"/>
      <c r="LW127" s="362"/>
      <c r="LX127" s="362"/>
      <c r="LY127" s="362"/>
      <c r="LZ127" s="362"/>
      <c r="MA127" s="362"/>
      <c r="MB127" s="362"/>
      <c r="MC127" s="362"/>
      <c r="MD127" s="362"/>
      <c r="ME127" s="362"/>
      <c r="MF127" s="362"/>
      <c r="MG127" s="362"/>
      <c r="MH127" s="362"/>
      <c r="MI127" s="362"/>
      <c r="MJ127" s="362"/>
      <c r="MK127" s="362"/>
      <c r="ML127" s="362"/>
      <c r="MM127" s="362"/>
      <c r="MN127" s="362"/>
      <c r="MO127" s="362"/>
      <c r="MP127" s="362"/>
      <c r="MQ127" s="362"/>
      <c r="MR127" s="362"/>
      <c r="MS127" s="362"/>
      <c r="MT127" s="362"/>
      <c r="MU127" s="362"/>
      <c r="MV127" s="362"/>
      <c r="MW127" s="362"/>
      <c r="MX127" s="363"/>
      <c r="MY127" s="333"/>
      <c r="MZ127" s="334"/>
      <c r="NA127" s="334"/>
      <c r="NB127" s="334"/>
      <c r="NC127" s="341"/>
      <c r="QM127" s="164"/>
      <c r="QQ127" s="165"/>
      <c r="QR127" s="166"/>
      <c r="QS127" s="189"/>
      <c r="QT127" s="189"/>
      <c r="QU127" s="189"/>
      <c r="QV127" s="189"/>
      <c r="QW127" s="190"/>
    </row>
    <row r="128" spans="3:465" ht="5.15" customHeight="1" x14ac:dyDescent="0.35">
      <c r="C128" s="161"/>
      <c r="D128" s="162"/>
      <c r="E128" s="164"/>
      <c r="CF128" s="361"/>
      <c r="CG128" s="362"/>
      <c r="CH128" s="362"/>
      <c r="CI128" s="362"/>
      <c r="CJ128" s="362"/>
      <c r="CK128" s="362"/>
      <c r="CL128" s="362"/>
      <c r="CM128" s="362"/>
      <c r="CN128" s="362"/>
      <c r="CO128" s="362"/>
      <c r="CP128" s="362"/>
      <c r="CQ128" s="362"/>
      <c r="CR128" s="362"/>
      <c r="CS128" s="362"/>
      <c r="CT128" s="362"/>
      <c r="CU128" s="362"/>
      <c r="CV128" s="362"/>
      <c r="CW128" s="362"/>
      <c r="CX128" s="362"/>
      <c r="CY128" s="362"/>
      <c r="CZ128" s="362"/>
      <c r="DA128" s="362"/>
      <c r="DB128" s="362"/>
      <c r="DC128" s="362"/>
      <c r="DD128" s="362"/>
      <c r="DE128" s="362"/>
      <c r="DF128" s="362"/>
      <c r="DG128" s="362"/>
      <c r="DH128" s="362"/>
      <c r="DI128" s="362"/>
      <c r="DJ128" s="362"/>
      <c r="DK128" s="362"/>
      <c r="DL128" s="362"/>
      <c r="DM128" s="362"/>
      <c r="DN128" s="362"/>
      <c r="DO128" s="362"/>
      <c r="DP128" s="362"/>
      <c r="DQ128" s="362"/>
      <c r="DR128" s="362"/>
      <c r="DS128" s="362"/>
      <c r="DT128" s="363"/>
      <c r="DU128" s="333"/>
      <c r="DV128" s="334"/>
      <c r="DW128" s="334"/>
      <c r="DX128" s="334"/>
      <c r="DY128" s="341"/>
      <c r="DZ128" s="178"/>
      <c r="EA128" s="178"/>
      <c r="EB128" s="178"/>
      <c r="EC128" s="178"/>
      <c r="ED128" s="178"/>
      <c r="EG128" s="361"/>
      <c r="EH128" s="362"/>
      <c r="EI128" s="362"/>
      <c r="EJ128" s="362"/>
      <c r="EK128" s="362"/>
      <c r="EL128" s="362"/>
      <c r="EM128" s="362"/>
      <c r="EN128" s="362"/>
      <c r="EO128" s="362"/>
      <c r="EP128" s="362"/>
      <c r="EQ128" s="362"/>
      <c r="ER128" s="362"/>
      <c r="ES128" s="362"/>
      <c r="ET128" s="362"/>
      <c r="EU128" s="362"/>
      <c r="EV128" s="362"/>
      <c r="EW128" s="362"/>
      <c r="EX128" s="362"/>
      <c r="EY128" s="362"/>
      <c r="EZ128" s="362"/>
      <c r="FA128" s="362"/>
      <c r="FB128" s="362"/>
      <c r="FC128" s="362"/>
      <c r="FD128" s="362"/>
      <c r="FE128" s="362"/>
      <c r="FF128" s="362"/>
      <c r="FG128" s="362"/>
      <c r="FH128" s="362"/>
      <c r="FI128" s="362"/>
      <c r="FJ128" s="362"/>
      <c r="FK128" s="362"/>
      <c r="FL128" s="362"/>
      <c r="FM128" s="362"/>
      <c r="FN128" s="362"/>
      <c r="FO128" s="362"/>
      <c r="FP128" s="362"/>
      <c r="FQ128" s="362"/>
      <c r="FR128" s="362"/>
      <c r="FS128" s="362"/>
      <c r="FT128" s="362"/>
      <c r="FU128" s="363"/>
      <c r="FV128" s="333"/>
      <c r="FW128" s="334"/>
      <c r="FX128" s="334"/>
      <c r="FY128" s="334"/>
      <c r="FZ128" s="341"/>
      <c r="JN128" s="371"/>
      <c r="JO128" s="372"/>
      <c r="JP128" s="372"/>
      <c r="JQ128" s="372"/>
      <c r="JR128" s="372"/>
      <c r="JS128" s="372"/>
      <c r="JT128" s="372"/>
      <c r="JU128" s="372"/>
      <c r="JV128" s="372"/>
      <c r="JW128" s="372"/>
      <c r="JX128" s="372"/>
      <c r="JY128" s="372"/>
      <c r="JZ128" s="372"/>
      <c r="KA128" s="372"/>
      <c r="KB128" s="372"/>
      <c r="KC128" s="372"/>
      <c r="KD128" s="372"/>
      <c r="KE128" s="372"/>
      <c r="KF128" s="372"/>
      <c r="KG128" s="372"/>
      <c r="KH128" s="372"/>
      <c r="KI128" s="372"/>
      <c r="KJ128" s="372"/>
      <c r="KK128" s="372"/>
      <c r="KL128" s="372"/>
      <c r="KM128" s="372"/>
      <c r="KN128" s="372"/>
      <c r="KO128" s="372"/>
      <c r="KP128" s="372"/>
      <c r="KQ128" s="372"/>
      <c r="KR128" s="372"/>
      <c r="KS128" s="372"/>
      <c r="KT128" s="372"/>
      <c r="KU128" s="372"/>
      <c r="KV128" s="372"/>
      <c r="KW128" s="372"/>
      <c r="KX128" s="372"/>
      <c r="KY128" s="372"/>
      <c r="KZ128" s="372"/>
      <c r="LA128" s="373"/>
      <c r="LB128" s="333"/>
      <c r="LC128" s="334"/>
      <c r="LD128" s="334"/>
      <c r="LE128" s="334"/>
      <c r="LF128" s="341"/>
      <c r="LK128" s="361"/>
      <c r="LL128" s="362"/>
      <c r="LM128" s="362"/>
      <c r="LN128" s="362"/>
      <c r="LO128" s="362"/>
      <c r="LP128" s="362"/>
      <c r="LQ128" s="362"/>
      <c r="LR128" s="362"/>
      <c r="LS128" s="362"/>
      <c r="LT128" s="362"/>
      <c r="LU128" s="362"/>
      <c r="LV128" s="362"/>
      <c r="LW128" s="362"/>
      <c r="LX128" s="362"/>
      <c r="LY128" s="362"/>
      <c r="LZ128" s="362"/>
      <c r="MA128" s="362"/>
      <c r="MB128" s="362"/>
      <c r="MC128" s="362"/>
      <c r="MD128" s="362"/>
      <c r="ME128" s="362"/>
      <c r="MF128" s="362"/>
      <c r="MG128" s="362"/>
      <c r="MH128" s="362"/>
      <c r="MI128" s="362"/>
      <c r="MJ128" s="362"/>
      <c r="MK128" s="362"/>
      <c r="ML128" s="362"/>
      <c r="MM128" s="362"/>
      <c r="MN128" s="362"/>
      <c r="MO128" s="362"/>
      <c r="MP128" s="362"/>
      <c r="MQ128" s="362"/>
      <c r="MR128" s="362"/>
      <c r="MS128" s="362"/>
      <c r="MT128" s="362"/>
      <c r="MU128" s="362"/>
      <c r="MV128" s="362"/>
      <c r="MW128" s="362"/>
      <c r="MX128" s="363"/>
      <c r="MY128" s="333"/>
      <c r="MZ128" s="334"/>
      <c r="NA128" s="334"/>
      <c r="NB128" s="334"/>
      <c r="NC128" s="341"/>
      <c r="QM128" s="164"/>
      <c r="QQ128" s="165"/>
      <c r="QR128" s="166"/>
      <c r="QS128" s="189"/>
      <c r="QT128" s="189"/>
      <c r="QU128" s="189"/>
      <c r="QV128" s="189"/>
      <c r="QW128" s="190"/>
    </row>
    <row r="129" spans="3:465" ht="5.15" customHeight="1" x14ac:dyDescent="0.35">
      <c r="C129" s="161"/>
      <c r="D129" s="162"/>
      <c r="E129" s="164"/>
      <c r="CF129" s="361"/>
      <c r="CG129" s="362"/>
      <c r="CH129" s="362"/>
      <c r="CI129" s="362"/>
      <c r="CJ129" s="362"/>
      <c r="CK129" s="362"/>
      <c r="CL129" s="362"/>
      <c r="CM129" s="362"/>
      <c r="CN129" s="362"/>
      <c r="CO129" s="362"/>
      <c r="CP129" s="362"/>
      <c r="CQ129" s="362"/>
      <c r="CR129" s="362"/>
      <c r="CS129" s="362"/>
      <c r="CT129" s="362"/>
      <c r="CU129" s="362"/>
      <c r="CV129" s="362"/>
      <c r="CW129" s="362"/>
      <c r="CX129" s="362"/>
      <c r="CY129" s="362"/>
      <c r="CZ129" s="362"/>
      <c r="DA129" s="362"/>
      <c r="DB129" s="362"/>
      <c r="DC129" s="362"/>
      <c r="DD129" s="362"/>
      <c r="DE129" s="362"/>
      <c r="DF129" s="362"/>
      <c r="DG129" s="362"/>
      <c r="DH129" s="362"/>
      <c r="DI129" s="362"/>
      <c r="DJ129" s="362"/>
      <c r="DK129" s="362"/>
      <c r="DL129" s="362"/>
      <c r="DM129" s="362"/>
      <c r="DN129" s="362"/>
      <c r="DO129" s="362"/>
      <c r="DP129" s="362"/>
      <c r="DQ129" s="362"/>
      <c r="DR129" s="362"/>
      <c r="DS129" s="362"/>
      <c r="DT129" s="363"/>
      <c r="DU129" s="333"/>
      <c r="DV129" s="334"/>
      <c r="DW129" s="334"/>
      <c r="DX129" s="334"/>
      <c r="DY129" s="341"/>
      <c r="DZ129" s="178"/>
      <c r="EA129" s="178"/>
      <c r="EB129" s="178"/>
      <c r="EC129" s="178"/>
      <c r="ED129" s="178"/>
      <c r="EG129" s="361"/>
      <c r="EH129" s="362"/>
      <c r="EI129" s="362"/>
      <c r="EJ129" s="362"/>
      <c r="EK129" s="362"/>
      <c r="EL129" s="362"/>
      <c r="EM129" s="362"/>
      <c r="EN129" s="362"/>
      <c r="EO129" s="362"/>
      <c r="EP129" s="362"/>
      <c r="EQ129" s="362"/>
      <c r="ER129" s="362"/>
      <c r="ES129" s="362"/>
      <c r="ET129" s="362"/>
      <c r="EU129" s="362"/>
      <c r="EV129" s="362"/>
      <c r="EW129" s="362"/>
      <c r="EX129" s="362"/>
      <c r="EY129" s="362"/>
      <c r="EZ129" s="362"/>
      <c r="FA129" s="362"/>
      <c r="FB129" s="362"/>
      <c r="FC129" s="362"/>
      <c r="FD129" s="362"/>
      <c r="FE129" s="362"/>
      <c r="FF129" s="362"/>
      <c r="FG129" s="362"/>
      <c r="FH129" s="362"/>
      <c r="FI129" s="362"/>
      <c r="FJ129" s="362"/>
      <c r="FK129" s="362"/>
      <c r="FL129" s="362"/>
      <c r="FM129" s="362"/>
      <c r="FN129" s="362"/>
      <c r="FO129" s="362"/>
      <c r="FP129" s="362"/>
      <c r="FQ129" s="362"/>
      <c r="FR129" s="362"/>
      <c r="FS129" s="362"/>
      <c r="FT129" s="362"/>
      <c r="FU129" s="363"/>
      <c r="FV129" s="333"/>
      <c r="FW129" s="334"/>
      <c r="FX129" s="334"/>
      <c r="FY129" s="334"/>
      <c r="FZ129" s="341"/>
      <c r="JN129" s="371"/>
      <c r="JO129" s="372"/>
      <c r="JP129" s="372"/>
      <c r="JQ129" s="372"/>
      <c r="JR129" s="372"/>
      <c r="JS129" s="372"/>
      <c r="JT129" s="372"/>
      <c r="JU129" s="372"/>
      <c r="JV129" s="372"/>
      <c r="JW129" s="372"/>
      <c r="JX129" s="372"/>
      <c r="JY129" s="372"/>
      <c r="JZ129" s="372"/>
      <c r="KA129" s="372"/>
      <c r="KB129" s="372"/>
      <c r="KC129" s="372"/>
      <c r="KD129" s="372"/>
      <c r="KE129" s="372"/>
      <c r="KF129" s="372"/>
      <c r="KG129" s="372"/>
      <c r="KH129" s="372"/>
      <c r="KI129" s="372"/>
      <c r="KJ129" s="372"/>
      <c r="KK129" s="372"/>
      <c r="KL129" s="372"/>
      <c r="KM129" s="372"/>
      <c r="KN129" s="372"/>
      <c r="KO129" s="372"/>
      <c r="KP129" s="372"/>
      <c r="KQ129" s="372"/>
      <c r="KR129" s="372"/>
      <c r="KS129" s="372"/>
      <c r="KT129" s="372"/>
      <c r="KU129" s="372"/>
      <c r="KV129" s="372"/>
      <c r="KW129" s="372"/>
      <c r="KX129" s="372"/>
      <c r="KY129" s="372"/>
      <c r="KZ129" s="372"/>
      <c r="LA129" s="373"/>
      <c r="LB129" s="333"/>
      <c r="LC129" s="334"/>
      <c r="LD129" s="334"/>
      <c r="LE129" s="334"/>
      <c r="LF129" s="341"/>
      <c r="LK129" s="361"/>
      <c r="LL129" s="362"/>
      <c r="LM129" s="362"/>
      <c r="LN129" s="362"/>
      <c r="LO129" s="362"/>
      <c r="LP129" s="362"/>
      <c r="LQ129" s="362"/>
      <c r="LR129" s="362"/>
      <c r="LS129" s="362"/>
      <c r="LT129" s="362"/>
      <c r="LU129" s="362"/>
      <c r="LV129" s="362"/>
      <c r="LW129" s="362"/>
      <c r="LX129" s="362"/>
      <c r="LY129" s="362"/>
      <c r="LZ129" s="362"/>
      <c r="MA129" s="362"/>
      <c r="MB129" s="362"/>
      <c r="MC129" s="362"/>
      <c r="MD129" s="362"/>
      <c r="ME129" s="362"/>
      <c r="MF129" s="362"/>
      <c r="MG129" s="362"/>
      <c r="MH129" s="362"/>
      <c r="MI129" s="362"/>
      <c r="MJ129" s="362"/>
      <c r="MK129" s="362"/>
      <c r="ML129" s="362"/>
      <c r="MM129" s="362"/>
      <c r="MN129" s="362"/>
      <c r="MO129" s="362"/>
      <c r="MP129" s="362"/>
      <c r="MQ129" s="362"/>
      <c r="MR129" s="362"/>
      <c r="MS129" s="362"/>
      <c r="MT129" s="362"/>
      <c r="MU129" s="362"/>
      <c r="MV129" s="362"/>
      <c r="MW129" s="362"/>
      <c r="MX129" s="363"/>
      <c r="MY129" s="333"/>
      <c r="MZ129" s="334"/>
      <c r="NA129" s="334"/>
      <c r="NB129" s="334"/>
      <c r="NC129" s="341"/>
      <c r="QM129" s="164"/>
      <c r="QQ129" s="165"/>
      <c r="QR129" s="166"/>
      <c r="QS129" s="189"/>
      <c r="QT129" s="189"/>
      <c r="QU129" s="189"/>
      <c r="QV129" s="189"/>
      <c r="QW129" s="190"/>
    </row>
    <row r="130" spans="3:465" ht="5.15" customHeight="1" x14ac:dyDescent="0.35">
      <c r="C130" s="161"/>
      <c r="D130" s="162"/>
      <c r="E130" s="164"/>
      <c r="CF130" s="364"/>
      <c r="CG130" s="365"/>
      <c r="CH130" s="365"/>
      <c r="CI130" s="365"/>
      <c r="CJ130" s="365"/>
      <c r="CK130" s="365"/>
      <c r="CL130" s="365"/>
      <c r="CM130" s="365"/>
      <c r="CN130" s="365"/>
      <c r="CO130" s="365"/>
      <c r="CP130" s="365"/>
      <c r="CQ130" s="365"/>
      <c r="CR130" s="365"/>
      <c r="CS130" s="365"/>
      <c r="CT130" s="365"/>
      <c r="CU130" s="365"/>
      <c r="CV130" s="365"/>
      <c r="CW130" s="365"/>
      <c r="CX130" s="365"/>
      <c r="CY130" s="365"/>
      <c r="CZ130" s="365"/>
      <c r="DA130" s="365"/>
      <c r="DB130" s="365"/>
      <c r="DC130" s="365"/>
      <c r="DD130" s="365"/>
      <c r="DE130" s="365"/>
      <c r="DF130" s="365"/>
      <c r="DG130" s="365"/>
      <c r="DH130" s="365"/>
      <c r="DI130" s="365"/>
      <c r="DJ130" s="365"/>
      <c r="DK130" s="365"/>
      <c r="DL130" s="365"/>
      <c r="DM130" s="365"/>
      <c r="DN130" s="365"/>
      <c r="DO130" s="365"/>
      <c r="DP130" s="365"/>
      <c r="DQ130" s="365"/>
      <c r="DR130" s="365"/>
      <c r="DS130" s="365"/>
      <c r="DT130" s="366"/>
      <c r="DU130" s="336"/>
      <c r="DV130" s="337"/>
      <c r="DW130" s="337"/>
      <c r="DX130" s="337"/>
      <c r="DY130" s="342"/>
      <c r="DZ130" s="178"/>
      <c r="EA130" s="178"/>
      <c r="EB130" s="178"/>
      <c r="EC130" s="178"/>
      <c r="ED130" s="178"/>
      <c r="EG130" s="364"/>
      <c r="EH130" s="365"/>
      <c r="EI130" s="365"/>
      <c r="EJ130" s="365"/>
      <c r="EK130" s="365"/>
      <c r="EL130" s="365"/>
      <c r="EM130" s="365"/>
      <c r="EN130" s="365"/>
      <c r="EO130" s="365"/>
      <c r="EP130" s="365"/>
      <c r="EQ130" s="365"/>
      <c r="ER130" s="365"/>
      <c r="ES130" s="365"/>
      <c r="ET130" s="365"/>
      <c r="EU130" s="365"/>
      <c r="EV130" s="365"/>
      <c r="EW130" s="365"/>
      <c r="EX130" s="365"/>
      <c r="EY130" s="365"/>
      <c r="EZ130" s="365"/>
      <c r="FA130" s="365"/>
      <c r="FB130" s="365"/>
      <c r="FC130" s="365"/>
      <c r="FD130" s="365"/>
      <c r="FE130" s="365"/>
      <c r="FF130" s="365"/>
      <c r="FG130" s="365"/>
      <c r="FH130" s="365"/>
      <c r="FI130" s="365"/>
      <c r="FJ130" s="365"/>
      <c r="FK130" s="365"/>
      <c r="FL130" s="365"/>
      <c r="FM130" s="365"/>
      <c r="FN130" s="365"/>
      <c r="FO130" s="365"/>
      <c r="FP130" s="365"/>
      <c r="FQ130" s="365"/>
      <c r="FR130" s="365"/>
      <c r="FS130" s="365"/>
      <c r="FT130" s="365"/>
      <c r="FU130" s="366"/>
      <c r="FV130" s="336"/>
      <c r="FW130" s="337"/>
      <c r="FX130" s="337"/>
      <c r="FY130" s="337"/>
      <c r="FZ130" s="342"/>
      <c r="JN130" s="371"/>
      <c r="JO130" s="372"/>
      <c r="JP130" s="372"/>
      <c r="JQ130" s="372"/>
      <c r="JR130" s="372"/>
      <c r="JS130" s="372"/>
      <c r="JT130" s="372"/>
      <c r="JU130" s="372"/>
      <c r="JV130" s="372"/>
      <c r="JW130" s="372"/>
      <c r="JX130" s="372"/>
      <c r="JY130" s="372"/>
      <c r="JZ130" s="372"/>
      <c r="KA130" s="372"/>
      <c r="KB130" s="372"/>
      <c r="KC130" s="372"/>
      <c r="KD130" s="372"/>
      <c r="KE130" s="372"/>
      <c r="KF130" s="372"/>
      <c r="KG130" s="372"/>
      <c r="KH130" s="372"/>
      <c r="KI130" s="372"/>
      <c r="KJ130" s="372"/>
      <c r="KK130" s="372"/>
      <c r="KL130" s="372"/>
      <c r="KM130" s="372"/>
      <c r="KN130" s="372"/>
      <c r="KO130" s="372"/>
      <c r="KP130" s="372"/>
      <c r="KQ130" s="372"/>
      <c r="KR130" s="372"/>
      <c r="KS130" s="372"/>
      <c r="KT130" s="372"/>
      <c r="KU130" s="372"/>
      <c r="KV130" s="372"/>
      <c r="KW130" s="372"/>
      <c r="KX130" s="372"/>
      <c r="KY130" s="372"/>
      <c r="KZ130" s="372"/>
      <c r="LA130" s="373"/>
      <c r="LB130" s="333"/>
      <c r="LC130" s="334"/>
      <c r="LD130" s="334"/>
      <c r="LE130" s="334"/>
      <c r="LF130" s="341"/>
      <c r="LK130" s="361"/>
      <c r="LL130" s="362"/>
      <c r="LM130" s="362"/>
      <c r="LN130" s="362"/>
      <c r="LO130" s="362"/>
      <c r="LP130" s="362"/>
      <c r="LQ130" s="362"/>
      <c r="LR130" s="362"/>
      <c r="LS130" s="362"/>
      <c r="LT130" s="362"/>
      <c r="LU130" s="362"/>
      <c r="LV130" s="362"/>
      <c r="LW130" s="362"/>
      <c r="LX130" s="362"/>
      <c r="LY130" s="362"/>
      <c r="LZ130" s="362"/>
      <c r="MA130" s="362"/>
      <c r="MB130" s="362"/>
      <c r="MC130" s="362"/>
      <c r="MD130" s="362"/>
      <c r="ME130" s="362"/>
      <c r="MF130" s="362"/>
      <c r="MG130" s="362"/>
      <c r="MH130" s="362"/>
      <c r="MI130" s="362"/>
      <c r="MJ130" s="362"/>
      <c r="MK130" s="362"/>
      <c r="ML130" s="362"/>
      <c r="MM130" s="362"/>
      <c r="MN130" s="362"/>
      <c r="MO130" s="362"/>
      <c r="MP130" s="362"/>
      <c r="MQ130" s="362"/>
      <c r="MR130" s="362"/>
      <c r="MS130" s="362"/>
      <c r="MT130" s="362"/>
      <c r="MU130" s="362"/>
      <c r="MV130" s="362"/>
      <c r="MW130" s="362"/>
      <c r="MX130" s="363"/>
      <c r="MY130" s="333"/>
      <c r="MZ130" s="334"/>
      <c r="NA130" s="334"/>
      <c r="NB130" s="334"/>
      <c r="NC130" s="341"/>
      <c r="QM130" s="164"/>
      <c r="QQ130" s="165"/>
      <c r="QR130" s="166"/>
      <c r="QS130" s="189"/>
      <c r="QT130" s="189"/>
      <c r="QU130" s="189"/>
      <c r="QV130" s="189"/>
      <c r="QW130" s="190"/>
    </row>
    <row r="131" spans="3:465" ht="5.15" customHeight="1" x14ac:dyDescent="0.35">
      <c r="C131" s="161"/>
      <c r="D131" s="162"/>
      <c r="E131" s="164"/>
      <c r="CX131" s="164"/>
      <c r="CY131" s="164"/>
      <c r="CZ131" s="164"/>
      <c r="DA131" s="164"/>
      <c r="DB131" s="164"/>
      <c r="DC131" s="169"/>
      <c r="DD131" s="164"/>
      <c r="DE131" s="164"/>
      <c r="DF131" s="164"/>
      <c r="DG131" s="164"/>
      <c r="DH131" s="164"/>
      <c r="DI131" s="164"/>
      <c r="DJ131" s="164"/>
      <c r="DK131" s="164"/>
      <c r="DL131" s="164"/>
      <c r="DM131" s="164"/>
      <c r="DN131" s="164"/>
      <c r="DO131" s="164"/>
      <c r="DP131" s="164"/>
      <c r="DQ131" s="164"/>
      <c r="DR131" s="164"/>
      <c r="DS131" s="164"/>
      <c r="DT131" s="164"/>
      <c r="DU131" s="164"/>
      <c r="DV131" s="164"/>
      <c r="DW131" s="164"/>
      <c r="DX131" s="164"/>
      <c r="DY131" s="164"/>
      <c r="DZ131" s="178"/>
      <c r="EA131" s="178"/>
      <c r="EB131" s="178"/>
      <c r="EC131" s="178"/>
      <c r="ED131" s="178"/>
      <c r="EY131" s="164"/>
      <c r="EZ131" s="164"/>
      <c r="FA131" s="164"/>
      <c r="FB131" s="164"/>
      <c r="FC131" s="164"/>
      <c r="FD131" s="169"/>
      <c r="FE131" s="164"/>
      <c r="FF131" s="164"/>
      <c r="FG131" s="164"/>
      <c r="FH131" s="164"/>
      <c r="FI131" s="164"/>
      <c r="FJ131" s="164"/>
      <c r="FK131" s="164"/>
      <c r="FL131" s="164"/>
      <c r="FM131" s="164"/>
      <c r="FN131" s="164"/>
      <c r="FO131" s="164"/>
      <c r="FP131" s="164"/>
      <c r="FQ131" s="164"/>
      <c r="FR131" s="164"/>
      <c r="FS131" s="164"/>
      <c r="FT131" s="164"/>
      <c r="FU131" s="164"/>
      <c r="FV131" s="164"/>
      <c r="FW131" s="164"/>
      <c r="FX131" s="164"/>
      <c r="FY131" s="164"/>
      <c r="FZ131" s="164"/>
      <c r="JN131" s="371"/>
      <c r="JO131" s="372"/>
      <c r="JP131" s="372"/>
      <c r="JQ131" s="372"/>
      <c r="JR131" s="372"/>
      <c r="JS131" s="372"/>
      <c r="JT131" s="372"/>
      <c r="JU131" s="372"/>
      <c r="JV131" s="372"/>
      <c r="JW131" s="372"/>
      <c r="JX131" s="372"/>
      <c r="JY131" s="372"/>
      <c r="JZ131" s="372"/>
      <c r="KA131" s="372"/>
      <c r="KB131" s="372"/>
      <c r="KC131" s="372"/>
      <c r="KD131" s="372"/>
      <c r="KE131" s="372"/>
      <c r="KF131" s="372"/>
      <c r="KG131" s="372"/>
      <c r="KH131" s="372"/>
      <c r="KI131" s="372"/>
      <c r="KJ131" s="372"/>
      <c r="KK131" s="372"/>
      <c r="KL131" s="372"/>
      <c r="KM131" s="372"/>
      <c r="KN131" s="372"/>
      <c r="KO131" s="372"/>
      <c r="KP131" s="372"/>
      <c r="KQ131" s="372"/>
      <c r="KR131" s="372"/>
      <c r="KS131" s="372"/>
      <c r="KT131" s="372"/>
      <c r="KU131" s="372"/>
      <c r="KV131" s="372"/>
      <c r="KW131" s="372"/>
      <c r="KX131" s="372"/>
      <c r="KY131" s="372"/>
      <c r="KZ131" s="372"/>
      <c r="LA131" s="373"/>
      <c r="LB131" s="333"/>
      <c r="LC131" s="334"/>
      <c r="LD131" s="334"/>
      <c r="LE131" s="334"/>
      <c r="LF131" s="341"/>
      <c r="LK131" s="361"/>
      <c r="LL131" s="362"/>
      <c r="LM131" s="362"/>
      <c r="LN131" s="362"/>
      <c r="LO131" s="362"/>
      <c r="LP131" s="362"/>
      <c r="LQ131" s="362"/>
      <c r="LR131" s="362"/>
      <c r="LS131" s="362"/>
      <c r="LT131" s="362"/>
      <c r="LU131" s="362"/>
      <c r="LV131" s="362"/>
      <c r="LW131" s="362"/>
      <c r="LX131" s="362"/>
      <c r="LY131" s="362"/>
      <c r="LZ131" s="362"/>
      <c r="MA131" s="362"/>
      <c r="MB131" s="362"/>
      <c r="MC131" s="362"/>
      <c r="MD131" s="362"/>
      <c r="ME131" s="362"/>
      <c r="MF131" s="362"/>
      <c r="MG131" s="362"/>
      <c r="MH131" s="362"/>
      <c r="MI131" s="362"/>
      <c r="MJ131" s="362"/>
      <c r="MK131" s="362"/>
      <c r="ML131" s="362"/>
      <c r="MM131" s="362"/>
      <c r="MN131" s="362"/>
      <c r="MO131" s="362"/>
      <c r="MP131" s="362"/>
      <c r="MQ131" s="362"/>
      <c r="MR131" s="362"/>
      <c r="MS131" s="362"/>
      <c r="MT131" s="362"/>
      <c r="MU131" s="362"/>
      <c r="MV131" s="362"/>
      <c r="MW131" s="362"/>
      <c r="MX131" s="363"/>
      <c r="MY131" s="333"/>
      <c r="MZ131" s="334"/>
      <c r="NA131" s="334"/>
      <c r="NB131" s="334"/>
      <c r="NC131" s="341"/>
      <c r="QM131" s="164"/>
      <c r="QQ131" s="165"/>
      <c r="QR131" s="166"/>
      <c r="QS131" s="189"/>
      <c r="QT131" s="189"/>
      <c r="QU131" s="189"/>
      <c r="QV131" s="189"/>
      <c r="QW131" s="190"/>
    </row>
    <row r="132" spans="3:465" ht="5.15" customHeight="1" x14ac:dyDescent="0.35">
      <c r="C132" s="161"/>
      <c r="D132" s="162"/>
      <c r="E132" s="164"/>
      <c r="CX132" s="164"/>
      <c r="CY132" s="164"/>
      <c r="CZ132" s="164"/>
      <c r="DA132" s="164"/>
      <c r="DB132" s="164"/>
      <c r="DC132" s="180"/>
      <c r="DD132" s="181"/>
      <c r="DE132" s="164"/>
      <c r="DF132" s="164"/>
      <c r="DG132" s="164"/>
      <c r="DH132" s="164"/>
      <c r="DI132" s="164"/>
      <c r="DJ132" s="164"/>
      <c r="DK132" s="164"/>
      <c r="DL132" s="164"/>
      <c r="DM132" s="164"/>
      <c r="DN132" s="164"/>
      <c r="DO132" s="164"/>
      <c r="DP132" s="164"/>
      <c r="DQ132" s="164"/>
      <c r="DR132" s="164"/>
      <c r="DS132" s="164"/>
      <c r="DT132" s="164"/>
      <c r="DU132" s="164"/>
      <c r="DV132" s="164"/>
      <c r="DW132" s="164"/>
      <c r="DX132" s="164"/>
      <c r="DY132" s="164"/>
      <c r="DZ132" s="178"/>
      <c r="EA132" s="178"/>
      <c r="EB132" s="178"/>
      <c r="EC132" s="178"/>
      <c r="ED132" s="178"/>
      <c r="EY132" s="164"/>
      <c r="EZ132" s="164"/>
      <c r="FA132" s="164"/>
      <c r="FB132" s="164"/>
      <c r="FC132" s="164"/>
      <c r="FD132" s="180"/>
      <c r="FE132" s="181"/>
      <c r="FF132" s="164"/>
      <c r="FG132" s="164"/>
      <c r="FH132" s="164"/>
      <c r="FI132" s="164"/>
      <c r="FJ132" s="164"/>
      <c r="FK132" s="164"/>
      <c r="FL132" s="164"/>
      <c r="FM132" s="164"/>
      <c r="FN132" s="164"/>
      <c r="FO132" s="164"/>
      <c r="FP132" s="164"/>
      <c r="FQ132" s="164"/>
      <c r="FR132" s="164"/>
      <c r="FS132" s="164"/>
      <c r="FT132" s="164"/>
      <c r="FU132" s="164"/>
      <c r="FV132" s="164"/>
      <c r="FW132" s="164"/>
      <c r="FX132" s="164"/>
      <c r="FY132" s="164"/>
      <c r="FZ132" s="164"/>
      <c r="JN132" s="374"/>
      <c r="JO132" s="375"/>
      <c r="JP132" s="375"/>
      <c r="JQ132" s="375"/>
      <c r="JR132" s="375"/>
      <c r="JS132" s="375"/>
      <c r="JT132" s="375"/>
      <c r="JU132" s="375"/>
      <c r="JV132" s="375"/>
      <c r="JW132" s="375"/>
      <c r="JX132" s="375"/>
      <c r="JY132" s="375"/>
      <c r="JZ132" s="375"/>
      <c r="KA132" s="375"/>
      <c r="KB132" s="375"/>
      <c r="KC132" s="375"/>
      <c r="KD132" s="375"/>
      <c r="KE132" s="375"/>
      <c r="KF132" s="375"/>
      <c r="KG132" s="375"/>
      <c r="KH132" s="375"/>
      <c r="KI132" s="375"/>
      <c r="KJ132" s="375"/>
      <c r="KK132" s="375"/>
      <c r="KL132" s="375"/>
      <c r="KM132" s="375"/>
      <c r="KN132" s="375"/>
      <c r="KO132" s="375"/>
      <c r="KP132" s="375"/>
      <c r="KQ132" s="375"/>
      <c r="KR132" s="375"/>
      <c r="KS132" s="375"/>
      <c r="KT132" s="375"/>
      <c r="KU132" s="375"/>
      <c r="KV132" s="375"/>
      <c r="KW132" s="375"/>
      <c r="KX132" s="375"/>
      <c r="KY132" s="375"/>
      <c r="KZ132" s="375"/>
      <c r="LA132" s="376"/>
      <c r="LB132" s="336"/>
      <c r="LC132" s="337"/>
      <c r="LD132" s="337"/>
      <c r="LE132" s="337"/>
      <c r="LF132" s="342"/>
      <c r="LK132" s="364"/>
      <c r="LL132" s="365"/>
      <c r="LM132" s="365"/>
      <c r="LN132" s="365"/>
      <c r="LO132" s="365"/>
      <c r="LP132" s="365"/>
      <c r="LQ132" s="365"/>
      <c r="LR132" s="365"/>
      <c r="LS132" s="365"/>
      <c r="LT132" s="365"/>
      <c r="LU132" s="365"/>
      <c r="LV132" s="365"/>
      <c r="LW132" s="365"/>
      <c r="LX132" s="365"/>
      <c r="LY132" s="365"/>
      <c r="LZ132" s="365"/>
      <c r="MA132" s="365"/>
      <c r="MB132" s="365"/>
      <c r="MC132" s="365"/>
      <c r="MD132" s="365"/>
      <c r="ME132" s="365"/>
      <c r="MF132" s="365"/>
      <c r="MG132" s="365"/>
      <c r="MH132" s="365"/>
      <c r="MI132" s="365"/>
      <c r="MJ132" s="365"/>
      <c r="MK132" s="365"/>
      <c r="ML132" s="365"/>
      <c r="MM132" s="365"/>
      <c r="MN132" s="365"/>
      <c r="MO132" s="365"/>
      <c r="MP132" s="365"/>
      <c r="MQ132" s="365"/>
      <c r="MR132" s="365"/>
      <c r="MS132" s="365"/>
      <c r="MT132" s="365"/>
      <c r="MU132" s="365"/>
      <c r="MV132" s="365"/>
      <c r="MW132" s="365"/>
      <c r="MX132" s="366"/>
      <c r="MY132" s="336"/>
      <c r="MZ132" s="337"/>
      <c r="NA132" s="337"/>
      <c r="NB132" s="337"/>
      <c r="NC132" s="342"/>
      <c r="QM132" s="164"/>
      <c r="QQ132" s="165"/>
      <c r="QR132" s="166"/>
      <c r="QS132" s="189"/>
      <c r="QT132" s="189"/>
      <c r="QU132" s="189"/>
      <c r="QV132" s="189"/>
      <c r="QW132" s="190"/>
    </row>
    <row r="133" spans="3:465" ht="5.15" customHeight="1" x14ac:dyDescent="0.35">
      <c r="C133" s="161"/>
      <c r="D133" s="162"/>
      <c r="E133" s="164"/>
      <c r="CF133" s="358" t="s">
        <v>293</v>
      </c>
      <c r="CG133" s="359"/>
      <c r="CH133" s="359"/>
      <c r="CI133" s="359"/>
      <c r="CJ133" s="359"/>
      <c r="CK133" s="359"/>
      <c r="CL133" s="359"/>
      <c r="CM133" s="359"/>
      <c r="CN133" s="359"/>
      <c r="CO133" s="359"/>
      <c r="CP133" s="359"/>
      <c r="CQ133" s="359"/>
      <c r="CR133" s="359"/>
      <c r="CS133" s="359"/>
      <c r="CT133" s="359"/>
      <c r="CU133" s="359"/>
      <c r="CV133" s="359"/>
      <c r="CW133" s="359"/>
      <c r="CX133" s="359"/>
      <c r="CY133" s="359"/>
      <c r="CZ133" s="359"/>
      <c r="DA133" s="359"/>
      <c r="DB133" s="359"/>
      <c r="DC133" s="359"/>
      <c r="DD133" s="359"/>
      <c r="DE133" s="359"/>
      <c r="DF133" s="359"/>
      <c r="DG133" s="359"/>
      <c r="DH133" s="359"/>
      <c r="DI133" s="359"/>
      <c r="DJ133" s="359"/>
      <c r="DK133" s="359"/>
      <c r="DL133" s="359"/>
      <c r="DM133" s="359"/>
      <c r="DN133" s="359"/>
      <c r="DO133" s="359"/>
      <c r="DP133" s="359"/>
      <c r="DQ133" s="359"/>
      <c r="DR133" s="359"/>
      <c r="DS133" s="359"/>
      <c r="DT133" s="360"/>
      <c r="DU133" s="330">
        <v>3</v>
      </c>
      <c r="DV133" s="331"/>
      <c r="DW133" s="331"/>
      <c r="DX133" s="331"/>
      <c r="DY133" s="340"/>
      <c r="EG133" s="358" t="s">
        <v>59</v>
      </c>
      <c r="EH133" s="359"/>
      <c r="EI133" s="359"/>
      <c r="EJ133" s="359"/>
      <c r="EK133" s="359"/>
      <c r="EL133" s="359"/>
      <c r="EM133" s="359"/>
      <c r="EN133" s="359"/>
      <c r="EO133" s="359"/>
      <c r="EP133" s="359"/>
      <c r="EQ133" s="359"/>
      <c r="ER133" s="359"/>
      <c r="ES133" s="359"/>
      <c r="ET133" s="359"/>
      <c r="EU133" s="359"/>
      <c r="EV133" s="359"/>
      <c r="EW133" s="359"/>
      <c r="EX133" s="359"/>
      <c r="EY133" s="359"/>
      <c r="EZ133" s="359"/>
      <c r="FA133" s="359"/>
      <c r="FB133" s="359"/>
      <c r="FC133" s="359"/>
      <c r="FD133" s="359"/>
      <c r="FE133" s="359"/>
      <c r="FF133" s="359"/>
      <c r="FG133" s="359"/>
      <c r="FH133" s="359"/>
      <c r="FI133" s="359"/>
      <c r="FJ133" s="359"/>
      <c r="FK133" s="359"/>
      <c r="FL133" s="359"/>
      <c r="FM133" s="359"/>
      <c r="FN133" s="359"/>
      <c r="FO133" s="359"/>
      <c r="FP133" s="359"/>
      <c r="FQ133" s="359"/>
      <c r="FR133" s="359"/>
      <c r="FS133" s="359"/>
      <c r="FT133" s="359"/>
      <c r="FU133" s="360"/>
      <c r="FV133" s="330">
        <v>4</v>
      </c>
      <c r="FW133" s="331"/>
      <c r="FX133" s="331"/>
      <c r="FY133" s="331"/>
      <c r="FZ133" s="340"/>
      <c r="JD133" s="167"/>
      <c r="JE133" s="167"/>
      <c r="JF133" s="167"/>
      <c r="JG133" s="167"/>
      <c r="JH133" s="167"/>
      <c r="JI133" s="167"/>
      <c r="JJ133" s="167"/>
      <c r="JK133" s="167"/>
      <c r="JL133" s="167"/>
      <c r="JM133" s="167"/>
      <c r="JN133" s="167"/>
      <c r="JO133" s="167"/>
      <c r="JP133" s="167"/>
      <c r="JQ133" s="167"/>
      <c r="JR133" s="167"/>
      <c r="JS133" s="167"/>
      <c r="JT133" s="167"/>
      <c r="JU133" s="167"/>
      <c r="JV133" s="167"/>
      <c r="JW133" s="167"/>
      <c r="JX133" s="167"/>
      <c r="JY133" s="167"/>
      <c r="JZ133" s="167"/>
      <c r="KA133" s="167"/>
      <c r="KB133" s="167"/>
      <c r="KC133" s="167"/>
      <c r="KD133" s="167"/>
      <c r="KE133" s="167"/>
      <c r="KF133" s="167"/>
      <c r="KG133" s="167"/>
      <c r="KH133" s="167"/>
      <c r="KI133" s="167"/>
      <c r="KJ133" s="167"/>
      <c r="KK133" s="167"/>
      <c r="KL133" s="167"/>
      <c r="KM133" s="167"/>
      <c r="KN133" s="167"/>
      <c r="KO133" s="167"/>
      <c r="KP133" s="167"/>
      <c r="KQ133" s="167"/>
      <c r="KR133" s="167"/>
      <c r="KS133" s="167"/>
      <c r="KT133" s="167"/>
      <c r="KU133" s="167"/>
      <c r="KV133" s="167"/>
      <c r="KW133" s="167"/>
      <c r="KX133" s="167"/>
      <c r="KY133" s="167"/>
      <c r="KZ133" s="167"/>
      <c r="LA133" s="167"/>
      <c r="LB133" s="167"/>
      <c r="LC133" s="167"/>
      <c r="LD133" s="167"/>
      <c r="LE133" s="167"/>
      <c r="LF133" s="167"/>
      <c r="LG133" s="167"/>
      <c r="LH133" s="167"/>
      <c r="LI133" s="167"/>
      <c r="LJ133" s="167"/>
      <c r="LK133" s="167"/>
      <c r="LL133" s="167"/>
      <c r="LM133" s="167"/>
      <c r="LN133" s="167"/>
      <c r="LO133" s="167"/>
      <c r="LP133" s="167"/>
      <c r="LQ133" s="167"/>
      <c r="LR133" s="167"/>
      <c r="LS133" s="167"/>
      <c r="LT133" s="167"/>
      <c r="LU133" s="167"/>
      <c r="LV133" s="167"/>
      <c r="LW133" s="167"/>
      <c r="LX133" s="167"/>
      <c r="LY133" s="167"/>
      <c r="LZ133" s="167"/>
      <c r="MA133" s="167"/>
      <c r="MB133" s="167"/>
      <c r="MC133" s="167"/>
      <c r="QM133" s="164"/>
      <c r="QQ133" s="165"/>
      <c r="QR133" s="166"/>
      <c r="QS133" s="189"/>
      <c r="QT133" s="189"/>
      <c r="QU133" s="189"/>
      <c r="QV133" s="189"/>
      <c r="QW133" s="190"/>
    </row>
    <row r="134" spans="3:465" ht="5.15" customHeight="1" x14ac:dyDescent="0.35">
      <c r="C134" s="161"/>
      <c r="D134" s="162"/>
      <c r="E134" s="164"/>
      <c r="CF134" s="361"/>
      <c r="CG134" s="362"/>
      <c r="CH134" s="362"/>
      <c r="CI134" s="362"/>
      <c r="CJ134" s="362"/>
      <c r="CK134" s="362"/>
      <c r="CL134" s="362"/>
      <c r="CM134" s="362"/>
      <c r="CN134" s="362"/>
      <c r="CO134" s="362"/>
      <c r="CP134" s="362"/>
      <c r="CQ134" s="362"/>
      <c r="CR134" s="362"/>
      <c r="CS134" s="362"/>
      <c r="CT134" s="362"/>
      <c r="CU134" s="362"/>
      <c r="CV134" s="362"/>
      <c r="CW134" s="362"/>
      <c r="CX134" s="362"/>
      <c r="CY134" s="362"/>
      <c r="CZ134" s="362"/>
      <c r="DA134" s="362"/>
      <c r="DB134" s="362"/>
      <c r="DC134" s="362"/>
      <c r="DD134" s="362"/>
      <c r="DE134" s="362"/>
      <c r="DF134" s="362"/>
      <c r="DG134" s="362"/>
      <c r="DH134" s="362"/>
      <c r="DI134" s="362"/>
      <c r="DJ134" s="362"/>
      <c r="DK134" s="362"/>
      <c r="DL134" s="362"/>
      <c r="DM134" s="362"/>
      <c r="DN134" s="362"/>
      <c r="DO134" s="362"/>
      <c r="DP134" s="362"/>
      <c r="DQ134" s="362"/>
      <c r="DR134" s="362"/>
      <c r="DS134" s="362"/>
      <c r="DT134" s="363"/>
      <c r="DU134" s="333"/>
      <c r="DV134" s="334"/>
      <c r="DW134" s="334"/>
      <c r="DX134" s="334"/>
      <c r="DY134" s="341"/>
      <c r="EG134" s="361"/>
      <c r="EH134" s="362"/>
      <c r="EI134" s="362"/>
      <c r="EJ134" s="362"/>
      <c r="EK134" s="362"/>
      <c r="EL134" s="362"/>
      <c r="EM134" s="362"/>
      <c r="EN134" s="362"/>
      <c r="EO134" s="362"/>
      <c r="EP134" s="362"/>
      <c r="EQ134" s="362"/>
      <c r="ER134" s="362"/>
      <c r="ES134" s="362"/>
      <c r="ET134" s="362"/>
      <c r="EU134" s="362"/>
      <c r="EV134" s="362"/>
      <c r="EW134" s="362"/>
      <c r="EX134" s="362"/>
      <c r="EY134" s="362"/>
      <c r="EZ134" s="362"/>
      <c r="FA134" s="362"/>
      <c r="FB134" s="362"/>
      <c r="FC134" s="362"/>
      <c r="FD134" s="362"/>
      <c r="FE134" s="362"/>
      <c r="FF134" s="362"/>
      <c r="FG134" s="362"/>
      <c r="FH134" s="362"/>
      <c r="FI134" s="362"/>
      <c r="FJ134" s="362"/>
      <c r="FK134" s="362"/>
      <c r="FL134" s="362"/>
      <c r="FM134" s="362"/>
      <c r="FN134" s="362"/>
      <c r="FO134" s="362"/>
      <c r="FP134" s="362"/>
      <c r="FQ134" s="362"/>
      <c r="FR134" s="362"/>
      <c r="FS134" s="362"/>
      <c r="FT134" s="362"/>
      <c r="FU134" s="363"/>
      <c r="FV134" s="333"/>
      <c r="FW134" s="334"/>
      <c r="FX134" s="334"/>
      <c r="FY134" s="334"/>
      <c r="FZ134" s="341"/>
      <c r="JD134" s="167"/>
      <c r="JE134" s="167"/>
      <c r="JF134" s="167"/>
      <c r="JG134" s="167"/>
      <c r="JH134" s="167"/>
      <c r="JI134" s="167"/>
      <c r="JJ134" s="167"/>
      <c r="JK134" s="167"/>
      <c r="JL134" s="167"/>
      <c r="JM134" s="167"/>
      <c r="JN134" s="167"/>
      <c r="JO134" s="167"/>
      <c r="JP134" s="167"/>
      <c r="JQ134" s="167"/>
      <c r="JR134" s="167"/>
      <c r="JS134" s="167"/>
      <c r="JT134" s="167"/>
      <c r="JU134" s="167"/>
      <c r="JV134" s="167"/>
      <c r="JW134" s="167"/>
      <c r="JX134" s="167"/>
      <c r="JY134" s="167"/>
      <c r="JZ134" s="167"/>
      <c r="KA134" s="167"/>
      <c r="KB134" s="167"/>
      <c r="KC134" s="167"/>
      <c r="KD134" s="167"/>
      <c r="KE134" s="167"/>
      <c r="KF134" s="167"/>
      <c r="KG134" s="167"/>
      <c r="KH134" s="167"/>
      <c r="KI134" s="167"/>
      <c r="KJ134" s="167"/>
      <c r="KK134" s="167"/>
      <c r="KL134" s="167"/>
      <c r="KM134" s="167"/>
      <c r="KN134" s="167"/>
      <c r="KO134" s="167"/>
      <c r="KP134" s="167"/>
      <c r="KQ134" s="167"/>
      <c r="KR134" s="167"/>
      <c r="KS134" s="167"/>
      <c r="KT134" s="167"/>
      <c r="KU134" s="167"/>
      <c r="KV134" s="167"/>
      <c r="KW134" s="167"/>
      <c r="KX134" s="167"/>
      <c r="KY134" s="167"/>
      <c r="KZ134" s="167"/>
      <c r="LA134" s="167"/>
      <c r="LB134" s="167"/>
      <c r="LC134" s="167"/>
      <c r="LD134" s="167"/>
      <c r="LE134" s="167"/>
      <c r="LF134" s="167"/>
      <c r="LG134" s="167"/>
      <c r="LH134" s="167"/>
      <c r="LI134" s="167"/>
      <c r="LJ134" s="167"/>
      <c r="LK134" s="167"/>
      <c r="LL134" s="167"/>
      <c r="LM134" s="167"/>
      <c r="LN134" s="167"/>
      <c r="LO134" s="167"/>
      <c r="LP134" s="167"/>
      <c r="LQ134" s="167"/>
      <c r="LR134" s="167"/>
      <c r="LS134" s="167"/>
      <c r="LT134" s="167"/>
      <c r="LU134" s="167"/>
      <c r="LV134" s="167"/>
      <c r="LW134" s="167"/>
      <c r="LX134" s="167"/>
      <c r="LY134" s="167"/>
      <c r="LZ134" s="167"/>
      <c r="MA134" s="167"/>
      <c r="MB134" s="167"/>
      <c r="MC134" s="167"/>
      <c r="QM134" s="164"/>
      <c r="QQ134" s="165"/>
      <c r="QR134" s="166"/>
      <c r="QS134" s="189"/>
      <c r="QT134" s="189"/>
      <c r="QU134" s="189"/>
      <c r="QV134" s="189"/>
      <c r="QW134" s="190"/>
    </row>
    <row r="135" spans="3:465" ht="5.15" customHeight="1" x14ac:dyDescent="0.35">
      <c r="C135" s="161"/>
      <c r="D135" s="162"/>
      <c r="E135" s="164"/>
      <c r="CF135" s="361"/>
      <c r="CG135" s="362"/>
      <c r="CH135" s="362"/>
      <c r="CI135" s="362"/>
      <c r="CJ135" s="362"/>
      <c r="CK135" s="362"/>
      <c r="CL135" s="362"/>
      <c r="CM135" s="362"/>
      <c r="CN135" s="362"/>
      <c r="CO135" s="362"/>
      <c r="CP135" s="362"/>
      <c r="CQ135" s="362"/>
      <c r="CR135" s="362"/>
      <c r="CS135" s="362"/>
      <c r="CT135" s="362"/>
      <c r="CU135" s="362"/>
      <c r="CV135" s="362"/>
      <c r="CW135" s="362"/>
      <c r="CX135" s="362"/>
      <c r="CY135" s="362"/>
      <c r="CZ135" s="362"/>
      <c r="DA135" s="362"/>
      <c r="DB135" s="362"/>
      <c r="DC135" s="362"/>
      <c r="DD135" s="362"/>
      <c r="DE135" s="362"/>
      <c r="DF135" s="362"/>
      <c r="DG135" s="362"/>
      <c r="DH135" s="362"/>
      <c r="DI135" s="362"/>
      <c r="DJ135" s="362"/>
      <c r="DK135" s="362"/>
      <c r="DL135" s="362"/>
      <c r="DM135" s="362"/>
      <c r="DN135" s="362"/>
      <c r="DO135" s="362"/>
      <c r="DP135" s="362"/>
      <c r="DQ135" s="362"/>
      <c r="DR135" s="362"/>
      <c r="DS135" s="362"/>
      <c r="DT135" s="363"/>
      <c r="DU135" s="333"/>
      <c r="DV135" s="334"/>
      <c r="DW135" s="334"/>
      <c r="DX135" s="334"/>
      <c r="DY135" s="341"/>
      <c r="EG135" s="361"/>
      <c r="EH135" s="362"/>
      <c r="EI135" s="362"/>
      <c r="EJ135" s="362"/>
      <c r="EK135" s="362"/>
      <c r="EL135" s="362"/>
      <c r="EM135" s="362"/>
      <c r="EN135" s="362"/>
      <c r="EO135" s="362"/>
      <c r="EP135" s="362"/>
      <c r="EQ135" s="362"/>
      <c r="ER135" s="362"/>
      <c r="ES135" s="362"/>
      <c r="ET135" s="362"/>
      <c r="EU135" s="362"/>
      <c r="EV135" s="362"/>
      <c r="EW135" s="362"/>
      <c r="EX135" s="362"/>
      <c r="EY135" s="362"/>
      <c r="EZ135" s="362"/>
      <c r="FA135" s="362"/>
      <c r="FB135" s="362"/>
      <c r="FC135" s="362"/>
      <c r="FD135" s="362"/>
      <c r="FE135" s="362"/>
      <c r="FF135" s="362"/>
      <c r="FG135" s="362"/>
      <c r="FH135" s="362"/>
      <c r="FI135" s="362"/>
      <c r="FJ135" s="362"/>
      <c r="FK135" s="362"/>
      <c r="FL135" s="362"/>
      <c r="FM135" s="362"/>
      <c r="FN135" s="362"/>
      <c r="FO135" s="362"/>
      <c r="FP135" s="362"/>
      <c r="FQ135" s="362"/>
      <c r="FR135" s="362"/>
      <c r="FS135" s="362"/>
      <c r="FT135" s="362"/>
      <c r="FU135" s="363"/>
      <c r="FV135" s="333"/>
      <c r="FW135" s="334"/>
      <c r="FX135" s="334"/>
      <c r="FY135" s="334"/>
      <c r="FZ135" s="341"/>
      <c r="JD135" s="167"/>
      <c r="JE135" s="167"/>
      <c r="JF135" s="167"/>
      <c r="JG135" s="167"/>
      <c r="JH135" s="167"/>
      <c r="JI135" s="167"/>
      <c r="JJ135" s="167"/>
      <c r="JK135" s="167"/>
      <c r="JL135" s="167"/>
      <c r="JM135" s="167"/>
      <c r="JN135" s="167"/>
      <c r="JO135" s="167"/>
      <c r="JP135" s="167"/>
      <c r="JQ135" s="167"/>
      <c r="JR135" s="167"/>
      <c r="JS135" s="167"/>
      <c r="JT135" s="167"/>
      <c r="JU135" s="167"/>
      <c r="JV135" s="167"/>
      <c r="JW135" s="167"/>
      <c r="JX135" s="167"/>
      <c r="JY135" s="167"/>
      <c r="JZ135" s="167"/>
      <c r="KA135" s="167"/>
      <c r="KB135" s="167"/>
      <c r="KC135" s="167"/>
      <c r="KD135" s="167"/>
      <c r="KE135" s="167"/>
      <c r="KF135" s="167"/>
      <c r="KG135" s="167"/>
      <c r="KH135" s="167"/>
      <c r="KI135" s="167"/>
      <c r="KJ135" s="167"/>
      <c r="KK135" s="167"/>
      <c r="KL135" s="167"/>
      <c r="KM135" s="167"/>
      <c r="KN135" s="167"/>
      <c r="KO135" s="167"/>
      <c r="KP135" s="167"/>
      <c r="KQ135" s="167"/>
      <c r="KR135" s="167"/>
      <c r="KS135" s="167"/>
      <c r="KT135" s="167"/>
      <c r="KU135" s="167"/>
      <c r="KV135" s="167"/>
      <c r="KW135" s="167"/>
      <c r="KX135" s="167"/>
      <c r="KY135" s="167"/>
      <c r="KZ135" s="167"/>
      <c r="LA135" s="167"/>
      <c r="LB135" s="167"/>
      <c r="LC135" s="167"/>
      <c r="LD135" s="167"/>
      <c r="LE135" s="167"/>
      <c r="LF135" s="167"/>
      <c r="LG135" s="167"/>
      <c r="LH135" s="167"/>
      <c r="LI135" s="167"/>
      <c r="LJ135" s="167"/>
      <c r="LK135" s="167"/>
      <c r="LL135" s="167"/>
      <c r="LM135" s="167"/>
      <c r="LN135" s="167"/>
      <c r="LO135" s="167"/>
      <c r="LP135" s="167"/>
      <c r="LQ135" s="167"/>
      <c r="LR135" s="167"/>
      <c r="LS135" s="167"/>
      <c r="LT135" s="167"/>
      <c r="LU135" s="167"/>
      <c r="LV135" s="167"/>
      <c r="LW135" s="167"/>
      <c r="LX135" s="167"/>
      <c r="LY135" s="167"/>
      <c r="LZ135" s="167"/>
      <c r="MA135" s="167"/>
      <c r="MB135" s="167"/>
      <c r="MC135" s="167"/>
      <c r="QM135" s="164"/>
      <c r="QQ135" s="165"/>
      <c r="QR135" s="166"/>
      <c r="QS135" s="189"/>
      <c r="QT135" s="189"/>
      <c r="QU135" s="189"/>
      <c r="QV135" s="189"/>
      <c r="QW135" s="190"/>
    </row>
    <row r="136" spans="3:465" ht="5.15" customHeight="1" x14ac:dyDescent="0.35">
      <c r="C136" s="161"/>
      <c r="D136" s="162"/>
      <c r="E136" s="164"/>
      <c r="CF136" s="361"/>
      <c r="CG136" s="362"/>
      <c r="CH136" s="362"/>
      <c r="CI136" s="362"/>
      <c r="CJ136" s="362"/>
      <c r="CK136" s="362"/>
      <c r="CL136" s="362"/>
      <c r="CM136" s="362"/>
      <c r="CN136" s="362"/>
      <c r="CO136" s="362"/>
      <c r="CP136" s="362"/>
      <c r="CQ136" s="362"/>
      <c r="CR136" s="362"/>
      <c r="CS136" s="362"/>
      <c r="CT136" s="362"/>
      <c r="CU136" s="362"/>
      <c r="CV136" s="362"/>
      <c r="CW136" s="362"/>
      <c r="CX136" s="362"/>
      <c r="CY136" s="362"/>
      <c r="CZ136" s="362"/>
      <c r="DA136" s="362"/>
      <c r="DB136" s="362"/>
      <c r="DC136" s="362"/>
      <c r="DD136" s="362"/>
      <c r="DE136" s="362"/>
      <c r="DF136" s="362"/>
      <c r="DG136" s="362"/>
      <c r="DH136" s="362"/>
      <c r="DI136" s="362"/>
      <c r="DJ136" s="362"/>
      <c r="DK136" s="362"/>
      <c r="DL136" s="362"/>
      <c r="DM136" s="362"/>
      <c r="DN136" s="362"/>
      <c r="DO136" s="362"/>
      <c r="DP136" s="362"/>
      <c r="DQ136" s="362"/>
      <c r="DR136" s="362"/>
      <c r="DS136" s="362"/>
      <c r="DT136" s="363"/>
      <c r="DU136" s="333"/>
      <c r="DV136" s="334"/>
      <c r="DW136" s="334"/>
      <c r="DX136" s="334"/>
      <c r="DY136" s="341"/>
      <c r="EG136" s="361"/>
      <c r="EH136" s="362"/>
      <c r="EI136" s="362"/>
      <c r="EJ136" s="362"/>
      <c r="EK136" s="362"/>
      <c r="EL136" s="362"/>
      <c r="EM136" s="362"/>
      <c r="EN136" s="362"/>
      <c r="EO136" s="362"/>
      <c r="EP136" s="362"/>
      <c r="EQ136" s="362"/>
      <c r="ER136" s="362"/>
      <c r="ES136" s="362"/>
      <c r="ET136" s="362"/>
      <c r="EU136" s="362"/>
      <c r="EV136" s="362"/>
      <c r="EW136" s="362"/>
      <c r="EX136" s="362"/>
      <c r="EY136" s="362"/>
      <c r="EZ136" s="362"/>
      <c r="FA136" s="362"/>
      <c r="FB136" s="362"/>
      <c r="FC136" s="362"/>
      <c r="FD136" s="362"/>
      <c r="FE136" s="362"/>
      <c r="FF136" s="362"/>
      <c r="FG136" s="362"/>
      <c r="FH136" s="362"/>
      <c r="FI136" s="362"/>
      <c r="FJ136" s="362"/>
      <c r="FK136" s="362"/>
      <c r="FL136" s="362"/>
      <c r="FM136" s="362"/>
      <c r="FN136" s="362"/>
      <c r="FO136" s="362"/>
      <c r="FP136" s="362"/>
      <c r="FQ136" s="362"/>
      <c r="FR136" s="362"/>
      <c r="FS136" s="362"/>
      <c r="FT136" s="362"/>
      <c r="FU136" s="363"/>
      <c r="FV136" s="333"/>
      <c r="FW136" s="334"/>
      <c r="FX136" s="334"/>
      <c r="FY136" s="334"/>
      <c r="FZ136" s="341"/>
      <c r="JD136" s="167"/>
      <c r="JE136" s="167"/>
      <c r="JF136" s="167"/>
      <c r="JG136" s="167"/>
      <c r="JH136" s="167"/>
      <c r="JI136" s="167"/>
      <c r="JJ136" s="167"/>
      <c r="JK136" s="167"/>
      <c r="JL136" s="167"/>
      <c r="JM136" s="167"/>
      <c r="JN136" s="167"/>
      <c r="JO136" s="167"/>
      <c r="JP136" s="167"/>
      <c r="JQ136" s="167"/>
      <c r="JR136" s="167"/>
      <c r="JS136" s="167"/>
      <c r="JT136" s="167"/>
      <c r="JU136" s="167"/>
      <c r="JV136" s="167"/>
      <c r="JW136" s="167"/>
      <c r="JX136" s="167"/>
      <c r="JY136" s="167"/>
      <c r="JZ136" s="167"/>
      <c r="KA136" s="167"/>
      <c r="KB136" s="167"/>
      <c r="KC136" s="167"/>
      <c r="KD136" s="167"/>
      <c r="KE136" s="167"/>
      <c r="KF136" s="167"/>
      <c r="KG136" s="167"/>
      <c r="KH136" s="167"/>
      <c r="KI136" s="167"/>
      <c r="KJ136" s="167"/>
      <c r="KK136" s="167"/>
      <c r="KL136" s="167"/>
      <c r="KM136" s="167"/>
      <c r="KN136" s="167"/>
      <c r="KO136" s="167"/>
      <c r="KP136" s="167"/>
      <c r="KQ136" s="167"/>
      <c r="KR136" s="167"/>
      <c r="KS136" s="167"/>
      <c r="KT136" s="167"/>
      <c r="KU136" s="167"/>
      <c r="KV136" s="167"/>
      <c r="KW136" s="167"/>
      <c r="KX136" s="167"/>
      <c r="KY136" s="167"/>
      <c r="KZ136" s="167"/>
      <c r="LA136" s="167"/>
      <c r="LB136" s="167"/>
      <c r="LC136" s="167"/>
      <c r="LD136" s="167"/>
      <c r="LE136" s="167"/>
      <c r="LF136" s="167"/>
      <c r="LG136" s="167"/>
      <c r="LH136" s="167"/>
      <c r="LI136" s="167"/>
      <c r="LJ136" s="167"/>
      <c r="LK136" s="167"/>
      <c r="LL136" s="167"/>
      <c r="LM136" s="167"/>
      <c r="LN136" s="167"/>
      <c r="LO136" s="167"/>
      <c r="LP136" s="167"/>
      <c r="LQ136" s="167"/>
      <c r="LR136" s="167"/>
      <c r="LS136" s="167"/>
      <c r="LT136" s="167"/>
      <c r="LU136" s="167"/>
      <c r="LV136" s="167"/>
      <c r="LW136" s="167"/>
      <c r="LX136" s="167"/>
      <c r="LY136" s="167"/>
      <c r="LZ136" s="167"/>
      <c r="MA136" s="167"/>
      <c r="MB136" s="167"/>
      <c r="MC136" s="167"/>
      <c r="QM136" s="164"/>
      <c r="QQ136" s="165"/>
      <c r="QR136" s="166"/>
      <c r="QS136" s="189"/>
      <c r="QT136" s="189"/>
      <c r="QU136" s="189"/>
      <c r="QV136" s="189"/>
      <c r="QW136" s="190"/>
    </row>
    <row r="137" spans="3:465" ht="5.15" customHeight="1" x14ac:dyDescent="0.35">
      <c r="C137" s="161"/>
      <c r="D137" s="162"/>
      <c r="E137" s="164"/>
      <c r="CF137" s="361"/>
      <c r="CG137" s="362"/>
      <c r="CH137" s="362"/>
      <c r="CI137" s="362"/>
      <c r="CJ137" s="362"/>
      <c r="CK137" s="362"/>
      <c r="CL137" s="362"/>
      <c r="CM137" s="362"/>
      <c r="CN137" s="362"/>
      <c r="CO137" s="362"/>
      <c r="CP137" s="362"/>
      <c r="CQ137" s="362"/>
      <c r="CR137" s="362"/>
      <c r="CS137" s="362"/>
      <c r="CT137" s="362"/>
      <c r="CU137" s="362"/>
      <c r="CV137" s="362"/>
      <c r="CW137" s="362"/>
      <c r="CX137" s="362"/>
      <c r="CY137" s="362"/>
      <c r="CZ137" s="362"/>
      <c r="DA137" s="362"/>
      <c r="DB137" s="362"/>
      <c r="DC137" s="362"/>
      <c r="DD137" s="362"/>
      <c r="DE137" s="362"/>
      <c r="DF137" s="362"/>
      <c r="DG137" s="362"/>
      <c r="DH137" s="362"/>
      <c r="DI137" s="362"/>
      <c r="DJ137" s="362"/>
      <c r="DK137" s="362"/>
      <c r="DL137" s="362"/>
      <c r="DM137" s="362"/>
      <c r="DN137" s="362"/>
      <c r="DO137" s="362"/>
      <c r="DP137" s="362"/>
      <c r="DQ137" s="362"/>
      <c r="DR137" s="362"/>
      <c r="DS137" s="362"/>
      <c r="DT137" s="363"/>
      <c r="DU137" s="333"/>
      <c r="DV137" s="334"/>
      <c r="DW137" s="334"/>
      <c r="DX137" s="334"/>
      <c r="DY137" s="341"/>
      <c r="EG137" s="361"/>
      <c r="EH137" s="362"/>
      <c r="EI137" s="362"/>
      <c r="EJ137" s="362"/>
      <c r="EK137" s="362"/>
      <c r="EL137" s="362"/>
      <c r="EM137" s="362"/>
      <c r="EN137" s="362"/>
      <c r="EO137" s="362"/>
      <c r="EP137" s="362"/>
      <c r="EQ137" s="362"/>
      <c r="ER137" s="362"/>
      <c r="ES137" s="362"/>
      <c r="ET137" s="362"/>
      <c r="EU137" s="362"/>
      <c r="EV137" s="362"/>
      <c r="EW137" s="362"/>
      <c r="EX137" s="362"/>
      <c r="EY137" s="362"/>
      <c r="EZ137" s="362"/>
      <c r="FA137" s="362"/>
      <c r="FB137" s="362"/>
      <c r="FC137" s="362"/>
      <c r="FD137" s="362"/>
      <c r="FE137" s="362"/>
      <c r="FF137" s="362"/>
      <c r="FG137" s="362"/>
      <c r="FH137" s="362"/>
      <c r="FI137" s="362"/>
      <c r="FJ137" s="362"/>
      <c r="FK137" s="362"/>
      <c r="FL137" s="362"/>
      <c r="FM137" s="362"/>
      <c r="FN137" s="362"/>
      <c r="FO137" s="362"/>
      <c r="FP137" s="362"/>
      <c r="FQ137" s="362"/>
      <c r="FR137" s="362"/>
      <c r="FS137" s="362"/>
      <c r="FT137" s="362"/>
      <c r="FU137" s="363"/>
      <c r="FV137" s="333"/>
      <c r="FW137" s="334"/>
      <c r="FX137" s="334"/>
      <c r="FY137" s="334"/>
      <c r="FZ137" s="341"/>
      <c r="JD137" s="167"/>
      <c r="JE137" s="167"/>
      <c r="JF137" s="167"/>
      <c r="JG137" s="167"/>
      <c r="JH137" s="167"/>
      <c r="JI137" s="167"/>
      <c r="JJ137" s="167"/>
      <c r="JK137" s="167"/>
      <c r="JL137" s="167"/>
      <c r="JM137" s="167"/>
      <c r="JN137" s="167"/>
      <c r="JO137" s="167"/>
      <c r="JP137" s="167"/>
      <c r="JQ137" s="167"/>
      <c r="JR137" s="167"/>
      <c r="JS137" s="167"/>
      <c r="JT137" s="167"/>
      <c r="JU137" s="167"/>
      <c r="JV137" s="167"/>
      <c r="JW137" s="167"/>
      <c r="JX137" s="167"/>
      <c r="JY137" s="167"/>
      <c r="JZ137" s="167"/>
      <c r="KA137" s="167"/>
      <c r="KB137" s="167"/>
      <c r="KC137" s="167"/>
      <c r="KD137" s="167"/>
      <c r="KE137" s="167"/>
      <c r="KF137" s="167"/>
      <c r="KG137" s="167"/>
      <c r="KH137" s="167"/>
      <c r="KI137" s="167"/>
      <c r="KJ137" s="167"/>
      <c r="KK137" s="167"/>
      <c r="KL137" s="167"/>
      <c r="KM137" s="167"/>
      <c r="KN137" s="167"/>
      <c r="KO137" s="167"/>
      <c r="KP137" s="167"/>
      <c r="KQ137" s="167"/>
      <c r="KR137" s="167"/>
      <c r="KS137" s="167"/>
      <c r="KT137" s="167"/>
      <c r="KU137" s="167"/>
      <c r="KV137" s="167"/>
      <c r="KW137" s="167"/>
      <c r="KX137" s="167"/>
      <c r="KY137" s="167"/>
      <c r="KZ137" s="167"/>
      <c r="LA137" s="167"/>
      <c r="LB137" s="167"/>
      <c r="LC137" s="167"/>
      <c r="LD137" s="167"/>
      <c r="LE137" s="167"/>
      <c r="LF137" s="167"/>
      <c r="LG137" s="167"/>
      <c r="LH137" s="167"/>
      <c r="LI137" s="167"/>
      <c r="LJ137" s="167"/>
      <c r="LK137" s="167"/>
      <c r="LL137" s="167"/>
      <c r="LM137" s="167"/>
      <c r="LN137" s="167"/>
      <c r="LO137" s="167"/>
      <c r="LP137" s="167"/>
      <c r="LQ137" s="167"/>
      <c r="LR137" s="167"/>
      <c r="LS137" s="167"/>
      <c r="LT137" s="167"/>
      <c r="LU137" s="167"/>
      <c r="LV137" s="167"/>
      <c r="LW137" s="167"/>
      <c r="LX137" s="167"/>
      <c r="LY137" s="167"/>
      <c r="LZ137" s="167"/>
      <c r="MA137" s="167"/>
      <c r="MB137" s="167"/>
      <c r="MC137" s="167"/>
      <c r="QM137" s="164"/>
      <c r="QQ137" s="165"/>
      <c r="QR137" s="166"/>
      <c r="QS137" s="189"/>
      <c r="QT137" s="189"/>
      <c r="QU137" s="189"/>
      <c r="QV137" s="189"/>
      <c r="QW137" s="190"/>
    </row>
    <row r="138" spans="3:465" ht="5.15" customHeight="1" x14ac:dyDescent="0.35">
      <c r="C138" s="161"/>
      <c r="D138" s="162"/>
      <c r="E138" s="164"/>
      <c r="CF138" s="361"/>
      <c r="CG138" s="362"/>
      <c r="CH138" s="362"/>
      <c r="CI138" s="362"/>
      <c r="CJ138" s="362"/>
      <c r="CK138" s="362"/>
      <c r="CL138" s="362"/>
      <c r="CM138" s="362"/>
      <c r="CN138" s="362"/>
      <c r="CO138" s="362"/>
      <c r="CP138" s="362"/>
      <c r="CQ138" s="362"/>
      <c r="CR138" s="362"/>
      <c r="CS138" s="362"/>
      <c r="CT138" s="362"/>
      <c r="CU138" s="362"/>
      <c r="CV138" s="362"/>
      <c r="CW138" s="362"/>
      <c r="CX138" s="362"/>
      <c r="CY138" s="362"/>
      <c r="CZ138" s="362"/>
      <c r="DA138" s="362"/>
      <c r="DB138" s="362"/>
      <c r="DC138" s="362"/>
      <c r="DD138" s="362"/>
      <c r="DE138" s="362"/>
      <c r="DF138" s="362"/>
      <c r="DG138" s="362"/>
      <c r="DH138" s="362"/>
      <c r="DI138" s="362"/>
      <c r="DJ138" s="362"/>
      <c r="DK138" s="362"/>
      <c r="DL138" s="362"/>
      <c r="DM138" s="362"/>
      <c r="DN138" s="362"/>
      <c r="DO138" s="362"/>
      <c r="DP138" s="362"/>
      <c r="DQ138" s="362"/>
      <c r="DR138" s="362"/>
      <c r="DS138" s="362"/>
      <c r="DT138" s="363"/>
      <c r="DU138" s="333"/>
      <c r="DV138" s="334"/>
      <c r="DW138" s="334"/>
      <c r="DX138" s="334"/>
      <c r="DY138" s="341"/>
      <c r="EG138" s="361"/>
      <c r="EH138" s="362"/>
      <c r="EI138" s="362"/>
      <c r="EJ138" s="362"/>
      <c r="EK138" s="362"/>
      <c r="EL138" s="362"/>
      <c r="EM138" s="362"/>
      <c r="EN138" s="362"/>
      <c r="EO138" s="362"/>
      <c r="EP138" s="362"/>
      <c r="EQ138" s="362"/>
      <c r="ER138" s="362"/>
      <c r="ES138" s="362"/>
      <c r="ET138" s="362"/>
      <c r="EU138" s="362"/>
      <c r="EV138" s="362"/>
      <c r="EW138" s="362"/>
      <c r="EX138" s="362"/>
      <c r="EY138" s="362"/>
      <c r="EZ138" s="362"/>
      <c r="FA138" s="362"/>
      <c r="FB138" s="362"/>
      <c r="FC138" s="362"/>
      <c r="FD138" s="362"/>
      <c r="FE138" s="362"/>
      <c r="FF138" s="362"/>
      <c r="FG138" s="362"/>
      <c r="FH138" s="362"/>
      <c r="FI138" s="362"/>
      <c r="FJ138" s="362"/>
      <c r="FK138" s="362"/>
      <c r="FL138" s="362"/>
      <c r="FM138" s="362"/>
      <c r="FN138" s="362"/>
      <c r="FO138" s="362"/>
      <c r="FP138" s="362"/>
      <c r="FQ138" s="362"/>
      <c r="FR138" s="362"/>
      <c r="FS138" s="362"/>
      <c r="FT138" s="362"/>
      <c r="FU138" s="363"/>
      <c r="FV138" s="333"/>
      <c r="FW138" s="334"/>
      <c r="FX138" s="334"/>
      <c r="FY138" s="334"/>
      <c r="FZ138" s="341"/>
      <c r="JD138" s="167"/>
      <c r="JE138" s="167"/>
      <c r="JF138" s="167"/>
      <c r="JG138" s="167"/>
      <c r="JH138" s="167"/>
      <c r="JI138" s="167"/>
      <c r="JJ138" s="167"/>
      <c r="JK138" s="167"/>
      <c r="JL138" s="167"/>
      <c r="JM138" s="167"/>
      <c r="JN138" s="167"/>
      <c r="JO138" s="167"/>
      <c r="JP138" s="167"/>
      <c r="JQ138" s="167"/>
      <c r="JR138" s="167"/>
      <c r="JS138" s="167"/>
      <c r="JT138" s="167"/>
      <c r="JU138" s="167"/>
      <c r="JV138" s="167"/>
      <c r="JW138" s="167"/>
      <c r="JX138" s="167"/>
      <c r="JY138" s="167"/>
      <c r="JZ138" s="167"/>
      <c r="KA138" s="167"/>
      <c r="KB138" s="167"/>
      <c r="KC138" s="167"/>
      <c r="KD138" s="167"/>
      <c r="KE138" s="167"/>
      <c r="KF138" s="167"/>
      <c r="KG138" s="167"/>
      <c r="KH138" s="167"/>
      <c r="KI138" s="167"/>
      <c r="KJ138" s="167"/>
      <c r="KK138" s="167"/>
      <c r="KL138" s="167"/>
      <c r="KM138" s="167"/>
      <c r="KN138" s="167"/>
      <c r="KO138" s="167"/>
      <c r="KP138" s="167"/>
      <c r="KQ138" s="167"/>
      <c r="KR138" s="167"/>
      <c r="KS138" s="167"/>
      <c r="KT138" s="167"/>
      <c r="KU138" s="167"/>
      <c r="KV138" s="167"/>
      <c r="KW138" s="167"/>
      <c r="KX138" s="167"/>
      <c r="KY138" s="167"/>
      <c r="KZ138" s="167"/>
      <c r="LA138" s="167"/>
      <c r="LB138" s="167"/>
      <c r="LC138" s="167"/>
      <c r="LD138" s="167"/>
      <c r="LE138" s="167"/>
      <c r="LF138" s="167"/>
      <c r="LG138" s="167"/>
      <c r="LH138" s="167"/>
      <c r="LI138" s="167"/>
      <c r="LJ138" s="167"/>
      <c r="LK138" s="167"/>
      <c r="LL138" s="167"/>
      <c r="LM138" s="167"/>
      <c r="LN138" s="167"/>
      <c r="LO138" s="167"/>
      <c r="LP138" s="167"/>
      <c r="LQ138" s="167"/>
      <c r="LR138" s="167"/>
      <c r="LS138" s="167"/>
      <c r="LT138" s="167"/>
      <c r="LU138" s="167"/>
      <c r="LV138" s="167"/>
      <c r="LW138" s="167"/>
      <c r="LX138" s="167"/>
      <c r="LY138" s="167"/>
      <c r="LZ138" s="167"/>
      <c r="MA138" s="167"/>
      <c r="MB138" s="167"/>
      <c r="MC138" s="167"/>
      <c r="QM138" s="164"/>
      <c r="QQ138" s="165"/>
      <c r="QR138" s="166"/>
      <c r="QS138" s="189"/>
      <c r="QT138" s="189"/>
      <c r="QU138" s="189"/>
      <c r="QV138" s="189"/>
      <c r="QW138" s="190"/>
    </row>
    <row r="139" spans="3:465" ht="5.15" customHeight="1" x14ac:dyDescent="0.35">
      <c r="C139" s="161"/>
      <c r="D139" s="162"/>
      <c r="E139" s="164"/>
      <c r="CF139" s="361"/>
      <c r="CG139" s="362"/>
      <c r="CH139" s="362"/>
      <c r="CI139" s="362"/>
      <c r="CJ139" s="362"/>
      <c r="CK139" s="362"/>
      <c r="CL139" s="362"/>
      <c r="CM139" s="362"/>
      <c r="CN139" s="362"/>
      <c r="CO139" s="362"/>
      <c r="CP139" s="362"/>
      <c r="CQ139" s="362"/>
      <c r="CR139" s="362"/>
      <c r="CS139" s="362"/>
      <c r="CT139" s="362"/>
      <c r="CU139" s="362"/>
      <c r="CV139" s="362"/>
      <c r="CW139" s="362"/>
      <c r="CX139" s="362"/>
      <c r="CY139" s="362"/>
      <c r="CZ139" s="362"/>
      <c r="DA139" s="362"/>
      <c r="DB139" s="362"/>
      <c r="DC139" s="362"/>
      <c r="DD139" s="362"/>
      <c r="DE139" s="362"/>
      <c r="DF139" s="362"/>
      <c r="DG139" s="362"/>
      <c r="DH139" s="362"/>
      <c r="DI139" s="362"/>
      <c r="DJ139" s="362"/>
      <c r="DK139" s="362"/>
      <c r="DL139" s="362"/>
      <c r="DM139" s="362"/>
      <c r="DN139" s="362"/>
      <c r="DO139" s="362"/>
      <c r="DP139" s="362"/>
      <c r="DQ139" s="362"/>
      <c r="DR139" s="362"/>
      <c r="DS139" s="362"/>
      <c r="DT139" s="363"/>
      <c r="DU139" s="333"/>
      <c r="DV139" s="334"/>
      <c r="DW139" s="334"/>
      <c r="DX139" s="334"/>
      <c r="DY139" s="341"/>
      <c r="EG139" s="361"/>
      <c r="EH139" s="362"/>
      <c r="EI139" s="362"/>
      <c r="EJ139" s="362"/>
      <c r="EK139" s="362"/>
      <c r="EL139" s="362"/>
      <c r="EM139" s="362"/>
      <c r="EN139" s="362"/>
      <c r="EO139" s="362"/>
      <c r="EP139" s="362"/>
      <c r="EQ139" s="362"/>
      <c r="ER139" s="362"/>
      <c r="ES139" s="362"/>
      <c r="ET139" s="362"/>
      <c r="EU139" s="362"/>
      <c r="EV139" s="362"/>
      <c r="EW139" s="362"/>
      <c r="EX139" s="362"/>
      <c r="EY139" s="362"/>
      <c r="EZ139" s="362"/>
      <c r="FA139" s="362"/>
      <c r="FB139" s="362"/>
      <c r="FC139" s="362"/>
      <c r="FD139" s="362"/>
      <c r="FE139" s="362"/>
      <c r="FF139" s="362"/>
      <c r="FG139" s="362"/>
      <c r="FH139" s="362"/>
      <c r="FI139" s="362"/>
      <c r="FJ139" s="362"/>
      <c r="FK139" s="362"/>
      <c r="FL139" s="362"/>
      <c r="FM139" s="362"/>
      <c r="FN139" s="362"/>
      <c r="FO139" s="362"/>
      <c r="FP139" s="362"/>
      <c r="FQ139" s="362"/>
      <c r="FR139" s="362"/>
      <c r="FS139" s="362"/>
      <c r="FT139" s="362"/>
      <c r="FU139" s="363"/>
      <c r="FV139" s="333"/>
      <c r="FW139" s="334"/>
      <c r="FX139" s="334"/>
      <c r="FY139" s="334"/>
      <c r="FZ139" s="341"/>
      <c r="IY139" s="164"/>
      <c r="IZ139" s="164"/>
      <c r="JA139" s="164"/>
      <c r="JB139" s="164"/>
      <c r="JC139" s="164"/>
      <c r="JD139" s="167"/>
      <c r="JE139" s="167"/>
      <c r="JF139" s="167"/>
      <c r="JG139" s="167"/>
      <c r="JH139" s="167"/>
      <c r="JI139" s="167"/>
      <c r="JJ139" s="167"/>
      <c r="JK139" s="167"/>
      <c r="JL139" s="167"/>
      <c r="JM139" s="167"/>
      <c r="JN139" s="167"/>
      <c r="JO139" s="167"/>
      <c r="JP139" s="167"/>
      <c r="JQ139" s="167"/>
      <c r="JR139" s="167"/>
      <c r="JS139" s="167"/>
      <c r="JT139" s="167"/>
      <c r="JU139" s="167"/>
      <c r="JV139" s="167"/>
      <c r="JW139" s="167"/>
      <c r="JX139" s="167"/>
      <c r="JY139" s="167"/>
      <c r="JZ139" s="167"/>
      <c r="KA139" s="167"/>
      <c r="KB139" s="167"/>
      <c r="KC139" s="167"/>
      <c r="KD139" s="167"/>
      <c r="KE139" s="167"/>
      <c r="KF139" s="167"/>
      <c r="KG139" s="167"/>
      <c r="KH139" s="167"/>
      <c r="KI139" s="167"/>
      <c r="KJ139" s="167"/>
      <c r="KK139" s="167"/>
      <c r="KL139" s="167"/>
      <c r="KM139" s="167"/>
      <c r="KN139" s="167"/>
      <c r="KO139" s="167"/>
      <c r="KP139" s="167"/>
      <c r="KQ139" s="167"/>
      <c r="KR139" s="167"/>
      <c r="KS139" s="167"/>
      <c r="KT139" s="167"/>
      <c r="KU139" s="167"/>
      <c r="KV139" s="167"/>
      <c r="KW139" s="167"/>
      <c r="KX139" s="167"/>
      <c r="KY139" s="167"/>
      <c r="KZ139" s="167"/>
      <c r="LA139" s="167"/>
      <c r="LB139" s="167"/>
      <c r="LC139" s="167"/>
      <c r="LD139" s="167"/>
      <c r="LE139" s="167"/>
      <c r="LF139" s="167"/>
      <c r="LG139" s="167"/>
      <c r="LH139" s="167"/>
      <c r="LI139" s="167"/>
      <c r="LJ139" s="167"/>
      <c r="LK139" s="167"/>
      <c r="LL139" s="167"/>
      <c r="LM139" s="167"/>
      <c r="LN139" s="167"/>
      <c r="LO139" s="167"/>
      <c r="LP139" s="167"/>
      <c r="LQ139" s="167"/>
      <c r="LR139" s="167"/>
      <c r="LS139" s="167"/>
      <c r="LT139" s="167"/>
      <c r="LU139" s="167"/>
      <c r="LV139" s="167"/>
      <c r="LW139" s="167"/>
      <c r="LX139" s="167"/>
      <c r="LY139" s="167"/>
      <c r="LZ139" s="167"/>
      <c r="MA139" s="167"/>
      <c r="MB139" s="167"/>
      <c r="MC139" s="167"/>
      <c r="QM139" s="164"/>
      <c r="QQ139" s="165"/>
      <c r="QR139" s="166"/>
      <c r="QS139" s="189"/>
      <c r="QT139" s="189"/>
      <c r="QU139" s="189"/>
      <c r="QV139" s="189"/>
      <c r="QW139" s="190"/>
    </row>
    <row r="140" spans="3:465" ht="5.15" customHeight="1" x14ac:dyDescent="0.35">
      <c r="C140" s="161"/>
      <c r="D140" s="162"/>
      <c r="E140" s="164"/>
      <c r="CF140" s="361"/>
      <c r="CG140" s="362"/>
      <c r="CH140" s="362"/>
      <c r="CI140" s="362"/>
      <c r="CJ140" s="362"/>
      <c r="CK140" s="362"/>
      <c r="CL140" s="362"/>
      <c r="CM140" s="362"/>
      <c r="CN140" s="362"/>
      <c r="CO140" s="362"/>
      <c r="CP140" s="362"/>
      <c r="CQ140" s="362"/>
      <c r="CR140" s="362"/>
      <c r="CS140" s="362"/>
      <c r="CT140" s="362"/>
      <c r="CU140" s="362"/>
      <c r="CV140" s="362"/>
      <c r="CW140" s="362"/>
      <c r="CX140" s="362"/>
      <c r="CY140" s="362"/>
      <c r="CZ140" s="362"/>
      <c r="DA140" s="362"/>
      <c r="DB140" s="362"/>
      <c r="DC140" s="362"/>
      <c r="DD140" s="362"/>
      <c r="DE140" s="362"/>
      <c r="DF140" s="362"/>
      <c r="DG140" s="362"/>
      <c r="DH140" s="362"/>
      <c r="DI140" s="362"/>
      <c r="DJ140" s="362"/>
      <c r="DK140" s="362"/>
      <c r="DL140" s="362"/>
      <c r="DM140" s="362"/>
      <c r="DN140" s="362"/>
      <c r="DO140" s="362"/>
      <c r="DP140" s="362"/>
      <c r="DQ140" s="362"/>
      <c r="DR140" s="362"/>
      <c r="DS140" s="362"/>
      <c r="DT140" s="363"/>
      <c r="DU140" s="333"/>
      <c r="DV140" s="334"/>
      <c r="DW140" s="334"/>
      <c r="DX140" s="334"/>
      <c r="DY140" s="341"/>
      <c r="EG140" s="361"/>
      <c r="EH140" s="362"/>
      <c r="EI140" s="362"/>
      <c r="EJ140" s="362"/>
      <c r="EK140" s="362"/>
      <c r="EL140" s="362"/>
      <c r="EM140" s="362"/>
      <c r="EN140" s="362"/>
      <c r="EO140" s="362"/>
      <c r="EP140" s="362"/>
      <c r="EQ140" s="362"/>
      <c r="ER140" s="362"/>
      <c r="ES140" s="362"/>
      <c r="ET140" s="362"/>
      <c r="EU140" s="362"/>
      <c r="EV140" s="362"/>
      <c r="EW140" s="362"/>
      <c r="EX140" s="362"/>
      <c r="EY140" s="362"/>
      <c r="EZ140" s="362"/>
      <c r="FA140" s="362"/>
      <c r="FB140" s="362"/>
      <c r="FC140" s="362"/>
      <c r="FD140" s="362"/>
      <c r="FE140" s="362"/>
      <c r="FF140" s="362"/>
      <c r="FG140" s="362"/>
      <c r="FH140" s="362"/>
      <c r="FI140" s="362"/>
      <c r="FJ140" s="362"/>
      <c r="FK140" s="362"/>
      <c r="FL140" s="362"/>
      <c r="FM140" s="362"/>
      <c r="FN140" s="362"/>
      <c r="FO140" s="362"/>
      <c r="FP140" s="362"/>
      <c r="FQ140" s="362"/>
      <c r="FR140" s="362"/>
      <c r="FS140" s="362"/>
      <c r="FT140" s="362"/>
      <c r="FU140" s="363"/>
      <c r="FV140" s="333"/>
      <c r="FW140" s="334"/>
      <c r="FX140" s="334"/>
      <c r="FY140" s="334"/>
      <c r="FZ140" s="341"/>
      <c r="IY140" s="164"/>
      <c r="IZ140" s="164"/>
      <c r="JA140" s="164"/>
      <c r="JB140" s="164"/>
      <c r="JC140" s="164"/>
      <c r="JD140" s="167"/>
      <c r="JE140" s="167"/>
      <c r="JF140" s="167"/>
      <c r="JG140" s="167"/>
      <c r="JH140" s="167"/>
      <c r="JI140" s="167"/>
      <c r="JJ140" s="167"/>
      <c r="JK140" s="167"/>
      <c r="JL140" s="167"/>
      <c r="JM140" s="167"/>
      <c r="JN140" s="167"/>
      <c r="JO140" s="167"/>
      <c r="JP140" s="167"/>
      <c r="JQ140" s="167"/>
      <c r="JR140" s="167"/>
      <c r="JS140" s="167"/>
      <c r="JT140" s="167"/>
      <c r="JU140" s="167"/>
      <c r="JV140" s="167"/>
      <c r="JW140" s="167"/>
      <c r="JX140" s="167"/>
      <c r="JY140" s="167"/>
      <c r="JZ140" s="167"/>
      <c r="KA140" s="167"/>
      <c r="KB140" s="167"/>
      <c r="KC140" s="167"/>
      <c r="KD140" s="167"/>
      <c r="KE140" s="167"/>
      <c r="KF140" s="167"/>
      <c r="KG140" s="167"/>
      <c r="KH140" s="167"/>
      <c r="KI140" s="167"/>
      <c r="KJ140" s="167"/>
      <c r="KK140" s="167"/>
      <c r="KL140" s="167"/>
      <c r="KM140" s="167"/>
      <c r="KN140" s="167"/>
      <c r="KO140" s="167"/>
      <c r="KP140" s="167"/>
      <c r="KQ140" s="167"/>
      <c r="KR140" s="167"/>
      <c r="KS140" s="167"/>
      <c r="KT140" s="167"/>
      <c r="KU140" s="167"/>
      <c r="KV140" s="167"/>
      <c r="KW140" s="167"/>
      <c r="KX140" s="167"/>
      <c r="KY140" s="167"/>
      <c r="KZ140" s="167"/>
      <c r="LA140" s="167"/>
      <c r="LB140" s="167"/>
      <c r="LC140" s="167"/>
      <c r="LD140" s="167"/>
      <c r="LE140" s="167"/>
      <c r="LF140" s="167"/>
      <c r="LG140" s="167"/>
      <c r="LH140" s="167"/>
      <c r="LI140" s="167"/>
      <c r="LJ140" s="167"/>
      <c r="LK140" s="167"/>
      <c r="LL140" s="167"/>
      <c r="LM140" s="167"/>
      <c r="LN140" s="167"/>
      <c r="LO140" s="167"/>
      <c r="LP140" s="167"/>
      <c r="LQ140" s="167"/>
      <c r="LR140" s="167"/>
      <c r="LS140" s="167"/>
      <c r="LT140" s="167"/>
      <c r="LU140" s="167"/>
      <c r="LV140" s="167"/>
      <c r="LW140" s="167"/>
      <c r="LX140" s="167"/>
      <c r="LY140" s="167"/>
      <c r="LZ140" s="167"/>
      <c r="MA140" s="167"/>
      <c r="MB140" s="167"/>
      <c r="MC140" s="167"/>
      <c r="QM140" s="164"/>
      <c r="QQ140" s="165"/>
      <c r="QR140" s="166"/>
      <c r="QS140" s="189"/>
      <c r="QT140" s="189"/>
      <c r="QU140" s="189"/>
      <c r="QV140" s="189"/>
      <c r="QW140" s="190"/>
    </row>
    <row r="141" spans="3:465" ht="5.15" customHeight="1" x14ac:dyDescent="0.35">
      <c r="C141" s="161"/>
      <c r="D141" s="162"/>
      <c r="E141" s="164"/>
      <c r="CF141" s="361"/>
      <c r="CG141" s="362"/>
      <c r="CH141" s="362"/>
      <c r="CI141" s="362"/>
      <c r="CJ141" s="362"/>
      <c r="CK141" s="362"/>
      <c r="CL141" s="362"/>
      <c r="CM141" s="362"/>
      <c r="CN141" s="362"/>
      <c r="CO141" s="362"/>
      <c r="CP141" s="362"/>
      <c r="CQ141" s="362"/>
      <c r="CR141" s="362"/>
      <c r="CS141" s="362"/>
      <c r="CT141" s="362"/>
      <c r="CU141" s="362"/>
      <c r="CV141" s="362"/>
      <c r="CW141" s="362"/>
      <c r="CX141" s="362"/>
      <c r="CY141" s="362"/>
      <c r="CZ141" s="362"/>
      <c r="DA141" s="362"/>
      <c r="DB141" s="362"/>
      <c r="DC141" s="362"/>
      <c r="DD141" s="362"/>
      <c r="DE141" s="362"/>
      <c r="DF141" s="362"/>
      <c r="DG141" s="362"/>
      <c r="DH141" s="362"/>
      <c r="DI141" s="362"/>
      <c r="DJ141" s="362"/>
      <c r="DK141" s="362"/>
      <c r="DL141" s="362"/>
      <c r="DM141" s="362"/>
      <c r="DN141" s="362"/>
      <c r="DO141" s="362"/>
      <c r="DP141" s="362"/>
      <c r="DQ141" s="362"/>
      <c r="DR141" s="362"/>
      <c r="DS141" s="362"/>
      <c r="DT141" s="363"/>
      <c r="DU141" s="333"/>
      <c r="DV141" s="334"/>
      <c r="DW141" s="334"/>
      <c r="DX141" s="334"/>
      <c r="DY141" s="341"/>
      <c r="EG141" s="361"/>
      <c r="EH141" s="362"/>
      <c r="EI141" s="362"/>
      <c r="EJ141" s="362"/>
      <c r="EK141" s="362"/>
      <c r="EL141" s="362"/>
      <c r="EM141" s="362"/>
      <c r="EN141" s="362"/>
      <c r="EO141" s="362"/>
      <c r="EP141" s="362"/>
      <c r="EQ141" s="362"/>
      <c r="ER141" s="362"/>
      <c r="ES141" s="362"/>
      <c r="ET141" s="362"/>
      <c r="EU141" s="362"/>
      <c r="EV141" s="362"/>
      <c r="EW141" s="362"/>
      <c r="EX141" s="362"/>
      <c r="EY141" s="362"/>
      <c r="EZ141" s="362"/>
      <c r="FA141" s="362"/>
      <c r="FB141" s="362"/>
      <c r="FC141" s="362"/>
      <c r="FD141" s="362"/>
      <c r="FE141" s="362"/>
      <c r="FF141" s="362"/>
      <c r="FG141" s="362"/>
      <c r="FH141" s="362"/>
      <c r="FI141" s="362"/>
      <c r="FJ141" s="362"/>
      <c r="FK141" s="362"/>
      <c r="FL141" s="362"/>
      <c r="FM141" s="362"/>
      <c r="FN141" s="362"/>
      <c r="FO141" s="362"/>
      <c r="FP141" s="362"/>
      <c r="FQ141" s="362"/>
      <c r="FR141" s="362"/>
      <c r="FS141" s="362"/>
      <c r="FT141" s="362"/>
      <c r="FU141" s="363"/>
      <c r="FV141" s="333"/>
      <c r="FW141" s="334"/>
      <c r="FX141" s="334"/>
      <c r="FY141" s="334"/>
      <c r="FZ141" s="341"/>
      <c r="IY141" s="164"/>
      <c r="IZ141" s="164"/>
      <c r="JA141" s="164"/>
      <c r="JB141" s="164"/>
      <c r="JC141" s="164"/>
      <c r="JD141" s="167"/>
      <c r="JE141" s="167"/>
      <c r="JF141" s="167"/>
      <c r="JG141" s="167"/>
      <c r="JH141" s="167"/>
      <c r="JI141" s="167"/>
      <c r="JJ141" s="167"/>
      <c r="JK141" s="167"/>
      <c r="JL141" s="167"/>
      <c r="JM141" s="167"/>
      <c r="JN141" s="167"/>
      <c r="JO141" s="167"/>
      <c r="JP141" s="167"/>
      <c r="JQ141" s="167"/>
      <c r="JR141" s="167"/>
      <c r="JS141" s="167"/>
      <c r="JT141" s="167"/>
      <c r="JU141" s="167"/>
      <c r="JV141" s="167"/>
      <c r="JW141" s="167"/>
      <c r="JX141" s="167"/>
      <c r="JY141" s="167"/>
      <c r="JZ141" s="167"/>
      <c r="KA141" s="167"/>
      <c r="KB141" s="167"/>
      <c r="KC141" s="167"/>
      <c r="KD141" s="167"/>
      <c r="KE141" s="167"/>
      <c r="KF141" s="167"/>
      <c r="KG141" s="167"/>
      <c r="KH141" s="167"/>
      <c r="KI141" s="167"/>
      <c r="KJ141" s="167"/>
      <c r="KK141" s="167"/>
      <c r="KL141" s="167"/>
      <c r="KM141" s="167"/>
      <c r="KN141" s="167"/>
      <c r="KO141" s="167"/>
      <c r="KP141" s="167"/>
      <c r="KQ141" s="167"/>
      <c r="KR141" s="167"/>
      <c r="KS141" s="167"/>
      <c r="KT141" s="167"/>
      <c r="KU141" s="167"/>
      <c r="KV141" s="167"/>
      <c r="KW141" s="167"/>
      <c r="KX141" s="167"/>
      <c r="KY141" s="167"/>
      <c r="KZ141" s="167"/>
      <c r="LA141" s="167"/>
      <c r="LB141" s="167"/>
      <c r="LC141" s="167"/>
      <c r="LD141" s="167"/>
      <c r="LE141" s="167"/>
      <c r="LF141" s="167"/>
      <c r="LG141" s="167"/>
      <c r="LH141" s="167"/>
      <c r="LI141" s="167"/>
      <c r="LJ141" s="167"/>
      <c r="LK141" s="167"/>
      <c r="LL141" s="167"/>
      <c r="LM141" s="167"/>
      <c r="LN141" s="167"/>
      <c r="LO141" s="167"/>
      <c r="LP141" s="167"/>
      <c r="LQ141" s="167"/>
      <c r="LR141" s="167"/>
      <c r="LS141" s="167"/>
      <c r="LT141" s="167"/>
      <c r="LU141" s="167"/>
      <c r="LV141" s="167"/>
      <c r="LW141" s="167"/>
      <c r="LX141" s="167"/>
      <c r="LY141" s="167"/>
      <c r="LZ141" s="167"/>
      <c r="MA141" s="167"/>
      <c r="MB141" s="167"/>
      <c r="MC141" s="167"/>
      <c r="QM141" s="164"/>
      <c r="QQ141" s="165"/>
      <c r="QR141" s="166"/>
      <c r="QS141" s="189"/>
      <c r="QT141" s="189"/>
      <c r="QU141" s="189"/>
      <c r="QV141" s="189"/>
      <c r="QW141" s="190"/>
    </row>
    <row r="142" spans="3:465" ht="5.15" customHeight="1" x14ac:dyDescent="0.35">
      <c r="C142" s="161"/>
      <c r="D142" s="162"/>
      <c r="E142" s="164"/>
      <c r="CF142" s="364"/>
      <c r="CG142" s="365"/>
      <c r="CH142" s="365"/>
      <c r="CI142" s="365"/>
      <c r="CJ142" s="365"/>
      <c r="CK142" s="365"/>
      <c r="CL142" s="365"/>
      <c r="CM142" s="365"/>
      <c r="CN142" s="365"/>
      <c r="CO142" s="365"/>
      <c r="CP142" s="365"/>
      <c r="CQ142" s="365"/>
      <c r="CR142" s="365"/>
      <c r="CS142" s="365"/>
      <c r="CT142" s="365"/>
      <c r="CU142" s="365"/>
      <c r="CV142" s="365"/>
      <c r="CW142" s="365"/>
      <c r="CX142" s="365"/>
      <c r="CY142" s="365"/>
      <c r="CZ142" s="365"/>
      <c r="DA142" s="365"/>
      <c r="DB142" s="365"/>
      <c r="DC142" s="365"/>
      <c r="DD142" s="365"/>
      <c r="DE142" s="365"/>
      <c r="DF142" s="365"/>
      <c r="DG142" s="365"/>
      <c r="DH142" s="365"/>
      <c r="DI142" s="365"/>
      <c r="DJ142" s="365"/>
      <c r="DK142" s="365"/>
      <c r="DL142" s="365"/>
      <c r="DM142" s="365"/>
      <c r="DN142" s="365"/>
      <c r="DO142" s="365"/>
      <c r="DP142" s="365"/>
      <c r="DQ142" s="365"/>
      <c r="DR142" s="365"/>
      <c r="DS142" s="365"/>
      <c r="DT142" s="366"/>
      <c r="DU142" s="336"/>
      <c r="DV142" s="337"/>
      <c r="DW142" s="337"/>
      <c r="DX142" s="337"/>
      <c r="DY142" s="342"/>
      <c r="EG142" s="364"/>
      <c r="EH142" s="365"/>
      <c r="EI142" s="365"/>
      <c r="EJ142" s="365"/>
      <c r="EK142" s="365"/>
      <c r="EL142" s="365"/>
      <c r="EM142" s="365"/>
      <c r="EN142" s="365"/>
      <c r="EO142" s="365"/>
      <c r="EP142" s="365"/>
      <c r="EQ142" s="365"/>
      <c r="ER142" s="365"/>
      <c r="ES142" s="365"/>
      <c r="ET142" s="365"/>
      <c r="EU142" s="365"/>
      <c r="EV142" s="365"/>
      <c r="EW142" s="365"/>
      <c r="EX142" s="365"/>
      <c r="EY142" s="365"/>
      <c r="EZ142" s="365"/>
      <c r="FA142" s="365"/>
      <c r="FB142" s="365"/>
      <c r="FC142" s="365"/>
      <c r="FD142" s="365"/>
      <c r="FE142" s="365"/>
      <c r="FF142" s="365"/>
      <c r="FG142" s="365"/>
      <c r="FH142" s="365"/>
      <c r="FI142" s="365"/>
      <c r="FJ142" s="365"/>
      <c r="FK142" s="365"/>
      <c r="FL142" s="365"/>
      <c r="FM142" s="365"/>
      <c r="FN142" s="365"/>
      <c r="FO142" s="365"/>
      <c r="FP142" s="365"/>
      <c r="FQ142" s="365"/>
      <c r="FR142" s="365"/>
      <c r="FS142" s="365"/>
      <c r="FT142" s="365"/>
      <c r="FU142" s="366"/>
      <c r="FV142" s="336"/>
      <c r="FW142" s="337"/>
      <c r="FX142" s="337"/>
      <c r="FY142" s="337"/>
      <c r="FZ142" s="342"/>
      <c r="IY142" s="164"/>
      <c r="IZ142" s="164"/>
      <c r="JA142" s="164"/>
      <c r="JB142" s="164"/>
      <c r="JC142" s="164"/>
      <c r="JD142" s="167"/>
      <c r="JE142" s="167"/>
      <c r="JF142" s="167"/>
      <c r="JG142" s="167"/>
      <c r="JH142" s="167"/>
      <c r="JI142" s="167"/>
      <c r="JJ142" s="167"/>
      <c r="JK142" s="167"/>
      <c r="JL142" s="167"/>
      <c r="JM142" s="167"/>
      <c r="JN142" s="167"/>
      <c r="JO142" s="167"/>
      <c r="JP142" s="167"/>
      <c r="JQ142" s="167"/>
      <c r="JR142" s="167"/>
      <c r="JS142" s="167"/>
      <c r="JT142" s="167"/>
      <c r="JU142" s="167"/>
      <c r="JV142" s="167"/>
      <c r="JW142" s="167"/>
      <c r="JX142" s="167"/>
      <c r="JY142" s="167"/>
      <c r="JZ142" s="167"/>
      <c r="KA142" s="167"/>
      <c r="KB142" s="167"/>
      <c r="KC142" s="167"/>
      <c r="KD142" s="167"/>
      <c r="KE142" s="167"/>
      <c r="KF142" s="167"/>
      <c r="KG142" s="167"/>
      <c r="KH142" s="167"/>
      <c r="KI142" s="167"/>
      <c r="KJ142" s="167"/>
      <c r="KK142" s="167"/>
      <c r="KL142" s="167"/>
      <c r="KM142" s="167"/>
      <c r="KN142" s="167"/>
      <c r="KO142" s="167"/>
      <c r="KP142" s="167"/>
      <c r="KQ142" s="167"/>
      <c r="KR142" s="167"/>
      <c r="KS142" s="167"/>
      <c r="KT142" s="167"/>
      <c r="KU142" s="167"/>
      <c r="KV142" s="167"/>
      <c r="KW142" s="167"/>
      <c r="KX142" s="167"/>
      <c r="KY142" s="167"/>
      <c r="KZ142" s="167"/>
      <c r="LA142" s="167"/>
      <c r="LB142" s="167"/>
      <c r="LC142" s="167"/>
      <c r="LD142" s="167"/>
      <c r="LE142" s="167"/>
      <c r="LF142" s="167"/>
      <c r="LG142" s="167"/>
      <c r="LH142" s="167"/>
      <c r="LI142" s="167"/>
      <c r="LJ142" s="167"/>
      <c r="LK142" s="167"/>
      <c r="LL142" s="167"/>
      <c r="LM142" s="167"/>
      <c r="LN142" s="167"/>
      <c r="LO142" s="167"/>
      <c r="LP142" s="167"/>
      <c r="LQ142" s="167"/>
      <c r="LR142" s="167"/>
      <c r="LS142" s="167"/>
      <c r="LT142" s="167"/>
      <c r="LU142" s="167"/>
      <c r="LV142" s="167"/>
      <c r="LW142" s="167"/>
      <c r="LX142" s="167"/>
      <c r="LY142" s="167"/>
      <c r="LZ142" s="167"/>
      <c r="MA142" s="167"/>
      <c r="MB142" s="167"/>
      <c r="MC142" s="167"/>
      <c r="QM142" s="164"/>
      <c r="QQ142" s="165"/>
      <c r="QR142" s="166"/>
      <c r="QS142" s="189"/>
      <c r="QT142" s="189"/>
      <c r="QU142" s="189"/>
      <c r="QV142" s="189"/>
      <c r="QW142" s="190"/>
    </row>
    <row r="143" spans="3:465" ht="5.15" customHeight="1" x14ac:dyDescent="0.35">
      <c r="C143" s="161"/>
      <c r="D143" s="162"/>
      <c r="E143" s="164"/>
      <c r="CF143" s="358" t="s">
        <v>189</v>
      </c>
      <c r="CG143" s="359"/>
      <c r="CH143" s="359"/>
      <c r="CI143" s="359"/>
      <c r="CJ143" s="359"/>
      <c r="CK143" s="359"/>
      <c r="CL143" s="359"/>
      <c r="CM143" s="359"/>
      <c r="CN143" s="359"/>
      <c r="CO143" s="359"/>
      <c r="CP143" s="359"/>
      <c r="CQ143" s="359"/>
      <c r="CR143" s="359"/>
      <c r="CS143" s="359"/>
      <c r="CT143" s="359"/>
      <c r="CU143" s="359"/>
      <c r="CV143" s="359"/>
      <c r="CW143" s="359"/>
      <c r="CX143" s="359"/>
      <c r="CY143" s="359"/>
      <c r="CZ143" s="359"/>
      <c r="DA143" s="359"/>
      <c r="DB143" s="359"/>
      <c r="DC143" s="359"/>
      <c r="DD143" s="359"/>
      <c r="DE143" s="359"/>
      <c r="DF143" s="359"/>
      <c r="DG143" s="359"/>
      <c r="DH143" s="359"/>
      <c r="DI143" s="359"/>
      <c r="DJ143" s="359"/>
      <c r="DK143" s="359"/>
      <c r="DL143" s="359"/>
      <c r="DM143" s="359"/>
      <c r="DN143" s="359"/>
      <c r="DO143" s="359"/>
      <c r="DP143" s="359"/>
      <c r="DQ143" s="359"/>
      <c r="DR143" s="359"/>
      <c r="DS143" s="359"/>
      <c r="DT143" s="360"/>
      <c r="DU143" s="330">
        <v>2</v>
      </c>
      <c r="DV143" s="331"/>
      <c r="DW143" s="331"/>
      <c r="DX143" s="331"/>
      <c r="DY143" s="340"/>
      <c r="EG143" s="358" t="s">
        <v>295</v>
      </c>
      <c r="EH143" s="359"/>
      <c r="EI143" s="359"/>
      <c r="EJ143" s="359"/>
      <c r="EK143" s="359"/>
      <c r="EL143" s="359"/>
      <c r="EM143" s="359"/>
      <c r="EN143" s="359"/>
      <c r="EO143" s="359"/>
      <c r="EP143" s="359"/>
      <c r="EQ143" s="359"/>
      <c r="ER143" s="359"/>
      <c r="ES143" s="359"/>
      <c r="ET143" s="359"/>
      <c r="EU143" s="359"/>
      <c r="EV143" s="359"/>
      <c r="EW143" s="359"/>
      <c r="EX143" s="359"/>
      <c r="EY143" s="359"/>
      <c r="EZ143" s="359"/>
      <c r="FA143" s="359"/>
      <c r="FB143" s="359"/>
      <c r="FC143" s="359"/>
      <c r="FD143" s="359"/>
      <c r="FE143" s="359"/>
      <c r="FF143" s="359"/>
      <c r="FG143" s="359"/>
      <c r="FH143" s="359"/>
      <c r="FI143" s="359"/>
      <c r="FJ143" s="359"/>
      <c r="FK143" s="359"/>
      <c r="FL143" s="359"/>
      <c r="FM143" s="359"/>
      <c r="FN143" s="359"/>
      <c r="FO143" s="359"/>
      <c r="FP143" s="359"/>
      <c r="FQ143" s="359"/>
      <c r="FR143" s="359"/>
      <c r="FS143" s="359"/>
      <c r="FT143" s="359"/>
      <c r="FU143" s="360"/>
      <c r="FV143" s="330">
        <v>2</v>
      </c>
      <c r="FW143" s="331"/>
      <c r="FX143" s="331"/>
      <c r="FY143" s="331"/>
      <c r="FZ143" s="340"/>
      <c r="JD143" s="167"/>
      <c r="JE143" s="167"/>
      <c r="JF143" s="167"/>
      <c r="JG143" s="167"/>
      <c r="JH143" s="167"/>
      <c r="JI143" s="167"/>
      <c r="JJ143" s="167"/>
      <c r="JK143" s="167"/>
      <c r="JL143" s="167"/>
      <c r="JM143" s="167"/>
      <c r="JN143" s="167"/>
      <c r="JO143" s="167"/>
      <c r="JP143" s="167"/>
      <c r="JQ143" s="167"/>
      <c r="JR143" s="167"/>
      <c r="JS143" s="167"/>
      <c r="JT143" s="167"/>
      <c r="JU143" s="167"/>
      <c r="JV143" s="167"/>
      <c r="JW143" s="167"/>
      <c r="JX143" s="167"/>
      <c r="JY143" s="167"/>
      <c r="JZ143" s="167"/>
      <c r="KA143" s="167"/>
      <c r="KB143" s="167"/>
      <c r="KC143" s="167"/>
      <c r="KD143" s="167"/>
      <c r="KE143" s="167"/>
      <c r="KF143" s="167"/>
      <c r="KG143" s="167"/>
      <c r="KH143" s="167"/>
      <c r="KI143" s="167"/>
      <c r="KJ143" s="167"/>
      <c r="KK143" s="167"/>
      <c r="KL143" s="167"/>
      <c r="KM143" s="167"/>
      <c r="KN143" s="167"/>
      <c r="KO143" s="167"/>
      <c r="KP143" s="167"/>
      <c r="KQ143" s="167"/>
      <c r="KR143" s="167"/>
      <c r="KS143" s="167"/>
      <c r="KT143" s="167"/>
      <c r="KU143" s="167"/>
      <c r="KV143" s="167"/>
      <c r="KW143" s="167"/>
      <c r="KX143" s="167"/>
      <c r="KY143" s="167"/>
      <c r="KZ143" s="167"/>
      <c r="LA143" s="167"/>
      <c r="LB143" s="167"/>
      <c r="LC143" s="167"/>
      <c r="LD143" s="167"/>
      <c r="LE143" s="167"/>
      <c r="LF143" s="167"/>
      <c r="LG143" s="167"/>
      <c r="LH143" s="167"/>
      <c r="LI143" s="167"/>
      <c r="LJ143" s="167"/>
      <c r="LK143" s="167"/>
      <c r="LL143" s="167"/>
      <c r="LM143" s="167"/>
      <c r="LN143" s="167"/>
      <c r="LO143" s="167"/>
      <c r="LP143" s="167"/>
      <c r="LQ143" s="167"/>
      <c r="LR143" s="167"/>
      <c r="LS143" s="167"/>
      <c r="LT143" s="167"/>
      <c r="LU143" s="167"/>
      <c r="LV143" s="167"/>
      <c r="LW143" s="167"/>
      <c r="LX143" s="167"/>
      <c r="LY143" s="167"/>
      <c r="LZ143" s="167"/>
      <c r="MA143" s="167"/>
      <c r="MB143" s="167"/>
      <c r="MC143" s="167"/>
      <c r="QM143" s="164"/>
      <c r="QQ143" s="165"/>
      <c r="QR143" s="166"/>
      <c r="QS143" s="189"/>
      <c r="QT143" s="189"/>
      <c r="QU143" s="189"/>
      <c r="QV143" s="189"/>
      <c r="QW143" s="190"/>
    </row>
    <row r="144" spans="3:465" ht="5.15" customHeight="1" x14ac:dyDescent="0.35">
      <c r="C144" s="161"/>
      <c r="D144" s="162"/>
      <c r="E144" s="164"/>
      <c r="CF144" s="361"/>
      <c r="CG144" s="362"/>
      <c r="CH144" s="362"/>
      <c r="CI144" s="362"/>
      <c r="CJ144" s="362"/>
      <c r="CK144" s="362"/>
      <c r="CL144" s="362"/>
      <c r="CM144" s="362"/>
      <c r="CN144" s="362"/>
      <c r="CO144" s="362"/>
      <c r="CP144" s="362"/>
      <c r="CQ144" s="362"/>
      <c r="CR144" s="362"/>
      <c r="CS144" s="362"/>
      <c r="CT144" s="362"/>
      <c r="CU144" s="362"/>
      <c r="CV144" s="362"/>
      <c r="CW144" s="362"/>
      <c r="CX144" s="362"/>
      <c r="CY144" s="362"/>
      <c r="CZ144" s="362"/>
      <c r="DA144" s="362"/>
      <c r="DB144" s="362"/>
      <c r="DC144" s="362"/>
      <c r="DD144" s="362"/>
      <c r="DE144" s="362"/>
      <c r="DF144" s="362"/>
      <c r="DG144" s="362"/>
      <c r="DH144" s="362"/>
      <c r="DI144" s="362"/>
      <c r="DJ144" s="362"/>
      <c r="DK144" s="362"/>
      <c r="DL144" s="362"/>
      <c r="DM144" s="362"/>
      <c r="DN144" s="362"/>
      <c r="DO144" s="362"/>
      <c r="DP144" s="362"/>
      <c r="DQ144" s="362"/>
      <c r="DR144" s="362"/>
      <c r="DS144" s="362"/>
      <c r="DT144" s="363"/>
      <c r="DU144" s="333"/>
      <c r="DV144" s="334"/>
      <c r="DW144" s="334"/>
      <c r="DX144" s="334"/>
      <c r="DY144" s="341"/>
      <c r="EG144" s="361"/>
      <c r="EH144" s="362"/>
      <c r="EI144" s="362"/>
      <c r="EJ144" s="362"/>
      <c r="EK144" s="362"/>
      <c r="EL144" s="362"/>
      <c r="EM144" s="362"/>
      <c r="EN144" s="362"/>
      <c r="EO144" s="362"/>
      <c r="EP144" s="362"/>
      <c r="EQ144" s="362"/>
      <c r="ER144" s="362"/>
      <c r="ES144" s="362"/>
      <c r="ET144" s="362"/>
      <c r="EU144" s="362"/>
      <c r="EV144" s="362"/>
      <c r="EW144" s="362"/>
      <c r="EX144" s="362"/>
      <c r="EY144" s="362"/>
      <c r="EZ144" s="362"/>
      <c r="FA144" s="362"/>
      <c r="FB144" s="362"/>
      <c r="FC144" s="362"/>
      <c r="FD144" s="362"/>
      <c r="FE144" s="362"/>
      <c r="FF144" s="362"/>
      <c r="FG144" s="362"/>
      <c r="FH144" s="362"/>
      <c r="FI144" s="362"/>
      <c r="FJ144" s="362"/>
      <c r="FK144" s="362"/>
      <c r="FL144" s="362"/>
      <c r="FM144" s="362"/>
      <c r="FN144" s="362"/>
      <c r="FO144" s="362"/>
      <c r="FP144" s="362"/>
      <c r="FQ144" s="362"/>
      <c r="FR144" s="362"/>
      <c r="FS144" s="362"/>
      <c r="FT144" s="362"/>
      <c r="FU144" s="363"/>
      <c r="FV144" s="333"/>
      <c r="FW144" s="334"/>
      <c r="FX144" s="334"/>
      <c r="FY144" s="334"/>
      <c r="FZ144" s="341"/>
      <c r="JD144" s="167"/>
      <c r="JE144" s="167"/>
      <c r="JF144" s="167"/>
      <c r="JG144" s="167"/>
      <c r="JH144" s="167"/>
      <c r="JI144" s="167"/>
      <c r="JJ144" s="167"/>
      <c r="JK144" s="167"/>
      <c r="JL144" s="167"/>
      <c r="JM144" s="167"/>
      <c r="JN144" s="167"/>
      <c r="JO144" s="167"/>
      <c r="JP144" s="167"/>
      <c r="JQ144" s="167"/>
      <c r="JR144" s="167"/>
      <c r="JS144" s="167"/>
      <c r="JT144" s="167"/>
      <c r="JU144" s="167"/>
      <c r="JV144" s="167"/>
      <c r="JW144" s="167"/>
      <c r="JX144" s="167"/>
      <c r="JY144" s="167"/>
      <c r="JZ144" s="167"/>
      <c r="KA144" s="167"/>
      <c r="KB144" s="167"/>
      <c r="KC144" s="167"/>
      <c r="KD144" s="167"/>
      <c r="KE144" s="167"/>
      <c r="KF144" s="167"/>
      <c r="KG144" s="167"/>
      <c r="KH144" s="167"/>
      <c r="KI144" s="167"/>
      <c r="KJ144" s="167"/>
      <c r="KK144" s="167"/>
      <c r="KL144" s="167"/>
      <c r="KM144" s="167"/>
      <c r="KN144" s="167"/>
      <c r="KO144" s="167"/>
      <c r="KP144" s="167"/>
      <c r="KQ144" s="167"/>
      <c r="KR144" s="167"/>
      <c r="KS144" s="167"/>
      <c r="KT144" s="167"/>
      <c r="KU144" s="167"/>
      <c r="KV144" s="167"/>
      <c r="KW144" s="167"/>
      <c r="KX144" s="167"/>
      <c r="KY144" s="167"/>
      <c r="KZ144" s="167"/>
      <c r="LA144" s="167"/>
      <c r="LB144" s="167"/>
      <c r="LC144" s="167"/>
      <c r="LD144" s="167"/>
      <c r="LE144" s="167"/>
      <c r="LF144" s="167"/>
      <c r="LG144" s="167"/>
      <c r="LH144" s="167"/>
      <c r="LI144" s="167"/>
      <c r="LJ144" s="167"/>
      <c r="LK144" s="167"/>
      <c r="LL144" s="167"/>
      <c r="LM144" s="167"/>
      <c r="LN144" s="167"/>
      <c r="LO144" s="167"/>
      <c r="LP144" s="167"/>
      <c r="LQ144" s="167"/>
      <c r="LR144" s="167"/>
      <c r="LS144" s="167"/>
      <c r="LT144" s="167"/>
      <c r="LU144" s="167"/>
      <c r="LV144" s="167"/>
      <c r="LW144" s="167"/>
      <c r="LX144" s="167"/>
      <c r="LY144" s="167"/>
      <c r="LZ144" s="167"/>
      <c r="MA144" s="167"/>
      <c r="MB144" s="167"/>
      <c r="MC144" s="167"/>
      <c r="QM144" s="164"/>
      <c r="QQ144" s="165"/>
      <c r="QR144" s="166"/>
      <c r="QS144" s="189"/>
      <c r="QT144" s="189"/>
      <c r="QU144" s="189"/>
      <c r="QV144" s="189"/>
      <c r="QW144" s="190"/>
    </row>
    <row r="145" spans="3:465" ht="5.15" customHeight="1" x14ac:dyDescent="0.35">
      <c r="C145" s="161"/>
      <c r="D145" s="162"/>
      <c r="E145" s="164"/>
      <c r="CF145" s="361"/>
      <c r="CG145" s="362"/>
      <c r="CH145" s="362"/>
      <c r="CI145" s="362"/>
      <c r="CJ145" s="362"/>
      <c r="CK145" s="362"/>
      <c r="CL145" s="362"/>
      <c r="CM145" s="362"/>
      <c r="CN145" s="362"/>
      <c r="CO145" s="362"/>
      <c r="CP145" s="362"/>
      <c r="CQ145" s="362"/>
      <c r="CR145" s="362"/>
      <c r="CS145" s="362"/>
      <c r="CT145" s="362"/>
      <c r="CU145" s="362"/>
      <c r="CV145" s="362"/>
      <c r="CW145" s="362"/>
      <c r="CX145" s="362"/>
      <c r="CY145" s="362"/>
      <c r="CZ145" s="362"/>
      <c r="DA145" s="362"/>
      <c r="DB145" s="362"/>
      <c r="DC145" s="362"/>
      <c r="DD145" s="362"/>
      <c r="DE145" s="362"/>
      <c r="DF145" s="362"/>
      <c r="DG145" s="362"/>
      <c r="DH145" s="362"/>
      <c r="DI145" s="362"/>
      <c r="DJ145" s="362"/>
      <c r="DK145" s="362"/>
      <c r="DL145" s="362"/>
      <c r="DM145" s="362"/>
      <c r="DN145" s="362"/>
      <c r="DO145" s="362"/>
      <c r="DP145" s="362"/>
      <c r="DQ145" s="362"/>
      <c r="DR145" s="362"/>
      <c r="DS145" s="362"/>
      <c r="DT145" s="363"/>
      <c r="DU145" s="333"/>
      <c r="DV145" s="334"/>
      <c r="DW145" s="334"/>
      <c r="DX145" s="334"/>
      <c r="DY145" s="341"/>
      <c r="EG145" s="361"/>
      <c r="EH145" s="362"/>
      <c r="EI145" s="362"/>
      <c r="EJ145" s="362"/>
      <c r="EK145" s="362"/>
      <c r="EL145" s="362"/>
      <c r="EM145" s="362"/>
      <c r="EN145" s="362"/>
      <c r="EO145" s="362"/>
      <c r="EP145" s="362"/>
      <c r="EQ145" s="362"/>
      <c r="ER145" s="362"/>
      <c r="ES145" s="362"/>
      <c r="ET145" s="362"/>
      <c r="EU145" s="362"/>
      <c r="EV145" s="362"/>
      <c r="EW145" s="362"/>
      <c r="EX145" s="362"/>
      <c r="EY145" s="362"/>
      <c r="EZ145" s="362"/>
      <c r="FA145" s="362"/>
      <c r="FB145" s="362"/>
      <c r="FC145" s="362"/>
      <c r="FD145" s="362"/>
      <c r="FE145" s="362"/>
      <c r="FF145" s="362"/>
      <c r="FG145" s="362"/>
      <c r="FH145" s="362"/>
      <c r="FI145" s="362"/>
      <c r="FJ145" s="362"/>
      <c r="FK145" s="362"/>
      <c r="FL145" s="362"/>
      <c r="FM145" s="362"/>
      <c r="FN145" s="362"/>
      <c r="FO145" s="362"/>
      <c r="FP145" s="362"/>
      <c r="FQ145" s="362"/>
      <c r="FR145" s="362"/>
      <c r="FS145" s="362"/>
      <c r="FT145" s="362"/>
      <c r="FU145" s="363"/>
      <c r="FV145" s="333"/>
      <c r="FW145" s="334"/>
      <c r="FX145" s="334"/>
      <c r="FY145" s="334"/>
      <c r="FZ145" s="341"/>
      <c r="JD145" s="167"/>
      <c r="JE145" s="167"/>
      <c r="JF145" s="167"/>
      <c r="JG145" s="167"/>
      <c r="JH145" s="167"/>
      <c r="JI145" s="167"/>
      <c r="JJ145" s="167"/>
      <c r="JK145" s="167"/>
      <c r="JL145" s="167"/>
      <c r="JM145" s="167"/>
      <c r="JN145" s="167"/>
      <c r="JO145" s="167"/>
      <c r="JP145" s="167"/>
      <c r="JQ145" s="167"/>
      <c r="JR145" s="167"/>
      <c r="JS145" s="167"/>
      <c r="JT145" s="167"/>
      <c r="JU145" s="167"/>
      <c r="JV145" s="167"/>
      <c r="JW145" s="167"/>
      <c r="JX145" s="167"/>
      <c r="JY145" s="167"/>
      <c r="JZ145" s="167"/>
      <c r="KA145" s="167"/>
      <c r="KB145" s="167"/>
      <c r="KC145" s="167"/>
      <c r="KD145" s="167"/>
      <c r="KE145" s="167"/>
      <c r="KF145" s="167"/>
      <c r="KG145" s="167"/>
      <c r="KH145" s="167"/>
      <c r="KI145" s="167"/>
      <c r="KJ145" s="167"/>
      <c r="KK145" s="167"/>
      <c r="KL145" s="167"/>
      <c r="KM145" s="167"/>
      <c r="KN145" s="167"/>
      <c r="KO145" s="167"/>
      <c r="KP145" s="167"/>
      <c r="KQ145" s="167"/>
      <c r="KR145" s="167"/>
      <c r="KS145" s="167"/>
      <c r="KT145" s="167"/>
      <c r="KU145" s="167"/>
      <c r="KV145" s="167"/>
      <c r="KW145" s="167"/>
      <c r="KX145" s="167"/>
      <c r="KY145" s="167"/>
      <c r="KZ145" s="167"/>
      <c r="LA145" s="167"/>
      <c r="LB145" s="167"/>
      <c r="LC145" s="167"/>
      <c r="LD145" s="167"/>
      <c r="LE145" s="167"/>
      <c r="LF145" s="167"/>
      <c r="LG145" s="167"/>
      <c r="LH145" s="167"/>
      <c r="LI145" s="167"/>
      <c r="LJ145" s="167"/>
      <c r="LK145" s="167"/>
      <c r="LL145" s="167"/>
      <c r="LM145" s="167"/>
      <c r="LN145" s="167"/>
      <c r="LO145" s="167"/>
      <c r="LP145" s="167"/>
      <c r="LQ145" s="167"/>
      <c r="LR145" s="167"/>
      <c r="LS145" s="167"/>
      <c r="LT145" s="167"/>
      <c r="LU145" s="167"/>
      <c r="LV145" s="167"/>
      <c r="LW145" s="167"/>
      <c r="LX145" s="167"/>
      <c r="LY145" s="167"/>
      <c r="LZ145" s="167"/>
      <c r="MA145" s="167"/>
      <c r="MB145" s="167"/>
      <c r="MC145" s="167"/>
      <c r="QM145" s="164"/>
      <c r="QQ145" s="165"/>
      <c r="QR145" s="166"/>
      <c r="QS145" s="189"/>
      <c r="QT145" s="189"/>
      <c r="QU145" s="189"/>
      <c r="QV145" s="189"/>
      <c r="QW145" s="190"/>
    </row>
    <row r="146" spans="3:465" ht="5.15" customHeight="1" x14ac:dyDescent="0.35">
      <c r="C146" s="161"/>
      <c r="D146" s="162"/>
      <c r="E146" s="164"/>
      <c r="CF146" s="361"/>
      <c r="CG146" s="362"/>
      <c r="CH146" s="362"/>
      <c r="CI146" s="362"/>
      <c r="CJ146" s="362"/>
      <c r="CK146" s="362"/>
      <c r="CL146" s="362"/>
      <c r="CM146" s="362"/>
      <c r="CN146" s="362"/>
      <c r="CO146" s="362"/>
      <c r="CP146" s="362"/>
      <c r="CQ146" s="362"/>
      <c r="CR146" s="362"/>
      <c r="CS146" s="362"/>
      <c r="CT146" s="362"/>
      <c r="CU146" s="362"/>
      <c r="CV146" s="362"/>
      <c r="CW146" s="362"/>
      <c r="CX146" s="362"/>
      <c r="CY146" s="362"/>
      <c r="CZ146" s="362"/>
      <c r="DA146" s="362"/>
      <c r="DB146" s="362"/>
      <c r="DC146" s="362"/>
      <c r="DD146" s="362"/>
      <c r="DE146" s="362"/>
      <c r="DF146" s="362"/>
      <c r="DG146" s="362"/>
      <c r="DH146" s="362"/>
      <c r="DI146" s="362"/>
      <c r="DJ146" s="362"/>
      <c r="DK146" s="362"/>
      <c r="DL146" s="362"/>
      <c r="DM146" s="362"/>
      <c r="DN146" s="362"/>
      <c r="DO146" s="362"/>
      <c r="DP146" s="362"/>
      <c r="DQ146" s="362"/>
      <c r="DR146" s="362"/>
      <c r="DS146" s="362"/>
      <c r="DT146" s="363"/>
      <c r="DU146" s="333"/>
      <c r="DV146" s="334"/>
      <c r="DW146" s="334"/>
      <c r="DX146" s="334"/>
      <c r="DY146" s="341"/>
      <c r="EG146" s="361"/>
      <c r="EH146" s="362"/>
      <c r="EI146" s="362"/>
      <c r="EJ146" s="362"/>
      <c r="EK146" s="362"/>
      <c r="EL146" s="362"/>
      <c r="EM146" s="362"/>
      <c r="EN146" s="362"/>
      <c r="EO146" s="362"/>
      <c r="EP146" s="362"/>
      <c r="EQ146" s="362"/>
      <c r="ER146" s="362"/>
      <c r="ES146" s="362"/>
      <c r="ET146" s="362"/>
      <c r="EU146" s="362"/>
      <c r="EV146" s="362"/>
      <c r="EW146" s="362"/>
      <c r="EX146" s="362"/>
      <c r="EY146" s="362"/>
      <c r="EZ146" s="362"/>
      <c r="FA146" s="362"/>
      <c r="FB146" s="362"/>
      <c r="FC146" s="362"/>
      <c r="FD146" s="362"/>
      <c r="FE146" s="362"/>
      <c r="FF146" s="362"/>
      <c r="FG146" s="362"/>
      <c r="FH146" s="362"/>
      <c r="FI146" s="362"/>
      <c r="FJ146" s="362"/>
      <c r="FK146" s="362"/>
      <c r="FL146" s="362"/>
      <c r="FM146" s="362"/>
      <c r="FN146" s="362"/>
      <c r="FO146" s="362"/>
      <c r="FP146" s="362"/>
      <c r="FQ146" s="362"/>
      <c r="FR146" s="362"/>
      <c r="FS146" s="362"/>
      <c r="FT146" s="362"/>
      <c r="FU146" s="363"/>
      <c r="FV146" s="333"/>
      <c r="FW146" s="334"/>
      <c r="FX146" s="334"/>
      <c r="FY146" s="334"/>
      <c r="FZ146" s="341"/>
      <c r="KA146" s="164"/>
      <c r="KB146" s="164"/>
      <c r="KC146" s="164"/>
      <c r="KD146" s="164"/>
      <c r="KE146" s="164"/>
      <c r="KF146" s="164"/>
      <c r="KG146" s="164"/>
      <c r="KH146" s="164"/>
      <c r="KI146" s="164"/>
      <c r="KJ146" s="164"/>
      <c r="KK146" s="164"/>
      <c r="KL146" s="164"/>
      <c r="KM146" s="164"/>
      <c r="KN146" s="164"/>
      <c r="KO146" s="164"/>
      <c r="KP146" s="164"/>
      <c r="KQ146" s="164"/>
      <c r="KR146" s="164"/>
      <c r="KS146" s="164"/>
      <c r="KT146" s="164"/>
      <c r="KU146" s="164"/>
      <c r="KV146" s="164"/>
      <c r="KW146" s="164"/>
      <c r="KX146" s="164"/>
      <c r="KY146" s="164"/>
      <c r="KZ146" s="164"/>
      <c r="LA146" s="164"/>
      <c r="LB146" s="164"/>
      <c r="LC146" s="164"/>
      <c r="LD146" s="164"/>
      <c r="LE146" s="164"/>
      <c r="QM146" s="164"/>
      <c r="QQ146" s="165"/>
      <c r="QR146" s="166"/>
      <c r="QS146" s="189"/>
      <c r="QT146" s="189"/>
      <c r="QU146" s="189"/>
      <c r="QV146" s="189"/>
      <c r="QW146" s="190"/>
    </row>
    <row r="147" spans="3:465" ht="5.15" customHeight="1" x14ac:dyDescent="0.35">
      <c r="C147" s="161"/>
      <c r="D147" s="162"/>
      <c r="E147" s="164"/>
      <c r="CF147" s="361"/>
      <c r="CG147" s="362"/>
      <c r="CH147" s="362"/>
      <c r="CI147" s="362"/>
      <c r="CJ147" s="362"/>
      <c r="CK147" s="362"/>
      <c r="CL147" s="362"/>
      <c r="CM147" s="362"/>
      <c r="CN147" s="362"/>
      <c r="CO147" s="362"/>
      <c r="CP147" s="362"/>
      <c r="CQ147" s="362"/>
      <c r="CR147" s="362"/>
      <c r="CS147" s="362"/>
      <c r="CT147" s="362"/>
      <c r="CU147" s="362"/>
      <c r="CV147" s="362"/>
      <c r="CW147" s="362"/>
      <c r="CX147" s="362"/>
      <c r="CY147" s="362"/>
      <c r="CZ147" s="362"/>
      <c r="DA147" s="362"/>
      <c r="DB147" s="362"/>
      <c r="DC147" s="362"/>
      <c r="DD147" s="362"/>
      <c r="DE147" s="362"/>
      <c r="DF147" s="362"/>
      <c r="DG147" s="362"/>
      <c r="DH147" s="362"/>
      <c r="DI147" s="362"/>
      <c r="DJ147" s="362"/>
      <c r="DK147" s="362"/>
      <c r="DL147" s="362"/>
      <c r="DM147" s="362"/>
      <c r="DN147" s="362"/>
      <c r="DO147" s="362"/>
      <c r="DP147" s="362"/>
      <c r="DQ147" s="362"/>
      <c r="DR147" s="362"/>
      <c r="DS147" s="362"/>
      <c r="DT147" s="363"/>
      <c r="DU147" s="333"/>
      <c r="DV147" s="334"/>
      <c r="DW147" s="334"/>
      <c r="DX147" s="334"/>
      <c r="DY147" s="341"/>
      <c r="EG147" s="361"/>
      <c r="EH147" s="362"/>
      <c r="EI147" s="362"/>
      <c r="EJ147" s="362"/>
      <c r="EK147" s="362"/>
      <c r="EL147" s="362"/>
      <c r="EM147" s="362"/>
      <c r="EN147" s="362"/>
      <c r="EO147" s="362"/>
      <c r="EP147" s="362"/>
      <c r="EQ147" s="362"/>
      <c r="ER147" s="362"/>
      <c r="ES147" s="362"/>
      <c r="ET147" s="362"/>
      <c r="EU147" s="362"/>
      <c r="EV147" s="362"/>
      <c r="EW147" s="362"/>
      <c r="EX147" s="362"/>
      <c r="EY147" s="362"/>
      <c r="EZ147" s="362"/>
      <c r="FA147" s="362"/>
      <c r="FB147" s="362"/>
      <c r="FC147" s="362"/>
      <c r="FD147" s="362"/>
      <c r="FE147" s="362"/>
      <c r="FF147" s="362"/>
      <c r="FG147" s="362"/>
      <c r="FH147" s="362"/>
      <c r="FI147" s="362"/>
      <c r="FJ147" s="362"/>
      <c r="FK147" s="362"/>
      <c r="FL147" s="362"/>
      <c r="FM147" s="362"/>
      <c r="FN147" s="362"/>
      <c r="FO147" s="362"/>
      <c r="FP147" s="362"/>
      <c r="FQ147" s="362"/>
      <c r="FR147" s="362"/>
      <c r="FS147" s="362"/>
      <c r="FT147" s="362"/>
      <c r="FU147" s="363"/>
      <c r="FV147" s="333"/>
      <c r="FW147" s="334"/>
      <c r="FX147" s="334"/>
      <c r="FY147" s="334"/>
      <c r="FZ147" s="341"/>
      <c r="QM147" s="164"/>
      <c r="QQ147" s="165"/>
      <c r="QR147" s="166"/>
      <c r="QS147" s="189"/>
      <c r="QT147" s="189"/>
      <c r="QU147" s="189"/>
      <c r="QV147" s="189"/>
      <c r="QW147" s="190"/>
    </row>
    <row r="148" spans="3:465" ht="5.15" customHeight="1" x14ac:dyDescent="0.35">
      <c r="C148" s="161"/>
      <c r="D148" s="162"/>
      <c r="E148" s="164"/>
      <c r="CF148" s="361"/>
      <c r="CG148" s="362"/>
      <c r="CH148" s="362"/>
      <c r="CI148" s="362"/>
      <c r="CJ148" s="362"/>
      <c r="CK148" s="362"/>
      <c r="CL148" s="362"/>
      <c r="CM148" s="362"/>
      <c r="CN148" s="362"/>
      <c r="CO148" s="362"/>
      <c r="CP148" s="362"/>
      <c r="CQ148" s="362"/>
      <c r="CR148" s="362"/>
      <c r="CS148" s="362"/>
      <c r="CT148" s="362"/>
      <c r="CU148" s="362"/>
      <c r="CV148" s="362"/>
      <c r="CW148" s="362"/>
      <c r="CX148" s="362"/>
      <c r="CY148" s="362"/>
      <c r="CZ148" s="362"/>
      <c r="DA148" s="362"/>
      <c r="DB148" s="362"/>
      <c r="DC148" s="362"/>
      <c r="DD148" s="362"/>
      <c r="DE148" s="362"/>
      <c r="DF148" s="362"/>
      <c r="DG148" s="362"/>
      <c r="DH148" s="362"/>
      <c r="DI148" s="362"/>
      <c r="DJ148" s="362"/>
      <c r="DK148" s="362"/>
      <c r="DL148" s="362"/>
      <c r="DM148" s="362"/>
      <c r="DN148" s="362"/>
      <c r="DO148" s="362"/>
      <c r="DP148" s="362"/>
      <c r="DQ148" s="362"/>
      <c r="DR148" s="362"/>
      <c r="DS148" s="362"/>
      <c r="DT148" s="363"/>
      <c r="DU148" s="333"/>
      <c r="DV148" s="334"/>
      <c r="DW148" s="334"/>
      <c r="DX148" s="334"/>
      <c r="DY148" s="341"/>
      <c r="EG148" s="361"/>
      <c r="EH148" s="362"/>
      <c r="EI148" s="362"/>
      <c r="EJ148" s="362"/>
      <c r="EK148" s="362"/>
      <c r="EL148" s="362"/>
      <c r="EM148" s="362"/>
      <c r="EN148" s="362"/>
      <c r="EO148" s="362"/>
      <c r="EP148" s="362"/>
      <c r="EQ148" s="362"/>
      <c r="ER148" s="362"/>
      <c r="ES148" s="362"/>
      <c r="ET148" s="362"/>
      <c r="EU148" s="362"/>
      <c r="EV148" s="362"/>
      <c r="EW148" s="362"/>
      <c r="EX148" s="362"/>
      <c r="EY148" s="362"/>
      <c r="EZ148" s="362"/>
      <c r="FA148" s="362"/>
      <c r="FB148" s="362"/>
      <c r="FC148" s="362"/>
      <c r="FD148" s="362"/>
      <c r="FE148" s="362"/>
      <c r="FF148" s="362"/>
      <c r="FG148" s="362"/>
      <c r="FH148" s="362"/>
      <c r="FI148" s="362"/>
      <c r="FJ148" s="362"/>
      <c r="FK148" s="362"/>
      <c r="FL148" s="362"/>
      <c r="FM148" s="362"/>
      <c r="FN148" s="362"/>
      <c r="FO148" s="362"/>
      <c r="FP148" s="362"/>
      <c r="FQ148" s="362"/>
      <c r="FR148" s="362"/>
      <c r="FS148" s="362"/>
      <c r="FT148" s="362"/>
      <c r="FU148" s="363"/>
      <c r="FV148" s="333"/>
      <c r="FW148" s="334"/>
      <c r="FX148" s="334"/>
      <c r="FY148" s="334"/>
      <c r="FZ148" s="341"/>
      <c r="QM148" s="164"/>
      <c r="QQ148" s="165"/>
      <c r="QR148" s="166"/>
      <c r="QS148" s="189"/>
      <c r="QT148" s="189"/>
      <c r="QU148" s="189"/>
      <c r="QV148" s="189"/>
      <c r="QW148" s="190"/>
    </row>
    <row r="149" spans="3:465" ht="5.15" customHeight="1" x14ac:dyDescent="0.35">
      <c r="C149" s="161"/>
      <c r="D149" s="162"/>
      <c r="E149" s="164"/>
      <c r="CF149" s="361"/>
      <c r="CG149" s="362"/>
      <c r="CH149" s="362"/>
      <c r="CI149" s="362"/>
      <c r="CJ149" s="362"/>
      <c r="CK149" s="362"/>
      <c r="CL149" s="362"/>
      <c r="CM149" s="362"/>
      <c r="CN149" s="362"/>
      <c r="CO149" s="362"/>
      <c r="CP149" s="362"/>
      <c r="CQ149" s="362"/>
      <c r="CR149" s="362"/>
      <c r="CS149" s="362"/>
      <c r="CT149" s="362"/>
      <c r="CU149" s="362"/>
      <c r="CV149" s="362"/>
      <c r="CW149" s="362"/>
      <c r="CX149" s="362"/>
      <c r="CY149" s="362"/>
      <c r="CZ149" s="362"/>
      <c r="DA149" s="362"/>
      <c r="DB149" s="362"/>
      <c r="DC149" s="362"/>
      <c r="DD149" s="362"/>
      <c r="DE149" s="362"/>
      <c r="DF149" s="362"/>
      <c r="DG149" s="362"/>
      <c r="DH149" s="362"/>
      <c r="DI149" s="362"/>
      <c r="DJ149" s="362"/>
      <c r="DK149" s="362"/>
      <c r="DL149" s="362"/>
      <c r="DM149" s="362"/>
      <c r="DN149" s="362"/>
      <c r="DO149" s="362"/>
      <c r="DP149" s="362"/>
      <c r="DQ149" s="362"/>
      <c r="DR149" s="362"/>
      <c r="DS149" s="362"/>
      <c r="DT149" s="363"/>
      <c r="DU149" s="333"/>
      <c r="DV149" s="334"/>
      <c r="DW149" s="334"/>
      <c r="DX149" s="334"/>
      <c r="DY149" s="341"/>
      <c r="EG149" s="361"/>
      <c r="EH149" s="362"/>
      <c r="EI149" s="362"/>
      <c r="EJ149" s="362"/>
      <c r="EK149" s="362"/>
      <c r="EL149" s="362"/>
      <c r="EM149" s="362"/>
      <c r="EN149" s="362"/>
      <c r="EO149" s="362"/>
      <c r="EP149" s="362"/>
      <c r="EQ149" s="362"/>
      <c r="ER149" s="362"/>
      <c r="ES149" s="362"/>
      <c r="ET149" s="362"/>
      <c r="EU149" s="362"/>
      <c r="EV149" s="362"/>
      <c r="EW149" s="362"/>
      <c r="EX149" s="362"/>
      <c r="EY149" s="362"/>
      <c r="EZ149" s="362"/>
      <c r="FA149" s="362"/>
      <c r="FB149" s="362"/>
      <c r="FC149" s="362"/>
      <c r="FD149" s="362"/>
      <c r="FE149" s="362"/>
      <c r="FF149" s="362"/>
      <c r="FG149" s="362"/>
      <c r="FH149" s="362"/>
      <c r="FI149" s="362"/>
      <c r="FJ149" s="362"/>
      <c r="FK149" s="362"/>
      <c r="FL149" s="362"/>
      <c r="FM149" s="362"/>
      <c r="FN149" s="362"/>
      <c r="FO149" s="362"/>
      <c r="FP149" s="362"/>
      <c r="FQ149" s="362"/>
      <c r="FR149" s="362"/>
      <c r="FS149" s="362"/>
      <c r="FT149" s="362"/>
      <c r="FU149" s="363"/>
      <c r="FV149" s="333"/>
      <c r="FW149" s="334"/>
      <c r="FX149" s="334"/>
      <c r="FY149" s="334"/>
      <c r="FZ149" s="341"/>
      <c r="QQ149" s="165"/>
      <c r="QR149" s="166"/>
      <c r="QS149" s="189"/>
      <c r="QT149" s="189"/>
      <c r="QU149" s="189"/>
      <c r="QV149" s="189"/>
      <c r="QW149" s="190"/>
    </row>
    <row r="150" spans="3:465" ht="5.15" customHeight="1" x14ac:dyDescent="0.35">
      <c r="C150" s="161"/>
      <c r="D150" s="162"/>
      <c r="E150" s="164"/>
      <c r="CF150" s="361"/>
      <c r="CG150" s="362"/>
      <c r="CH150" s="362"/>
      <c r="CI150" s="362"/>
      <c r="CJ150" s="362"/>
      <c r="CK150" s="362"/>
      <c r="CL150" s="362"/>
      <c r="CM150" s="362"/>
      <c r="CN150" s="362"/>
      <c r="CO150" s="362"/>
      <c r="CP150" s="362"/>
      <c r="CQ150" s="362"/>
      <c r="CR150" s="362"/>
      <c r="CS150" s="362"/>
      <c r="CT150" s="362"/>
      <c r="CU150" s="362"/>
      <c r="CV150" s="362"/>
      <c r="CW150" s="362"/>
      <c r="CX150" s="362"/>
      <c r="CY150" s="362"/>
      <c r="CZ150" s="362"/>
      <c r="DA150" s="362"/>
      <c r="DB150" s="362"/>
      <c r="DC150" s="362"/>
      <c r="DD150" s="362"/>
      <c r="DE150" s="362"/>
      <c r="DF150" s="362"/>
      <c r="DG150" s="362"/>
      <c r="DH150" s="362"/>
      <c r="DI150" s="362"/>
      <c r="DJ150" s="362"/>
      <c r="DK150" s="362"/>
      <c r="DL150" s="362"/>
      <c r="DM150" s="362"/>
      <c r="DN150" s="362"/>
      <c r="DO150" s="362"/>
      <c r="DP150" s="362"/>
      <c r="DQ150" s="362"/>
      <c r="DR150" s="362"/>
      <c r="DS150" s="362"/>
      <c r="DT150" s="363"/>
      <c r="DU150" s="333"/>
      <c r="DV150" s="334"/>
      <c r="DW150" s="334"/>
      <c r="DX150" s="334"/>
      <c r="DY150" s="341"/>
      <c r="EG150" s="361"/>
      <c r="EH150" s="362"/>
      <c r="EI150" s="362"/>
      <c r="EJ150" s="362"/>
      <c r="EK150" s="362"/>
      <c r="EL150" s="362"/>
      <c r="EM150" s="362"/>
      <c r="EN150" s="362"/>
      <c r="EO150" s="362"/>
      <c r="EP150" s="362"/>
      <c r="EQ150" s="362"/>
      <c r="ER150" s="362"/>
      <c r="ES150" s="362"/>
      <c r="ET150" s="362"/>
      <c r="EU150" s="362"/>
      <c r="EV150" s="362"/>
      <c r="EW150" s="362"/>
      <c r="EX150" s="362"/>
      <c r="EY150" s="362"/>
      <c r="EZ150" s="362"/>
      <c r="FA150" s="362"/>
      <c r="FB150" s="362"/>
      <c r="FC150" s="362"/>
      <c r="FD150" s="362"/>
      <c r="FE150" s="362"/>
      <c r="FF150" s="362"/>
      <c r="FG150" s="362"/>
      <c r="FH150" s="362"/>
      <c r="FI150" s="362"/>
      <c r="FJ150" s="362"/>
      <c r="FK150" s="362"/>
      <c r="FL150" s="362"/>
      <c r="FM150" s="362"/>
      <c r="FN150" s="362"/>
      <c r="FO150" s="362"/>
      <c r="FP150" s="362"/>
      <c r="FQ150" s="362"/>
      <c r="FR150" s="362"/>
      <c r="FS150" s="362"/>
      <c r="FT150" s="362"/>
      <c r="FU150" s="363"/>
      <c r="FV150" s="333"/>
      <c r="FW150" s="334"/>
      <c r="FX150" s="334"/>
      <c r="FY150" s="334"/>
      <c r="FZ150" s="341"/>
      <c r="QQ150" s="165"/>
      <c r="QR150" s="166"/>
      <c r="QS150" s="189"/>
      <c r="QT150" s="189"/>
      <c r="QU150" s="189"/>
      <c r="QV150" s="189"/>
      <c r="QW150" s="190"/>
    </row>
    <row r="151" spans="3:465" ht="5.15" customHeight="1" x14ac:dyDescent="0.35">
      <c r="C151" s="161"/>
      <c r="D151" s="162"/>
      <c r="E151" s="164"/>
      <c r="CF151" s="361"/>
      <c r="CG151" s="362"/>
      <c r="CH151" s="362"/>
      <c r="CI151" s="362"/>
      <c r="CJ151" s="362"/>
      <c r="CK151" s="362"/>
      <c r="CL151" s="362"/>
      <c r="CM151" s="362"/>
      <c r="CN151" s="362"/>
      <c r="CO151" s="362"/>
      <c r="CP151" s="362"/>
      <c r="CQ151" s="362"/>
      <c r="CR151" s="362"/>
      <c r="CS151" s="362"/>
      <c r="CT151" s="362"/>
      <c r="CU151" s="362"/>
      <c r="CV151" s="362"/>
      <c r="CW151" s="362"/>
      <c r="CX151" s="362"/>
      <c r="CY151" s="362"/>
      <c r="CZ151" s="362"/>
      <c r="DA151" s="362"/>
      <c r="DB151" s="362"/>
      <c r="DC151" s="362"/>
      <c r="DD151" s="362"/>
      <c r="DE151" s="362"/>
      <c r="DF151" s="362"/>
      <c r="DG151" s="362"/>
      <c r="DH151" s="362"/>
      <c r="DI151" s="362"/>
      <c r="DJ151" s="362"/>
      <c r="DK151" s="362"/>
      <c r="DL151" s="362"/>
      <c r="DM151" s="362"/>
      <c r="DN151" s="362"/>
      <c r="DO151" s="362"/>
      <c r="DP151" s="362"/>
      <c r="DQ151" s="362"/>
      <c r="DR151" s="362"/>
      <c r="DS151" s="362"/>
      <c r="DT151" s="363"/>
      <c r="DU151" s="333"/>
      <c r="DV151" s="334"/>
      <c r="DW151" s="334"/>
      <c r="DX151" s="334"/>
      <c r="DY151" s="341"/>
      <c r="EG151" s="361"/>
      <c r="EH151" s="362"/>
      <c r="EI151" s="362"/>
      <c r="EJ151" s="362"/>
      <c r="EK151" s="362"/>
      <c r="EL151" s="362"/>
      <c r="EM151" s="362"/>
      <c r="EN151" s="362"/>
      <c r="EO151" s="362"/>
      <c r="EP151" s="362"/>
      <c r="EQ151" s="362"/>
      <c r="ER151" s="362"/>
      <c r="ES151" s="362"/>
      <c r="ET151" s="362"/>
      <c r="EU151" s="362"/>
      <c r="EV151" s="362"/>
      <c r="EW151" s="362"/>
      <c r="EX151" s="362"/>
      <c r="EY151" s="362"/>
      <c r="EZ151" s="362"/>
      <c r="FA151" s="362"/>
      <c r="FB151" s="362"/>
      <c r="FC151" s="362"/>
      <c r="FD151" s="362"/>
      <c r="FE151" s="362"/>
      <c r="FF151" s="362"/>
      <c r="FG151" s="362"/>
      <c r="FH151" s="362"/>
      <c r="FI151" s="362"/>
      <c r="FJ151" s="362"/>
      <c r="FK151" s="362"/>
      <c r="FL151" s="362"/>
      <c r="FM151" s="362"/>
      <c r="FN151" s="362"/>
      <c r="FO151" s="362"/>
      <c r="FP151" s="362"/>
      <c r="FQ151" s="362"/>
      <c r="FR151" s="362"/>
      <c r="FS151" s="362"/>
      <c r="FT151" s="362"/>
      <c r="FU151" s="363"/>
      <c r="FV151" s="333"/>
      <c r="FW151" s="334"/>
      <c r="FX151" s="334"/>
      <c r="FY151" s="334"/>
      <c r="FZ151" s="341"/>
      <c r="QQ151" s="165"/>
      <c r="QR151" s="166"/>
      <c r="QS151" s="189"/>
      <c r="QT151" s="189"/>
      <c r="QU151" s="189"/>
      <c r="QV151" s="189"/>
      <c r="QW151" s="190"/>
    </row>
    <row r="152" spans="3:465" ht="5.15" customHeight="1" x14ac:dyDescent="0.35">
      <c r="C152" s="161"/>
      <c r="D152" s="162"/>
      <c r="E152" s="164"/>
      <c r="F152" s="164"/>
      <c r="CF152" s="364"/>
      <c r="CG152" s="365"/>
      <c r="CH152" s="365"/>
      <c r="CI152" s="365"/>
      <c r="CJ152" s="365"/>
      <c r="CK152" s="365"/>
      <c r="CL152" s="365"/>
      <c r="CM152" s="365"/>
      <c r="CN152" s="365"/>
      <c r="CO152" s="365"/>
      <c r="CP152" s="365"/>
      <c r="CQ152" s="365"/>
      <c r="CR152" s="365"/>
      <c r="CS152" s="365"/>
      <c r="CT152" s="365"/>
      <c r="CU152" s="365"/>
      <c r="CV152" s="365"/>
      <c r="CW152" s="365"/>
      <c r="CX152" s="365"/>
      <c r="CY152" s="365"/>
      <c r="CZ152" s="365"/>
      <c r="DA152" s="365"/>
      <c r="DB152" s="365"/>
      <c r="DC152" s="365"/>
      <c r="DD152" s="365"/>
      <c r="DE152" s="365"/>
      <c r="DF152" s="365"/>
      <c r="DG152" s="365"/>
      <c r="DH152" s="365"/>
      <c r="DI152" s="365"/>
      <c r="DJ152" s="365"/>
      <c r="DK152" s="365"/>
      <c r="DL152" s="365"/>
      <c r="DM152" s="365"/>
      <c r="DN152" s="365"/>
      <c r="DO152" s="365"/>
      <c r="DP152" s="365"/>
      <c r="DQ152" s="365"/>
      <c r="DR152" s="365"/>
      <c r="DS152" s="365"/>
      <c r="DT152" s="366"/>
      <c r="DU152" s="336"/>
      <c r="DV152" s="337"/>
      <c r="DW152" s="337"/>
      <c r="DX152" s="337"/>
      <c r="DY152" s="342"/>
      <c r="EG152" s="364"/>
      <c r="EH152" s="365"/>
      <c r="EI152" s="365"/>
      <c r="EJ152" s="365"/>
      <c r="EK152" s="365"/>
      <c r="EL152" s="365"/>
      <c r="EM152" s="365"/>
      <c r="EN152" s="365"/>
      <c r="EO152" s="365"/>
      <c r="EP152" s="365"/>
      <c r="EQ152" s="365"/>
      <c r="ER152" s="365"/>
      <c r="ES152" s="365"/>
      <c r="ET152" s="365"/>
      <c r="EU152" s="365"/>
      <c r="EV152" s="365"/>
      <c r="EW152" s="365"/>
      <c r="EX152" s="365"/>
      <c r="EY152" s="365"/>
      <c r="EZ152" s="365"/>
      <c r="FA152" s="365"/>
      <c r="FB152" s="365"/>
      <c r="FC152" s="365"/>
      <c r="FD152" s="365"/>
      <c r="FE152" s="365"/>
      <c r="FF152" s="365"/>
      <c r="FG152" s="365"/>
      <c r="FH152" s="365"/>
      <c r="FI152" s="365"/>
      <c r="FJ152" s="365"/>
      <c r="FK152" s="365"/>
      <c r="FL152" s="365"/>
      <c r="FM152" s="365"/>
      <c r="FN152" s="365"/>
      <c r="FO152" s="365"/>
      <c r="FP152" s="365"/>
      <c r="FQ152" s="365"/>
      <c r="FR152" s="365"/>
      <c r="FS152" s="365"/>
      <c r="FT152" s="365"/>
      <c r="FU152" s="366"/>
      <c r="FV152" s="336"/>
      <c r="FW152" s="337"/>
      <c r="FX152" s="337"/>
      <c r="FY152" s="337"/>
      <c r="FZ152" s="342"/>
      <c r="QQ152" s="165"/>
      <c r="QR152" s="166"/>
      <c r="QS152" s="189"/>
      <c r="QT152" s="189"/>
      <c r="QU152" s="189"/>
      <c r="QV152" s="189"/>
      <c r="QW152" s="190"/>
    </row>
    <row r="153" spans="3:465" ht="5.15" customHeight="1" x14ac:dyDescent="0.35">
      <c r="C153" s="161"/>
      <c r="D153" s="162"/>
      <c r="E153" s="164"/>
      <c r="F153" s="164"/>
      <c r="CF153" s="358" t="s">
        <v>296</v>
      </c>
      <c r="CG153" s="359"/>
      <c r="CH153" s="359"/>
      <c r="CI153" s="359"/>
      <c r="CJ153" s="359"/>
      <c r="CK153" s="359"/>
      <c r="CL153" s="359"/>
      <c r="CM153" s="359"/>
      <c r="CN153" s="359"/>
      <c r="CO153" s="359"/>
      <c r="CP153" s="359"/>
      <c r="CQ153" s="359"/>
      <c r="CR153" s="359"/>
      <c r="CS153" s="359"/>
      <c r="CT153" s="359"/>
      <c r="CU153" s="359"/>
      <c r="CV153" s="359"/>
      <c r="CW153" s="359"/>
      <c r="CX153" s="359"/>
      <c r="CY153" s="359"/>
      <c r="CZ153" s="359"/>
      <c r="DA153" s="359"/>
      <c r="DB153" s="359"/>
      <c r="DC153" s="359"/>
      <c r="DD153" s="359"/>
      <c r="DE153" s="359"/>
      <c r="DF153" s="359"/>
      <c r="DG153" s="359"/>
      <c r="DH153" s="359"/>
      <c r="DI153" s="359"/>
      <c r="DJ153" s="359"/>
      <c r="DK153" s="359"/>
      <c r="DL153" s="359"/>
      <c r="DM153" s="359"/>
      <c r="DN153" s="359"/>
      <c r="DO153" s="359"/>
      <c r="DP153" s="359"/>
      <c r="DQ153" s="359"/>
      <c r="DR153" s="359"/>
      <c r="DS153" s="359"/>
      <c r="DT153" s="360"/>
      <c r="DU153" s="330">
        <v>2</v>
      </c>
      <c r="DV153" s="331"/>
      <c r="DW153" s="331"/>
      <c r="DX153" s="331"/>
      <c r="DY153" s="340"/>
      <c r="EG153" s="358" t="s">
        <v>297</v>
      </c>
      <c r="EH153" s="359"/>
      <c r="EI153" s="359"/>
      <c r="EJ153" s="359"/>
      <c r="EK153" s="359"/>
      <c r="EL153" s="359"/>
      <c r="EM153" s="359"/>
      <c r="EN153" s="359"/>
      <c r="EO153" s="359"/>
      <c r="EP153" s="359"/>
      <c r="EQ153" s="359"/>
      <c r="ER153" s="359"/>
      <c r="ES153" s="359"/>
      <c r="ET153" s="359"/>
      <c r="EU153" s="359"/>
      <c r="EV153" s="359"/>
      <c r="EW153" s="359"/>
      <c r="EX153" s="359"/>
      <c r="EY153" s="359"/>
      <c r="EZ153" s="359"/>
      <c r="FA153" s="359"/>
      <c r="FB153" s="359"/>
      <c r="FC153" s="359"/>
      <c r="FD153" s="359"/>
      <c r="FE153" s="359"/>
      <c r="FF153" s="359"/>
      <c r="FG153" s="359"/>
      <c r="FH153" s="359"/>
      <c r="FI153" s="359"/>
      <c r="FJ153" s="359"/>
      <c r="FK153" s="359"/>
      <c r="FL153" s="359"/>
      <c r="FM153" s="359"/>
      <c r="FN153" s="359"/>
      <c r="FO153" s="359"/>
      <c r="FP153" s="359"/>
      <c r="FQ153" s="359"/>
      <c r="FR153" s="359"/>
      <c r="FS153" s="359"/>
      <c r="FT153" s="359"/>
      <c r="FU153" s="360"/>
      <c r="FV153" s="330">
        <v>3</v>
      </c>
      <c r="FW153" s="331"/>
      <c r="FX153" s="331"/>
      <c r="FY153" s="331"/>
      <c r="FZ153" s="340"/>
      <c r="QQ153" s="165"/>
      <c r="QR153" s="166"/>
      <c r="QS153" s="189"/>
      <c r="QT153" s="189"/>
      <c r="QU153" s="189"/>
      <c r="QV153" s="189"/>
      <c r="QW153" s="190"/>
    </row>
    <row r="154" spans="3:465" ht="5.15" customHeight="1" x14ac:dyDescent="0.35">
      <c r="C154" s="161"/>
      <c r="D154" s="162"/>
      <c r="E154" s="164"/>
      <c r="F154" s="164"/>
      <c r="CF154" s="361"/>
      <c r="CG154" s="362"/>
      <c r="CH154" s="362"/>
      <c r="CI154" s="362"/>
      <c r="CJ154" s="362"/>
      <c r="CK154" s="362"/>
      <c r="CL154" s="362"/>
      <c r="CM154" s="362"/>
      <c r="CN154" s="362"/>
      <c r="CO154" s="362"/>
      <c r="CP154" s="362"/>
      <c r="CQ154" s="362"/>
      <c r="CR154" s="362"/>
      <c r="CS154" s="362"/>
      <c r="CT154" s="362"/>
      <c r="CU154" s="362"/>
      <c r="CV154" s="362"/>
      <c r="CW154" s="362"/>
      <c r="CX154" s="362"/>
      <c r="CY154" s="362"/>
      <c r="CZ154" s="362"/>
      <c r="DA154" s="362"/>
      <c r="DB154" s="362"/>
      <c r="DC154" s="362"/>
      <c r="DD154" s="362"/>
      <c r="DE154" s="362"/>
      <c r="DF154" s="362"/>
      <c r="DG154" s="362"/>
      <c r="DH154" s="362"/>
      <c r="DI154" s="362"/>
      <c r="DJ154" s="362"/>
      <c r="DK154" s="362"/>
      <c r="DL154" s="362"/>
      <c r="DM154" s="362"/>
      <c r="DN154" s="362"/>
      <c r="DO154" s="362"/>
      <c r="DP154" s="362"/>
      <c r="DQ154" s="362"/>
      <c r="DR154" s="362"/>
      <c r="DS154" s="362"/>
      <c r="DT154" s="363"/>
      <c r="DU154" s="333"/>
      <c r="DV154" s="334"/>
      <c r="DW154" s="334"/>
      <c r="DX154" s="334"/>
      <c r="DY154" s="341"/>
      <c r="EG154" s="361"/>
      <c r="EH154" s="362"/>
      <c r="EI154" s="362"/>
      <c r="EJ154" s="362"/>
      <c r="EK154" s="362"/>
      <c r="EL154" s="362"/>
      <c r="EM154" s="362"/>
      <c r="EN154" s="362"/>
      <c r="EO154" s="362"/>
      <c r="EP154" s="362"/>
      <c r="EQ154" s="362"/>
      <c r="ER154" s="362"/>
      <c r="ES154" s="362"/>
      <c r="ET154" s="362"/>
      <c r="EU154" s="362"/>
      <c r="EV154" s="362"/>
      <c r="EW154" s="362"/>
      <c r="EX154" s="362"/>
      <c r="EY154" s="362"/>
      <c r="EZ154" s="362"/>
      <c r="FA154" s="362"/>
      <c r="FB154" s="362"/>
      <c r="FC154" s="362"/>
      <c r="FD154" s="362"/>
      <c r="FE154" s="362"/>
      <c r="FF154" s="362"/>
      <c r="FG154" s="362"/>
      <c r="FH154" s="362"/>
      <c r="FI154" s="362"/>
      <c r="FJ154" s="362"/>
      <c r="FK154" s="362"/>
      <c r="FL154" s="362"/>
      <c r="FM154" s="362"/>
      <c r="FN154" s="362"/>
      <c r="FO154" s="362"/>
      <c r="FP154" s="362"/>
      <c r="FQ154" s="362"/>
      <c r="FR154" s="362"/>
      <c r="FS154" s="362"/>
      <c r="FT154" s="362"/>
      <c r="FU154" s="363"/>
      <c r="FV154" s="333"/>
      <c r="FW154" s="334"/>
      <c r="FX154" s="334"/>
      <c r="FY154" s="334"/>
      <c r="FZ154" s="341"/>
      <c r="QQ154" s="165"/>
      <c r="QR154" s="166"/>
      <c r="QS154" s="189"/>
      <c r="QT154" s="189"/>
      <c r="QU154" s="189"/>
      <c r="QV154" s="189"/>
      <c r="QW154" s="190"/>
    </row>
    <row r="155" spans="3:465" ht="5.15" customHeight="1" x14ac:dyDescent="0.35">
      <c r="C155" s="161"/>
      <c r="D155" s="162"/>
      <c r="E155" s="164"/>
      <c r="F155" s="164"/>
      <c r="CF155" s="361"/>
      <c r="CG155" s="362"/>
      <c r="CH155" s="362"/>
      <c r="CI155" s="362"/>
      <c r="CJ155" s="362"/>
      <c r="CK155" s="362"/>
      <c r="CL155" s="362"/>
      <c r="CM155" s="362"/>
      <c r="CN155" s="362"/>
      <c r="CO155" s="362"/>
      <c r="CP155" s="362"/>
      <c r="CQ155" s="362"/>
      <c r="CR155" s="362"/>
      <c r="CS155" s="362"/>
      <c r="CT155" s="362"/>
      <c r="CU155" s="362"/>
      <c r="CV155" s="362"/>
      <c r="CW155" s="362"/>
      <c r="CX155" s="362"/>
      <c r="CY155" s="362"/>
      <c r="CZ155" s="362"/>
      <c r="DA155" s="362"/>
      <c r="DB155" s="362"/>
      <c r="DC155" s="362"/>
      <c r="DD155" s="362"/>
      <c r="DE155" s="362"/>
      <c r="DF155" s="362"/>
      <c r="DG155" s="362"/>
      <c r="DH155" s="362"/>
      <c r="DI155" s="362"/>
      <c r="DJ155" s="362"/>
      <c r="DK155" s="362"/>
      <c r="DL155" s="362"/>
      <c r="DM155" s="362"/>
      <c r="DN155" s="362"/>
      <c r="DO155" s="362"/>
      <c r="DP155" s="362"/>
      <c r="DQ155" s="362"/>
      <c r="DR155" s="362"/>
      <c r="DS155" s="362"/>
      <c r="DT155" s="363"/>
      <c r="DU155" s="333"/>
      <c r="DV155" s="334"/>
      <c r="DW155" s="334"/>
      <c r="DX155" s="334"/>
      <c r="DY155" s="341"/>
      <c r="EG155" s="361"/>
      <c r="EH155" s="362"/>
      <c r="EI155" s="362"/>
      <c r="EJ155" s="362"/>
      <c r="EK155" s="362"/>
      <c r="EL155" s="362"/>
      <c r="EM155" s="362"/>
      <c r="EN155" s="362"/>
      <c r="EO155" s="362"/>
      <c r="EP155" s="362"/>
      <c r="EQ155" s="362"/>
      <c r="ER155" s="362"/>
      <c r="ES155" s="362"/>
      <c r="ET155" s="362"/>
      <c r="EU155" s="362"/>
      <c r="EV155" s="362"/>
      <c r="EW155" s="362"/>
      <c r="EX155" s="362"/>
      <c r="EY155" s="362"/>
      <c r="EZ155" s="362"/>
      <c r="FA155" s="362"/>
      <c r="FB155" s="362"/>
      <c r="FC155" s="362"/>
      <c r="FD155" s="362"/>
      <c r="FE155" s="362"/>
      <c r="FF155" s="362"/>
      <c r="FG155" s="362"/>
      <c r="FH155" s="362"/>
      <c r="FI155" s="362"/>
      <c r="FJ155" s="362"/>
      <c r="FK155" s="362"/>
      <c r="FL155" s="362"/>
      <c r="FM155" s="362"/>
      <c r="FN155" s="362"/>
      <c r="FO155" s="362"/>
      <c r="FP155" s="362"/>
      <c r="FQ155" s="362"/>
      <c r="FR155" s="362"/>
      <c r="FS155" s="362"/>
      <c r="FT155" s="362"/>
      <c r="FU155" s="363"/>
      <c r="FV155" s="333"/>
      <c r="FW155" s="334"/>
      <c r="FX155" s="334"/>
      <c r="FY155" s="334"/>
      <c r="FZ155" s="341"/>
      <c r="QQ155" s="165"/>
      <c r="QR155" s="166"/>
      <c r="QS155" s="189"/>
      <c r="QT155" s="189"/>
      <c r="QU155" s="189"/>
      <c r="QV155" s="189"/>
      <c r="QW155" s="190"/>
    </row>
    <row r="156" spans="3:465" ht="5.15" customHeight="1" x14ac:dyDescent="0.35">
      <c r="C156" s="161"/>
      <c r="D156" s="162"/>
      <c r="E156" s="164"/>
      <c r="F156" s="164"/>
      <c r="CF156" s="361"/>
      <c r="CG156" s="362"/>
      <c r="CH156" s="362"/>
      <c r="CI156" s="362"/>
      <c r="CJ156" s="362"/>
      <c r="CK156" s="362"/>
      <c r="CL156" s="362"/>
      <c r="CM156" s="362"/>
      <c r="CN156" s="362"/>
      <c r="CO156" s="362"/>
      <c r="CP156" s="362"/>
      <c r="CQ156" s="362"/>
      <c r="CR156" s="362"/>
      <c r="CS156" s="362"/>
      <c r="CT156" s="362"/>
      <c r="CU156" s="362"/>
      <c r="CV156" s="362"/>
      <c r="CW156" s="362"/>
      <c r="CX156" s="362"/>
      <c r="CY156" s="362"/>
      <c r="CZ156" s="362"/>
      <c r="DA156" s="362"/>
      <c r="DB156" s="362"/>
      <c r="DC156" s="362"/>
      <c r="DD156" s="362"/>
      <c r="DE156" s="362"/>
      <c r="DF156" s="362"/>
      <c r="DG156" s="362"/>
      <c r="DH156" s="362"/>
      <c r="DI156" s="362"/>
      <c r="DJ156" s="362"/>
      <c r="DK156" s="362"/>
      <c r="DL156" s="362"/>
      <c r="DM156" s="362"/>
      <c r="DN156" s="362"/>
      <c r="DO156" s="362"/>
      <c r="DP156" s="362"/>
      <c r="DQ156" s="362"/>
      <c r="DR156" s="362"/>
      <c r="DS156" s="362"/>
      <c r="DT156" s="363"/>
      <c r="DU156" s="333"/>
      <c r="DV156" s="334"/>
      <c r="DW156" s="334"/>
      <c r="DX156" s="334"/>
      <c r="DY156" s="341"/>
      <c r="EG156" s="361"/>
      <c r="EH156" s="362"/>
      <c r="EI156" s="362"/>
      <c r="EJ156" s="362"/>
      <c r="EK156" s="362"/>
      <c r="EL156" s="362"/>
      <c r="EM156" s="362"/>
      <c r="EN156" s="362"/>
      <c r="EO156" s="362"/>
      <c r="EP156" s="362"/>
      <c r="EQ156" s="362"/>
      <c r="ER156" s="362"/>
      <c r="ES156" s="362"/>
      <c r="ET156" s="362"/>
      <c r="EU156" s="362"/>
      <c r="EV156" s="362"/>
      <c r="EW156" s="362"/>
      <c r="EX156" s="362"/>
      <c r="EY156" s="362"/>
      <c r="EZ156" s="362"/>
      <c r="FA156" s="362"/>
      <c r="FB156" s="362"/>
      <c r="FC156" s="362"/>
      <c r="FD156" s="362"/>
      <c r="FE156" s="362"/>
      <c r="FF156" s="362"/>
      <c r="FG156" s="362"/>
      <c r="FH156" s="362"/>
      <c r="FI156" s="362"/>
      <c r="FJ156" s="362"/>
      <c r="FK156" s="362"/>
      <c r="FL156" s="362"/>
      <c r="FM156" s="362"/>
      <c r="FN156" s="362"/>
      <c r="FO156" s="362"/>
      <c r="FP156" s="362"/>
      <c r="FQ156" s="362"/>
      <c r="FR156" s="362"/>
      <c r="FS156" s="362"/>
      <c r="FT156" s="362"/>
      <c r="FU156" s="363"/>
      <c r="FV156" s="333"/>
      <c r="FW156" s="334"/>
      <c r="FX156" s="334"/>
      <c r="FY156" s="334"/>
      <c r="FZ156" s="341"/>
      <c r="QQ156" s="165"/>
      <c r="QR156" s="166"/>
      <c r="QS156" s="189"/>
      <c r="QT156" s="189"/>
      <c r="QU156" s="189"/>
      <c r="QV156" s="189"/>
      <c r="QW156" s="190"/>
    </row>
    <row r="157" spans="3:465" ht="5.15" customHeight="1" x14ac:dyDescent="0.35">
      <c r="C157" s="161"/>
      <c r="D157" s="162"/>
      <c r="E157" s="164"/>
      <c r="F157" s="164"/>
      <c r="CF157" s="361"/>
      <c r="CG157" s="362"/>
      <c r="CH157" s="362"/>
      <c r="CI157" s="362"/>
      <c r="CJ157" s="362"/>
      <c r="CK157" s="362"/>
      <c r="CL157" s="362"/>
      <c r="CM157" s="362"/>
      <c r="CN157" s="362"/>
      <c r="CO157" s="362"/>
      <c r="CP157" s="362"/>
      <c r="CQ157" s="362"/>
      <c r="CR157" s="362"/>
      <c r="CS157" s="362"/>
      <c r="CT157" s="362"/>
      <c r="CU157" s="362"/>
      <c r="CV157" s="362"/>
      <c r="CW157" s="362"/>
      <c r="CX157" s="362"/>
      <c r="CY157" s="362"/>
      <c r="CZ157" s="362"/>
      <c r="DA157" s="362"/>
      <c r="DB157" s="362"/>
      <c r="DC157" s="362"/>
      <c r="DD157" s="362"/>
      <c r="DE157" s="362"/>
      <c r="DF157" s="362"/>
      <c r="DG157" s="362"/>
      <c r="DH157" s="362"/>
      <c r="DI157" s="362"/>
      <c r="DJ157" s="362"/>
      <c r="DK157" s="362"/>
      <c r="DL157" s="362"/>
      <c r="DM157" s="362"/>
      <c r="DN157" s="362"/>
      <c r="DO157" s="362"/>
      <c r="DP157" s="362"/>
      <c r="DQ157" s="362"/>
      <c r="DR157" s="362"/>
      <c r="DS157" s="362"/>
      <c r="DT157" s="363"/>
      <c r="DU157" s="333"/>
      <c r="DV157" s="334"/>
      <c r="DW157" s="334"/>
      <c r="DX157" s="334"/>
      <c r="DY157" s="341"/>
      <c r="EG157" s="361"/>
      <c r="EH157" s="362"/>
      <c r="EI157" s="362"/>
      <c r="EJ157" s="362"/>
      <c r="EK157" s="362"/>
      <c r="EL157" s="362"/>
      <c r="EM157" s="362"/>
      <c r="EN157" s="362"/>
      <c r="EO157" s="362"/>
      <c r="EP157" s="362"/>
      <c r="EQ157" s="362"/>
      <c r="ER157" s="362"/>
      <c r="ES157" s="362"/>
      <c r="ET157" s="362"/>
      <c r="EU157" s="362"/>
      <c r="EV157" s="362"/>
      <c r="EW157" s="362"/>
      <c r="EX157" s="362"/>
      <c r="EY157" s="362"/>
      <c r="EZ157" s="362"/>
      <c r="FA157" s="362"/>
      <c r="FB157" s="362"/>
      <c r="FC157" s="362"/>
      <c r="FD157" s="362"/>
      <c r="FE157" s="362"/>
      <c r="FF157" s="362"/>
      <c r="FG157" s="362"/>
      <c r="FH157" s="362"/>
      <c r="FI157" s="362"/>
      <c r="FJ157" s="362"/>
      <c r="FK157" s="362"/>
      <c r="FL157" s="362"/>
      <c r="FM157" s="362"/>
      <c r="FN157" s="362"/>
      <c r="FO157" s="362"/>
      <c r="FP157" s="362"/>
      <c r="FQ157" s="362"/>
      <c r="FR157" s="362"/>
      <c r="FS157" s="362"/>
      <c r="FT157" s="362"/>
      <c r="FU157" s="363"/>
      <c r="FV157" s="333"/>
      <c r="FW157" s="334"/>
      <c r="FX157" s="334"/>
      <c r="FY157" s="334"/>
      <c r="FZ157" s="341"/>
      <c r="QQ157" s="165"/>
      <c r="QR157" s="166"/>
      <c r="QS157" s="189"/>
      <c r="QT157" s="189"/>
      <c r="QU157" s="189"/>
      <c r="QV157" s="189"/>
      <c r="QW157" s="190"/>
    </row>
    <row r="158" spans="3:465" ht="5.15" customHeight="1" x14ac:dyDescent="0.35">
      <c r="C158" s="161"/>
      <c r="D158" s="162"/>
      <c r="E158" s="164"/>
      <c r="F158" s="164"/>
      <c r="CF158" s="361"/>
      <c r="CG158" s="362"/>
      <c r="CH158" s="362"/>
      <c r="CI158" s="362"/>
      <c r="CJ158" s="362"/>
      <c r="CK158" s="362"/>
      <c r="CL158" s="362"/>
      <c r="CM158" s="362"/>
      <c r="CN158" s="362"/>
      <c r="CO158" s="362"/>
      <c r="CP158" s="362"/>
      <c r="CQ158" s="362"/>
      <c r="CR158" s="362"/>
      <c r="CS158" s="362"/>
      <c r="CT158" s="362"/>
      <c r="CU158" s="362"/>
      <c r="CV158" s="362"/>
      <c r="CW158" s="362"/>
      <c r="CX158" s="362"/>
      <c r="CY158" s="362"/>
      <c r="CZ158" s="362"/>
      <c r="DA158" s="362"/>
      <c r="DB158" s="362"/>
      <c r="DC158" s="362"/>
      <c r="DD158" s="362"/>
      <c r="DE158" s="362"/>
      <c r="DF158" s="362"/>
      <c r="DG158" s="362"/>
      <c r="DH158" s="362"/>
      <c r="DI158" s="362"/>
      <c r="DJ158" s="362"/>
      <c r="DK158" s="362"/>
      <c r="DL158" s="362"/>
      <c r="DM158" s="362"/>
      <c r="DN158" s="362"/>
      <c r="DO158" s="362"/>
      <c r="DP158" s="362"/>
      <c r="DQ158" s="362"/>
      <c r="DR158" s="362"/>
      <c r="DS158" s="362"/>
      <c r="DT158" s="363"/>
      <c r="DU158" s="333"/>
      <c r="DV158" s="334"/>
      <c r="DW158" s="334"/>
      <c r="DX158" s="334"/>
      <c r="DY158" s="341"/>
      <c r="EG158" s="361"/>
      <c r="EH158" s="362"/>
      <c r="EI158" s="362"/>
      <c r="EJ158" s="362"/>
      <c r="EK158" s="362"/>
      <c r="EL158" s="362"/>
      <c r="EM158" s="362"/>
      <c r="EN158" s="362"/>
      <c r="EO158" s="362"/>
      <c r="EP158" s="362"/>
      <c r="EQ158" s="362"/>
      <c r="ER158" s="362"/>
      <c r="ES158" s="362"/>
      <c r="ET158" s="362"/>
      <c r="EU158" s="362"/>
      <c r="EV158" s="362"/>
      <c r="EW158" s="362"/>
      <c r="EX158" s="362"/>
      <c r="EY158" s="362"/>
      <c r="EZ158" s="362"/>
      <c r="FA158" s="362"/>
      <c r="FB158" s="362"/>
      <c r="FC158" s="362"/>
      <c r="FD158" s="362"/>
      <c r="FE158" s="362"/>
      <c r="FF158" s="362"/>
      <c r="FG158" s="362"/>
      <c r="FH158" s="362"/>
      <c r="FI158" s="362"/>
      <c r="FJ158" s="362"/>
      <c r="FK158" s="362"/>
      <c r="FL158" s="362"/>
      <c r="FM158" s="362"/>
      <c r="FN158" s="362"/>
      <c r="FO158" s="362"/>
      <c r="FP158" s="362"/>
      <c r="FQ158" s="362"/>
      <c r="FR158" s="362"/>
      <c r="FS158" s="362"/>
      <c r="FT158" s="362"/>
      <c r="FU158" s="363"/>
      <c r="FV158" s="333"/>
      <c r="FW158" s="334"/>
      <c r="FX158" s="334"/>
      <c r="FY158" s="334"/>
      <c r="FZ158" s="341"/>
      <c r="QQ158" s="165"/>
      <c r="QR158" s="166"/>
      <c r="QS158" s="189"/>
      <c r="QT158" s="189"/>
      <c r="QU158" s="189"/>
      <c r="QV158" s="189"/>
      <c r="QW158" s="190"/>
    </row>
    <row r="159" spans="3:465" ht="5.15" customHeight="1" x14ac:dyDescent="0.35">
      <c r="C159" s="161"/>
      <c r="D159" s="162"/>
      <c r="E159" s="164"/>
      <c r="F159" s="164"/>
      <c r="CF159" s="361"/>
      <c r="CG159" s="362"/>
      <c r="CH159" s="362"/>
      <c r="CI159" s="362"/>
      <c r="CJ159" s="362"/>
      <c r="CK159" s="362"/>
      <c r="CL159" s="362"/>
      <c r="CM159" s="362"/>
      <c r="CN159" s="362"/>
      <c r="CO159" s="362"/>
      <c r="CP159" s="362"/>
      <c r="CQ159" s="362"/>
      <c r="CR159" s="362"/>
      <c r="CS159" s="362"/>
      <c r="CT159" s="362"/>
      <c r="CU159" s="362"/>
      <c r="CV159" s="362"/>
      <c r="CW159" s="362"/>
      <c r="CX159" s="362"/>
      <c r="CY159" s="362"/>
      <c r="CZ159" s="362"/>
      <c r="DA159" s="362"/>
      <c r="DB159" s="362"/>
      <c r="DC159" s="362"/>
      <c r="DD159" s="362"/>
      <c r="DE159" s="362"/>
      <c r="DF159" s="362"/>
      <c r="DG159" s="362"/>
      <c r="DH159" s="362"/>
      <c r="DI159" s="362"/>
      <c r="DJ159" s="362"/>
      <c r="DK159" s="362"/>
      <c r="DL159" s="362"/>
      <c r="DM159" s="362"/>
      <c r="DN159" s="362"/>
      <c r="DO159" s="362"/>
      <c r="DP159" s="362"/>
      <c r="DQ159" s="362"/>
      <c r="DR159" s="362"/>
      <c r="DS159" s="362"/>
      <c r="DT159" s="363"/>
      <c r="DU159" s="333"/>
      <c r="DV159" s="334"/>
      <c r="DW159" s="334"/>
      <c r="DX159" s="334"/>
      <c r="DY159" s="341"/>
      <c r="EG159" s="361"/>
      <c r="EH159" s="362"/>
      <c r="EI159" s="362"/>
      <c r="EJ159" s="362"/>
      <c r="EK159" s="362"/>
      <c r="EL159" s="362"/>
      <c r="EM159" s="362"/>
      <c r="EN159" s="362"/>
      <c r="EO159" s="362"/>
      <c r="EP159" s="362"/>
      <c r="EQ159" s="362"/>
      <c r="ER159" s="362"/>
      <c r="ES159" s="362"/>
      <c r="ET159" s="362"/>
      <c r="EU159" s="362"/>
      <c r="EV159" s="362"/>
      <c r="EW159" s="362"/>
      <c r="EX159" s="362"/>
      <c r="EY159" s="362"/>
      <c r="EZ159" s="362"/>
      <c r="FA159" s="362"/>
      <c r="FB159" s="362"/>
      <c r="FC159" s="362"/>
      <c r="FD159" s="362"/>
      <c r="FE159" s="362"/>
      <c r="FF159" s="362"/>
      <c r="FG159" s="362"/>
      <c r="FH159" s="362"/>
      <c r="FI159" s="362"/>
      <c r="FJ159" s="362"/>
      <c r="FK159" s="362"/>
      <c r="FL159" s="362"/>
      <c r="FM159" s="362"/>
      <c r="FN159" s="362"/>
      <c r="FO159" s="362"/>
      <c r="FP159" s="362"/>
      <c r="FQ159" s="362"/>
      <c r="FR159" s="362"/>
      <c r="FS159" s="362"/>
      <c r="FT159" s="362"/>
      <c r="FU159" s="363"/>
      <c r="FV159" s="333"/>
      <c r="FW159" s="334"/>
      <c r="FX159" s="334"/>
      <c r="FY159" s="334"/>
      <c r="FZ159" s="341"/>
      <c r="QQ159" s="165"/>
      <c r="QR159" s="166"/>
      <c r="QS159" s="189"/>
      <c r="QT159" s="189"/>
      <c r="QU159" s="189"/>
      <c r="QV159" s="189"/>
      <c r="QW159" s="190"/>
    </row>
    <row r="160" spans="3:465" ht="5.15" customHeight="1" x14ac:dyDescent="0.35">
      <c r="C160" s="161"/>
      <c r="D160" s="162"/>
      <c r="E160" s="164"/>
      <c r="F160" s="164"/>
      <c r="CF160" s="361"/>
      <c r="CG160" s="362"/>
      <c r="CH160" s="362"/>
      <c r="CI160" s="362"/>
      <c r="CJ160" s="362"/>
      <c r="CK160" s="362"/>
      <c r="CL160" s="362"/>
      <c r="CM160" s="362"/>
      <c r="CN160" s="362"/>
      <c r="CO160" s="362"/>
      <c r="CP160" s="362"/>
      <c r="CQ160" s="362"/>
      <c r="CR160" s="362"/>
      <c r="CS160" s="362"/>
      <c r="CT160" s="362"/>
      <c r="CU160" s="362"/>
      <c r="CV160" s="362"/>
      <c r="CW160" s="362"/>
      <c r="CX160" s="362"/>
      <c r="CY160" s="362"/>
      <c r="CZ160" s="362"/>
      <c r="DA160" s="362"/>
      <c r="DB160" s="362"/>
      <c r="DC160" s="362"/>
      <c r="DD160" s="362"/>
      <c r="DE160" s="362"/>
      <c r="DF160" s="362"/>
      <c r="DG160" s="362"/>
      <c r="DH160" s="362"/>
      <c r="DI160" s="362"/>
      <c r="DJ160" s="362"/>
      <c r="DK160" s="362"/>
      <c r="DL160" s="362"/>
      <c r="DM160" s="362"/>
      <c r="DN160" s="362"/>
      <c r="DO160" s="362"/>
      <c r="DP160" s="362"/>
      <c r="DQ160" s="362"/>
      <c r="DR160" s="362"/>
      <c r="DS160" s="362"/>
      <c r="DT160" s="363"/>
      <c r="DU160" s="333"/>
      <c r="DV160" s="334"/>
      <c r="DW160" s="334"/>
      <c r="DX160" s="334"/>
      <c r="DY160" s="341"/>
      <c r="EG160" s="361"/>
      <c r="EH160" s="362"/>
      <c r="EI160" s="362"/>
      <c r="EJ160" s="362"/>
      <c r="EK160" s="362"/>
      <c r="EL160" s="362"/>
      <c r="EM160" s="362"/>
      <c r="EN160" s="362"/>
      <c r="EO160" s="362"/>
      <c r="EP160" s="362"/>
      <c r="EQ160" s="362"/>
      <c r="ER160" s="362"/>
      <c r="ES160" s="362"/>
      <c r="ET160" s="362"/>
      <c r="EU160" s="362"/>
      <c r="EV160" s="362"/>
      <c r="EW160" s="362"/>
      <c r="EX160" s="362"/>
      <c r="EY160" s="362"/>
      <c r="EZ160" s="362"/>
      <c r="FA160" s="362"/>
      <c r="FB160" s="362"/>
      <c r="FC160" s="362"/>
      <c r="FD160" s="362"/>
      <c r="FE160" s="362"/>
      <c r="FF160" s="362"/>
      <c r="FG160" s="362"/>
      <c r="FH160" s="362"/>
      <c r="FI160" s="362"/>
      <c r="FJ160" s="362"/>
      <c r="FK160" s="362"/>
      <c r="FL160" s="362"/>
      <c r="FM160" s="362"/>
      <c r="FN160" s="362"/>
      <c r="FO160" s="362"/>
      <c r="FP160" s="362"/>
      <c r="FQ160" s="362"/>
      <c r="FR160" s="362"/>
      <c r="FS160" s="362"/>
      <c r="FT160" s="362"/>
      <c r="FU160" s="363"/>
      <c r="FV160" s="333"/>
      <c r="FW160" s="334"/>
      <c r="FX160" s="334"/>
      <c r="FY160" s="334"/>
      <c r="FZ160" s="341"/>
      <c r="QQ160" s="165"/>
      <c r="QR160" s="166"/>
      <c r="QS160" s="189"/>
      <c r="QT160" s="189"/>
      <c r="QU160" s="189"/>
      <c r="QV160" s="189"/>
      <c r="QW160" s="190"/>
    </row>
    <row r="161" spans="3:484" ht="5.15" customHeight="1" x14ac:dyDescent="0.35">
      <c r="C161" s="161"/>
      <c r="D161" s="162"/>
      <c r="E161" s="164"/>
      <c r="F161" s="164"/>
      <c r="CF161" s="361"/>
      <c r="CG161" s="362"/>
      <c r="CH161" s="362"/>
      <c r="CI161" s="362"/>
      <c r="CJ161" s="362"/>
      <c r="CK161" s="362"/>
      <c r="CL161" s="362"/>
      <c r="CM161" s="362"/>
      <c r="CN161" s="362"/>
      <c r="CO161" s="362"/>
      <c r="CP161" s="362"/>
      <c r="CQ161" s="362"/>
      <c r="CR161" s="362"/>
      <c r="CS161" s="362"/>
      <c r="CT161" s="362"/>
      <c r="CU161" s="362"/>
      <c r="CV161" s="362"/>
      <c r="CW161" s="362"/>
      <c r="CX161" s="362"/>
      <c r="CY161" s="362"/>
      <c r="CZ161" s="362"/>
      <c r="DA161" s="362"/>
      <c r="DB161" s="362"/>
      <c r="DC161" s="362"/>
      <c r="DD161" s="362"/>
      <c r="DE161" s="362"/>
      <c r="DF161" s="362"/>
      <c r="DG161" s="362"/>
      <c r="DH161" s="362"/>
      <c r="DI161" s="362"/>
      <c r="DJ161" s="362"/>
      <c r="DK161" s="362"/>
      <c r="DL161" s="362"/>
      <c r="DM161" s="362"/>
      <c r="DN161" s="362"/>
      <c r="DO161" s="362"/>
      <c r="DP161" s="362"/>
      <c r="DQ161" s="362"/>
      <c r="DR161" s="362"/>
      <c r="DS161" s="362"/>
      <c r="DT161" s="363"/>
      <c r="DU161" s="333"/>
      <c r="DV161" s="334"/>
      <c r="DW161" s="334"/>
      <c r="DX161" s="334"/>
      <c r="DY161" s="341"/>
      <c r="EG161" s="361"/>
      <c r="EH161" s="362"/>
      <c r="EI161" s="362"/>
      <c r="EJ161" s="362"/>
      <c r="EK161" s="362"/>
      <c r="EL161" s="362"/>
      <c r="EM161" s="362"/>
      <c r="EN161" s="362"/>
      <c r="EO161" s="362"/>
      <c r="EP161" s="362"/>
      <c r="EQ161" s="362"/>
      <c r="ER161" s="362"/>
      <c r="ES161" s="362"/>
      <c r="ET161" s="362"/>
      <c r="EU161" s="362"/>
      <c r="EV161" s="362"/>
      <c r="EW161" s="362"/>
      <c r="EX161" s="362"/>
      <c r="EY161" s="362"/>
      <c r="EZ161" s="362"/>
      <c r="FA161" s="362"/>
      <c r="FB161" s="362"/>
      <c r="FC161" s="362"/>
      <c r="FD161" s="362"/>
      <c r="FE161" s="362"/>
      <c r="FF161" s="362"/>
      <c r="FG161" s="362"/>
      <c r="FH161" s="362"/>
      <c r="FI161" s="362"/>
      <c r="FJ161" s="362"/>
      <c r="FK161" s="362"/>
      <c r="FL161" s="362"/>
      <c r="FM161" s="362"/>
      <c r="FN161" s="362"/>
      <c r="FO161" s="362"/>
      <c r="FP161" s="362"/>
      <c r="FQ161" s="362"/>
      <c r="FR161" s="362"/>
      <c r="FS161" s="362"/>
      <c r="FT161" s="362"/>
      <c r="FU161" s="363"/>
      <c r="FV161" s="333"/>
      <c r="FW161" s="334"/>
      <c r="FX161" s="334"/>
      <c r="FY161" s="334"/>
      <c r="FZ161" s="341"/>
      <c r="OM161" s="164"/>
      <c r="ON161" s="164"/>
      <c r="OO161" s="164"/>
      <c r="OP161" s="164"/>
      <c r="OQ161" s="164" t="s">
        <v>298</v>
      </c>
      <c r="QE161" s="147" t="e">
        <f>#REF!</f>
        <v>#REF!</v>
      </c>
      <c r="QQ161" s="165"/>
      <c r="QR161" s="166"/>
      <c r="QS161" s="189"/>
      <c r="QT161" s="189"/>
      <c r="QU161" s="189"/>
      <c r="QV161" s="189"/>
      <c r="QW161" s="190"/>
    </row>
    <row r="162" spans="3:484" ht="5.15" customHeight="1" x14ac:dyDescent="0.35">
      <c r="C162" s="161"/>
      <c r="D162" s="162"/>
      <c r="E162" s="164"/>
      <c r="F162" s="164"/>
      <c r="CF162" s="364"/>
      <c r="CG162" s="365"/>
      <c r="CH162" s="365"/>
      <c r="CI162" s="365"/>
      <c r="CJ162" s="365"/>
      <c r="CK162" s="365"/>
      <c r="CL162" s="365"/>
      <c r="CM162" s="365"/>
      <c r="CN162" s="365"/>
      <c r="CO162" s="365"/>
      <c r="CP162" s="365"/>
      <c r="CQ162" s="365"/>
      <c r="CR162" s="365"/>
      <c r="CS162" s="365"/>
      <c r="CT162" s="365"/>
      <c r="CU162" s="365"/>
      <c r="CV162" s="365"/>
      <c r="CW162" s="365"/>
      <c r="CX162" s="365"/>
      <c r="CY162" s="365"/>
      <c r="CZ162" s="365"/>
      <c r="DA162" s="365"/>
      <c r="DB162" s="365"/>
      <c r="DC162" s="365"/>
      <c r="DD162" s="365"/>
      <c r="DE162" s="365"/>
      <c r="DF162" s="365"/>
      <c r="DG162" s="365"/>
      <c r="DH162" s="365"/>
      <c r="DI162" s="365"/>
      <c r="DJ162" s="365"/>
      <c r="DK162" s="365"/>
      <c r="DL162" s="365"/>
      <c r="DM162" s="365"/>
      <c r="DN162" s="365"/>
      <c r="DO162" s="365"/>
      <c r="DP162" s="365"/>
      <c r="DQ162" s="365"/>
      <c r="DR162" s="365"/>
      <c r="DS162" s="365"/>
      <c r="DT162" s="366"/>
      <c r="DU162" s="336"/>
      <c r="DV162" s="337"/>
      <c r="DW162" s="337"/>
      <c r="DX162" s="337"/>
      <c r="DY162" s="342"/>
      <c r="EG162" s="364"/>
      <c r="EH162" s="365"/>
      <c r="EI162" s="365"/>
      <c r="EJ162" s="365"/>
      <c r="EK162" s="365"/>
      <c r="EL162" s="365"/>
      <c r="EM162" s="365"/>
      <c r="EN162" s="365"/>
      <c r="EO162" s="365"/>
      <c r="EP162" s="365"/>
      <c r="EQ162" s="365"/>
      <c r="ER162" s="365"/>
      <c r="ES162" s="365"/>
      <c r="ET162" s="365"/>
      <c r="EU162" s="365"/>
      <c r="EV162" s="365"/>
      <c r="EW162" s="365"/>
      <c r="EX162" s="365"/>
      <c r="EY162" s="365"/>
      <c r="EZ162" s="365"/>
      <c r="FA162" s="365"/>
      <c r="FB162" s="365"/>
      <c r="FC162" s="365"/>
      <c r="FD162" s="365"/>
      <c r="FE162" s="365"/>
      <c r="FF162" s="365"/>
      <c r="FG162" s="365"/>
      <c r="FH162" s="365"/>
      <c r="FI162" s="365"/>
      <c r="FJ162" s="365"/>
      <c r="FK162" s="365"/>
      <c r="FL162" s="365"/>
      <c r="FM162" s="365"/>
      <c r="FN162" s="365"/>
      <c r="FO162" s="365"/>
      <c r="FP162" s="365"/>
      <c r="FQ162" s="365"/>
      <c r="FR162" s="365"/>
      <c r="FS162" s="365"/>
      <c r="FT162" s="365"/>
      <c r="FU162" s="366"/>
      <c r="FV162" s="336"/>
      <c r="FW162" s="337"/>
      <c r="FX162" s="337"/>
      <c r="FY162" s="337"/>
      <c r="FZ162" s="342"/>
      <c r="OM162" s="164"/>
      <c r="ON162" s="164"/>
      <c r="OO162" s="164"/>
      <c r="OP162" s="164"/>
      <c r="OQ162" s="164"/>
      <c r="QQ162" s="165"/>
      <c r="QR162" s="166"/>
      <c r="QS162" s="189"/>
      <c r="QT162" s="189"/>
      <c r="QU162" s="189"/>
      <c r="QV162" s="189"/>
      <c r="QW162" s="190"/>
      <c r="RK162" s="189"/>
      <c r="RL162" s="189"/>
      <c r="RM162" s="189"/>
      <c r="RN162" s="189"/>
      <c r="RO162" s="189"/>
      <c r="RP162" s="190"/>
    </row>
    <row r="163" spans="3:484" ht="5.15" customHeight="1" x14ac:dyDescent="0.35">
      <c r="C163" s="161"/>
      <c r="D163" s="162"/>
      <c r="E163" s="164"/>
      <c r="F163" s="164"/>
      <c r="CF163" s="358" t="s">
        <v>299</v>
      </c>
      <c r="CG163" s="359"/>
      <c r="CH163" s="359"/>
      <c r="CI163" s="359"/>
      <c r="CJ163" s="359"/>
      <c r="CK163" s="359"/>
      <c r="CL163" s="359"/>
      <c r="CM163" s="359"/>
      <c r="CN163" s="359"/>
      <c r="CO163" s="359"/>
      <c r="CP163" s="359"/>
      <c r="CQ163" s="359"/>
      <c r="CR163" s="359"/>
      <c r="CS163" s="359"/>
      <c r="CT163" s="359"/>
      <c r="CU163" s="359"/>
      <c r="CV163" s="359"/>
      <c r="CW163" s="359"/>
      <c r="CX163" s="359"/>
      <c r="CY163" s="359"/>
      <c r="CZ163" s="359"/>
      <c r="DA163" s="359"/>
      <c r="DB163" s="359"/>
      <c r="DC163" s="359"/>
      <c r="DD163" s="359"/>
      <c r="DE163" s="359"/>
      <c r="DF163" s="359"/>
      <c r="DG163" s="359"/>
      <c r="DH163" s="359"/>
      <c r="DI163" s="359"/>
      <c r="DJ163" s="359"/>
      <c r="DK163" s="359"/>
      <c r="DL163" s="359"/>
      <c r="DM163" s="359"/>
      <c r="DN163" s="359"/>
      <c r="DO163" s="359"/>
      <c r="DP163" s="359"/>
      <c r="DQ163" s="359"/>
      <c r="DR163" s="359"/>
      <c r="DS163" s="359"/>
      <c r="DT163" s="360"/>
      <c r="DU163" s="330">
        <v>3</v>
      </c>
      <c r="DV163" s="331"/>
      <c r="DW163" s="331"/>
      <c r="DX163" s="331"/>
      <c r="DY163" s="340"/>
      <c r="OM163" s="164"/>
      <c r="ON163" s="164"/>
      <c r="OO163" s="164"/>
      <c r="OP163" s="164"/>
      <c r="OQ163" s="164"/>
      <c r="QQ163" s="165"/>
      <c r="QR163" s="166"/>
      <c r="QS163" s="189"/>
      <c r="QT163" s="189"/>
      <c r="QU163" s="189"/>
      <c r="QV163" s="189"/>
      <c r="QW163" s="190"/>
      <c r="RK163" s="189"/>
      <c r="RL163" s="189"/>
      <c r="RM163" s="189"/>
      <c r="RN163" s="189"/>
      <c r="RO163" s="189"/>
      <c r="RP163" s="190"/>
    </row>
    <row r="164" spans="3:484" ht="5.15" customHeight="1" x14ac:dyDescent="0.35">
      <c r="C164" s="161"/>
      <c r="D164" s="162"/>
      <c r="E164" s="164"/>
      <c r="F164" s="164"/>
      <c r="CF164" s="361"/>
      <c r="CG164" s="362"/>
      <c r="CH164" s="362"/>
      <c r="CI164" s="362"/>
      <c r="CJ164" s="362"/>
      <c r="CK164" s="362"/>
      <c r="CL164" s="362"/>
      <c r="CM164" s="362"/>
      <c r="CN164" s="362"/>
      <c r="CO164" s="362"/>
      <c r="CP164" s="362"/>
      <c r="CQ164" s="362"/>
      <c r="CR164" s="362"/>
      <c r="CS164" s="362"/>
      <c r="CT164" s="362"/>
      <c r="CU164" s="362"/>
      <c r="CV164" s="362"/>
      <c r="CW164" s="362"/>
      <c r="CX164" s="362"/>
      <c r="CY164" s="362"/>
      <c r="CZ164" s="362"/>
      <c r="DA164" s="362"/>
      <c r="DB164" s="362"/>
      <c r="DC164" s="362"/>
      <c r="DD164" s="362"/>
      <c r="DE164" s="362"/>
      <c r="DF164" s="362"/>
      <c r="DG164" s="362"/>
      <c r="DH164" s="362"/>
      <c r="DI164" s="362"/>
      <c r="DJ164" s="362"/>
      <c r="DK164" s="362"/>
      <c r="DL164" s="362"/>
      <c r="DM164" s="362"/>
      <c r="DN164" s="362"/>
      <c r="DO164" s="362"/>
      <c r="DP164" s="362"/>
      <c r="DQ164" s="362"/>
      <c r="DR164" s="362"/>
      <c r="DS164" s="362"/>
      <c r="DT164" s="363"/>
      <c r="DU164" s="333"/>
      <c r="DV164" s="334"/>
      <c r="DW164" s="334"/>
      <c r="DX164" s="334"/>
      <c r="DY164" s="341"/>
      <c r="OM164" s="164"/>
      <c r="ON164" s="164"/>
      <c r="OO164" s="164"/>
      <c r="OP164" s="164"/>
      <c r="OQ164" s="164"/>
      <c r="QQ164" s="165"/>
      <c r="QR164" s="166"/>
      <c r="QS164" s="189"/>
      <c r="QT164" s="189"/>
      <c r="QU164" s="189"/>
      <c r="QV164" s="189"/>
      <c r="QW164" s="190"/>
      <c r="RK164" s="189"/>
      <c r="RL164" s="189"/>
      <c r="RM164" s="189"/>
      <c r="RN164" s="189"/>
      <c r="RO164" s="189"/>
      <c r="RP164" s="190"/>
    </row>
    <row r="165" spans="3:484" ht="5.15" customHeight="1" x14ac:dyDescent="0.35">
      <c r="C165" s="161"/>
      <c r="D165" s="162"/>
      <c r="E165" s="164"/>
      <c r="F165" s="164"/>
      <c r="CF165" s="361"/>
      <c r="CG165" s="362"/>
      <c r="CH165" s="362"/>
      <c r="CI165" s="362"/>
      <c r="CJ165" s="362"/>
      <c r="CK165" s="362"/>
      <c r="CL165" s="362"/>
      <c r="CM165" s="362"/>
      <c r="CN165" s="362"/>
      <c r="CO165" s="362"/>
      <c r="CP165" s="362"/>
      <c r="CQ165" s="362"/>
      <c r="CR165" s="362"/>
      <c r="CS165" s="362"/>
      <c r="CT165" s="362"/>
      <c r="CU165" s="362"/>
      <c r="CV165" s="362"/>
      <c r="CW165" s="362"/>
      <c r="CX165" s="362"/>
      <c r="CY165" s="362"/>
      <c r="CZ165" s="362"/>
      <c r="DA165" s="362"/>
      <c r="DB165" s="362"/>
      <c r="DC165" s="362"/>
      <c r="DD165" s="362"/>
      <c r="DE165" s="362"/>
      <c r="DF165" s="362"/>
      <c r="DG165" s="362"/>
      <c r="DH165" s="362"/>
      <c r="DI165" s="362"/>
      <c r="DJ165" s="362"/>
      <c r="DK165" s="362"/>
      <c r="DL165" s="362"/>
      <c r="DM165" s="362"/>
      <c r="DN165" s="362"/>
      <c r="DO165" s="362"/>
      <c r="DP165" s="362"/>
      <c r="DQ165" s="362"/>
      <c r="DR165" s="362"/>
      <c r="DS165" s="362"/>
      <c r="DT165" s="363"/>
      <c r="DU165" s="333"/>
      <c r="DV165" s="334"/>
      <c r="DW165" s="334"/>
      <c r="DX165" s="334"/>
      <c r="DY165" s="341"/>
      <c r="OM165" s="164"/>
      <c r="ON165" s="164"/>
      <c r="OO165" s="164"/>
      <c r="OP165" s="164"/>
      <c r="OQ165" s="164"/>
      <c r="OS165" s="377" t="s">
        <v>300</v>
      </c>
      <c r="OT165" s="377"/>
      <c r="OU165" s="377"/>
      <c r="OV165" s="377"/>
      <c r="OW165" s="377"/>
      <c r="OX165" s="377"/>
      <c r="OY165" s="377"/>
      <c r="OZ165" s="377"/>
      <c r="PA165" s="377"/>
      <c r="PB165" s="377"/>
      <c r="PC165" s="377"/>
      <c r="PD165" s="377"/>
      <c r="PE165" s="377"/>
      <c r="PF165" s="377"/>
      <c r="PG165" s="377"/>
      <c r="PH165" s="377"/>
      <c r="PI165" s="377"/>
      <c r="PJ165" s="377"/>
      <c r="PK165" s="377"/>
      <c r="PL165" s="377"/>
      <c r="PM165" s="377"/>
      <c r="PN165" s="377"/>
      <c r="PO165" s="377"/>
      <c r="PP165" s="377"/>
      <c r="PQ165" s="377"/>
      <c r="PR165" s="377"/>
      <c r="PS165" s="377"/>
      <c r="PT165" s="377"/>
      <c r="PU165" s="377"/>
      <c r="PV165" s="377"/>
      <c r="PW165" s="377"/>
      <c r="PX165" s="377"/>
      <c r="PY165" s="377"/>
      <c r="PZ165" s="377"/>
      <c r="QA165" s="377"/>
      <c r="QB165" s="377"/>
      <c r="QC165" s="377"/>
      <c r="QD165" s="377"/>
      <c r="QE165" s="377"/>
      <c r="QF165" s="377"/>
      <c r="QG165" s="377">
        <f>QG175</f>
        <v>10</v>
      </c>
      <c r="QH165" s="377"/>
      <c r="QI165" s="377"/>
      <c r="QJ165" s="377"/>
      <c r="QK165" s="377"/>
      <c r="QL165" s="377"/>
      <c r="QN165" s="164"/>
      <c r="QQ165" s="165"/>
      <c r="QR165" s="166"/>
      <c r="QS165" s="189"/>
      <c r="QT165" s="189"/>
      <c r="QU165" s="189"/>
      <c r="QV165" s="189"/>
      <c r="QW165" s="190"/>
      <c r="RK165" s="189"/>
      <c r="RL165" s="189"/>
      <c r="RM165" s="189"/>
      <c r="RN165" s="189"/>
      <c r="RO165" s="189"/>
      <c r="RP165" s="190"/>
    </row>
    <row r="166" spans="3:484" ht="5.15" customHeight="1" x14ac:dyDescent="0.35">
      <c r="C166" s="161"/>
      <c r="D166" s="162"/>
      <c r="E166" s="164"/>
      <c r="F166" s="164"/>
      <c r="CF166" s="361"/>
      <c r="CG166" s="362"/>
      <c r="CH166" s="362"/>
      <c r="CI166" s="362"/>
      <c r="CJ166" s="362"/>
      <c r="CK166" s="362"/>
      <c r="CL166" s="362"/>
      <c r="CM166" s="362"/>
      <c r="CN166" s="362"/>
      <c r="CO166" s="362"/>
      <c r="CP166" s="362"/>
      <c r="CQ166" s="362"/>
      <c r="CR166" s="362"/>
      <c r="CS166" s="362"/>
      <c r="CT166" s="362"/>
      <c r="CU166" s="362"/>
      <c r="CV166" s="362"/>
      <c r="CW166" s="362"/>
      <c r="CX166" s="362"/>
      <c r="CY166" s="362"/>
      <c r="CZ166" s="362"/>
      <c r="DA166" s="362"/>
      <c r="DB166" s="362"/>
      <c r="DC166" s="362"/>
      <c r="DD166" s="362"/>
      <c r="DE166" s="362"/>
      <c r="DF166" s="362"/>
      <c r="DG166" s="362"/>
      <c r="DH166" s="362"/>
      <c r="DI166" s="362"/>
      <c r="DJ166" s="362"/>
      <c r="DK166" s="362"/>
      <c r="DL166" s="362"/>
      <c r="DM166" s="362"/>
      <c r="DN166" s="362"/>
      <c r="DO166" s="362"/>
      <c r="DP166" s="362"/>
      <c r="DQ166" s="362"/>
      <c r="DR166" s="362"/>
      <c r="DS166" s="362"/>
      <c r="DT166" s="363"/>
      <c r="DU166" s="333"/>
      <c r="DV166" s="334"/>
      <c r="DW166" s="334"/>
      <c r="DX166" s="334"/>
      <c r="DY166" s="341"/>
      <c r="OM166" s="164"/>
      <c r="ON166" s="164"/>
      <c r="OO166" s="164"/>
      <c r="OP166" s="164"/>
      <c r="OQ166" s="164"/>
      <c r="OS166" s="377"/>
      <c r="OT166" s="377"/>
      <c r="OU166" s="377"/>
      <c r="OV166" s="377"/>
      <c r="OW166" s="377"/>
      <c r="OX166" s="377"/>
      <c r="OY166" s="377"/>
      <c r="OZ166" s="377"/>
      <c r="PA166" s="377"/>
      <c r="PB166" s="377"/>
      <c r="PC166" s="377"/>
      <c r="PD166" s="377"/>
      <c r="PE166" s="377"/>
      <c r="PF166" s="377"/>
      <c r="PG166" s="377"/>
      <c r="PH166" s="377"/>
      <c r="PI166" s="377"/>
      <c r="PJ166" s="377"/>
      <c r="PK166" s="377"/>
      <c r="PL166" s="377"/>
      <c r="PM166" s="377"/>
      <c r="PN166" s="377"/>
      <c r="PO166" s="377"/>
      <c r="PP166" s="377"/>
      <c r="PQ166" s="377"/>
      <c r="PR166" s="377"/>
      <c r="PS166" s="377"/>
      <c r="PT166" s="377"/>
      <c r="PU166" s="377"/>
      <c r="PV166" s="377"/>
      <c r="PW166" s="377"/>
      <c r="PX166" s="377"/>
      <c r="PY166" s="377"/>
      <c r="PZ166" s="377"/>
      <c r="QA166" s="377"/>
      <c r="QB166" s="377"/>
      <c r="QC166" s="377"/>
      <c r="QD166" s="377"/>
      <c r="QE166" s="377"/>
      <c r="QF166" s="377"/>
      <c r="QG166" s="377"/>
      <c r="QH166" s="377"/>
      <c r="QI166" s="377"/>
      <c r="QJ166" s="377"/>
      <c r="QK166" s="377"/>
      <c r="QL166" s="377"/>
      <c r="QN166" s="164"/>
      <c r="QQ166" s="165"/>
      <c r="QR166" s="166"/>
      <c r="QS166" s="189"/>
      <c r="QT166" s="189"/>
      <c r="QU166" s="189"/>
      <c r="QV166" s="189"/>
      <c r="QW166" s="190"/>
      <c r="RK166" s="189"/>
      <c r="RL166" s="189"/>
      <c r="RM166" s="189"/>
      <c r="RN166" s="189"/>
      <c r="RO166" s="189"/>
      <c r="RP166" s="190"/>
    </row>
    <row r="167" spans="3:484" ht="5.15" customHeight="1" x14ac:dyDescent="0.35">
      <c r="C167" s="161"/>
      <c r="D167" s="162"/>
      <c r="E167" s="164"/>
      <c r="F167" s="164"/>
      <c r="CF167" s="361"/>
      <c r="CG167" s="362"/>
      <c r="CH167" s="362"/>
      <c r="CI167" s="362"/>
      <c r="CJ167" s="362"/>
      <c r="CK167" s="362"/>
      <c r="CL167" s="362"/>
      <c r="CM167" s="362"/>
      <c r="CN167" s="362"/>
      <c r="CO167" s="362"/>
      <c r="CP167" s="362"/>
      <c r="CQ167" s="362"/>
      <c r="CR167" s="362"/>
      <c r="CS167" s="362"/>
      <c r="CT167" s="362"/>
      <c r="CU167" s="362"/>
      <c r="CV167" s="362"/>
      <c r="CW167" s="362"/>
      <c r="CX167" s="362"/>
      <c r="CY167" s="362"/>
      <c r="CZ167" s="362"/>
      <c r="DA167" s="362"/>
      <c r="DB167" s="362"/>
      <c r="DC167" s="362"/>
      <c r="DD167" s="362"/>
      <c r="DE167" s="362"/>
      <c r="DF167" s="362"/>
      <c r="DG167" s="362"/>
      <c r="DH167" s="362"/>
      <c r="DI167" s="362"/>
      <c r="DJ167" s="362"/>
      <c r="DK167" s="362"/>
      <c r="DL167" s="362"/>
      <c r="DM167" s="362"/>
      <c r="DN167" s="362"/>
      <c r="DO167" s="362"/>
      <c r="DP167" s="362"/>
      <c r="DQ167" s="362"/>
      <c r="DR167" s="362"/>
      <c r="DS167" s="362"/>
      <c r="DT167" s="363"/>
      <c r="DU167" s="333"/>
      <c r="DV167" s="334"/>
      <c r="DW167" s="334"/>
      <c r="DX167" s="334"/>
      <c r="DY167" s="341"/>
      <c r="OM167" s="164"/>
      <c r="ON167" s="164"/>
      <c r="OO167" s="164"/>
      <c r="OP167" s="164"/>
      <c r="OQ167" s="164"/>
      <c r="OS167" s="377"/>
      <c r="OT167" s="377"/>
      <c r="OU167" s="377"/>
      <c r="OV167" s="377"/>
      <c r="OW167" s="377"/>
      <c r="OX167" s="377"/>
      <c r="OY167" s="377"/>
      <c r="OZ167" s="377"/>
      <c r="PA167" s="377"/>
      <c r="PB167" s="377"/>
      <c r="PC167" s="377"/>
      <c r="PD167" s="377"/>
      <c r="PE167" s="377"/>
      <c r="PF167" s="377"/>
      <c r="PG167" s="377"/>
      <c r="PH167" s="377"/>
      <c r="PI167" s="377"/>
      <c r="PJ167" s="377"/>
      <c r="PK167" s="377"/>
      <c r="PL167" s="377"/>
      <c r="PM167" s="377"/>
      <c r="PN167" s="377"/>
      <c r="PO167" s="377"/>
      <c r="PP167" s="377"/>
      <c r="PQ167" s="377"/>
      <c r="PR167" s="377"/>
      <c r="PS167" s="377"/>
      <c r="PT167" s="377"/>
      <c r="PU167" s="377"/>
      <c r="PV167" s="377"/>
      <c r="PW167" s="377"/>
      <c r="PX167" s="377"/>
      <c r="PY167" s="377"/>
      <c r="PZ167" s="377"/>
      <c r="QA167" s="377"/>
      <c r="QB167" s="377"/>
      <c r="QC167" s="377"/>
      <c r="QD167" s="377"/>
      <c r="QE167" s="377"/>
      <c r="QF167" s="377"/>
      <c r="QG167" s="377"/>
      <c r="QH167" s="377"/>
      <c r="QI167" s="377"/>
      <c r="QJ167" s="377"/>
      <c r="QK167" s="377"/>
      <c r="QL167" s="377"/>
      <c r="QN167" s="164"/>
      <c r="QQ167" s="165"/>
      <c r="QR167" s="166"/>
      <c r="QS167" s="189"/>
      <c r="QT167" s="189"/>
      <c r="QU167" s="189"/>
      <c r="QV167" s="189"/>
      <c r="QW167" s="190"/>
      <c r="RK167" s="189"/>
      <c r="RL167" s="189"/>
      <c r="RM167" s="189"/>
      <c r="RN167" s="189"/>
      <c r="RO167" s="189"/>
      <c r="RP167" s="190"/>
    </row>
    <row r="168" spans="3:484" ht="5.15" customHeight="1" x14ac:dyDescent="0.35">
      <c r="C168" s="161"/>
      <c r="D168" s="162"/>
      <c r="E168" s="164"/>
      <c r="F168" s="164"/>
      <c r="CF168" s="361"/>
      <c r="CG168" s="362"/>
      <c r="CH168" s="362"/>
      <c r="CI168" s="362"/>
      <c r="CJ168" s="362"/>
      <c r="CK168" s="362"/>
      <c r="CL168" s="362"/>
      <c r="CM168" s="362"/>
      <c r="CN168" s="362"/>
      <c r="CO168" s="362"/>
      <c r="CP168" s="362"/>
      <c r="CQ168" s="362"/>
      <c r="CR168" s="362"/>
      <c r="CS168" s="362"/>
      <c r="CT168" s="362"/>
      <c r="CU168" s="362"/>
      <c r="CV168" s="362"/>
      <c r="CW168" s="362"/>
      <c r="CX168" s="362"/>
      <c r="CY168" s="362"/>
      <c r="CZ168" s="362"/>
      <c r="DA168" s="362"/>
      <c r="DB168" s="362"/>
      <c r="DC168" s="362"/>
      <c r="DD168" s="362"/>
      <c r="DE168" s="362"/>
      <c r="DF168" s="362"/>
      <c r="DG168" s="362"/>
      <c r="DH168" s="362"/>
      <c r="DI168" s="362"/>
      <c r="DJ168" s="362"/>
      <c r="DK168" s="362"/>
      <c r="DL168" s="362"/>
      <c r="DM168" s="362"/>
      <c r="DN168" s="362"/>
      <c r="DO168" s="362"/>
      <c r="DP168" s="362"/>
      <c r="DQ168" s="362"/>
      <c r="DR168" s="362"/>
      <c r="DS168" s="362"/>
      <c r="DT168" s="363"/>
      <c r="DU168" s="333"/>
      <c r="DV168" s="334"/>
      <c r="DW168" s="334"/>
      <c r="DX168" s="334"/>
      <c r="DY168" s="341"/>
      <c r="OM168" s="164"/>
      <c r="ON168" s="164"/>
      <c r="OO168" s="164"/>
      <c r="OP168" s="164"/>
      <c r="OQ168" s="164"/>
      <c r="OS168" s="377"/>
      <c r="OT168" s="377"/>
      <c r="OU168" s="377"/>
      <c r="OV168" s="377"/>
      <c r="OW168" s="377"/>
      <c r="OX168" s="377"/>
      <c r="OY168" s="377"/>
      <c r="OZ168" s="377"/>
      <c r="PA168" s="377"/>
      <c r="PB168" s="377"/>
      <c r="PC168" s="377"/>
      <c r="PD168" s="377"/>
      <c r="PE168" s="377"/>
      <c r="PF168" s="377"/>
      <c r="PG168" s="377"/>
      <c r="PH168" s="377"/>
      <c r="PI168" s="377"/>
      <c r="PJ168" s="377"/>
      <c r="PK168" s="377"/>
      <c r="PL168" s="377"/>
      <c r="PM168" s="377"/>
      <c r="PN168" s="377"/>
      <c r="PO168" s="377"/>
      <c r="PP168" s="377"/>
      <c r="PQ168" s="377"/>
      <c r="PR168" s="377"/>
      <c r="PS168" s="377"/>
      <c r="PT168" s="377"/>
      <c r="PU168" s="377"/>
      <c r="PV168" s="377"/>
      <c r="PW168" s="377"/>
      <c r="PX168" s="377"/>
      <c r="PY168" s="377"/>
      <c r="PZ168" s="377"/>
      <c r="QA168" s="377"/>
      <c r="QB168" s="377"/>
      <c r="QC168" s="377"/>
      <c r="QD168" s="377"/>
      <c r="QE168" s="377"/>
      <c r="QF168" s="377"/>
      <c r="QG168" s="377"/>
      <c r="QH168" s="377"/>
      <c r="QI168" s="377"/>
      <c r="QJ168" s="377"/>
      <c r="QK168" s="377"/>
      <c r="QL168" s="377"/>
      <c r="QN168" s="164"/>
      <c r="QQ168" s="165"/>
      <c r="QR168" s="166"/>
      <c r="QS168" s="189"/>
      <c r="QT168" s="189"/>
      <c r="QU168" s="189"/>
      <c r="QV168" s="189"/>
      <c r="QW168" s="190"/>
      <c r="RK168" s="189"/>
      <c r="RL168" s="189"/>
      <c r="RM168" s="189"/>
      <c r="RN168" s="189"/>
      <c r="RO168" s="189"/>
      <c r="RP168" s="190"/>
    </row>
    <row r="169" spans="3:484" ht="5.15" customHeight="1" x14ac:dyDescent="0.35">
      <c r="C169" s="161"/>
      <c r="D169" s="162"/>
      <c r="E169" s="164"/>
      <c r="F169" s="164"/>
      <c r="CF169" s="361"/>
      <c r="CG169" s="362"/>
      <c r="CH169" s="362"/>
      <c r="CI169" s="362"/>
      <c r="CJ169" s="362"/>
      <c r="CK169" s="362"/>
      <c r="CL169" s="362"/>
      <c r="CM169" s="362"/>
      <c r="CN169" s="362"/>
      <c r="CO169" s="362"/>
      <c r="CP169" s="362"/>
      <c r="CQ169" s="362"/>
      <c r="CR169" s="362"/>
      <c r="CS169" s="362"/>
      <c r="CT169" s="362"/>
      <c r="CU169" s="362"/>
      <c r="CV169" s="362"/>
      <c r="CW169" s="362"/>
      <c r="CX169" s="362"/>
      <c r="CY169" s="362"/>
      <c r="CZ169" s="362"/>
      <c r="DA169" s="362"/>
      <c r="DB169" s="362"/>
      <c r="DC169" s="362"/>
      <c r="DD169" s="362"/>
      <c r="DE169" s="362"/>
      <c r="DF169" s="362"/>
      <c r="DG169" s="362"/>
      <c r="DH169" s="362"/>
      <c r="DI169" s="362"/>
      <c r="DJ169" s="362"/>
      <c r="DK169" s="362"/>
      <c r="DL169" s="362"/>
      <c r="DM169" s="362"/>
      <c r="DN169" s="362"/>
      <c r="DO169" s="362"/>
      <c r="DP169" s="362"/>
      <c r="DQ169" s="362"/>
      <c r="DR169" s="362"/>
      <c r="DS169" s="362"/>
      <c r="DT169" s="363"/>
      <c r="DU169" s="333"/>
      <c r="DV169" s="334"/>
      <c r="DW169" s="334"/>
      <c r="DX169" s="334"/>
      <c r="DY169" s="341"/>
      <c r="OM169" s="164"/>
      <c r="ON169" s="164"/>
      <c r="OO169" s="164"/>
      <c r="OP169" s="164"/>
      <c r="OQ169" s="164"/>
      <c r="OS169" s="377"/>
      <c r="OT169" s="377"/>
      <c r="OU169" s="377"/>
      <c r="OV169" s="377"/>
      <c r="OW169" s="377"/>
      <c r="OX169" s="377"/>
      <c r="OY169" s="377"/>
      <c r="OZ169" s="377"/>
      <c r="PA169" s="377"/>
      <c r="PB169" s="377"/>
      <c r="PC169" s="377"/>
      <c r="PD169" s="377"/>
      <c r="PE169" s="377"/>
      <c r="PF169" s="377"/>
      <c r="PG169" s="377"/>
      <c r="PH169" s="377"/>
      <c r="PI169" s="377"/>
      <c r="PJ169" s="377"/>
      <c r="PK169" s="377"/>
      <c r="PL169" s="377"/>
      <c r="PM169" s="377"/>
      <c r="PN169" s="377"/>
      <c r="PO169" s="377"/>
      <c r="PP169" s="377"/>
      <c r="PQ169" s="377"/>
      <c r="PR169" s="377"/>
      <c r="PS169" s="377"/>
      <c r="PT169" s="377"/>
      <c r="PU169" s="377"/>
      <c r="PV169" s="377"/>
      <c r="PW169" s="377"/>
      <c r="PX169" s="377"/>
      <c r="PY169" s="377"/>
      <c r="PZ169" s="377"/>
      <c r="QA169" s="377"/>
      <c r="QB169" s="377"/>
      <c r="QC169" s="377"/>
      <c r="QD169" s="377"/>
      <c r="QE169" s="377"/>
      <c r="QF169" s="377"/>
      <c r="QG169" s="377"/>
      <c r="QH169" s="377"/>
      <c r="QI169" s="377"/>
      <c r="QJ169" s="377"/>
      <c r="QK169" s="377"/>
      <c r="QL169" s="377"/>
      <c r="QN169" s="164"/>
      <c r="QQ169" s="165"/>
      <c r="QR169" s="166"/>
      <c r="QS169" s="189"/>
      <c r="QT169" s="189"/>
      <c r="QU169" s="189"/>
      <c r="QV169" s="189"/>
      <c r="QW169" s="190"/>
      <c r="RK169" s="189"/>
      <c r="RL169" s="189"/>
      <c r="RM169" s="189"/>
      <c r="RN169" s="189"/>
      <c r="RO169" s="189"/>
      <c r="RP169" s="190"/>
    </row>
    <row r="170" spans="3:484" ht="5.15" customHeight="1" x14ac:dyDescent="0.35">
      <c r="C170" s="161"/>
      <c r="D170" s="162"/>
      <c r="E170" s="164"/>
      <c r="F170" s="164"/>
      <c r="CF170" s="361"/>
      <c r="CG170" s="362"/>
      <c r="CH170" s="362"/>
      <c r="CI170" s="362"/>
      <c r="CJ170" s="362"/>
      <c r="CK170" s="362"/>
      <c r="CL170" s="362"/>
      <c r="CM170" s="362"/>
      <c r="CN170" s="362"/>
      <c r="CO170" s="362"/>
      <c r="CP170" s="362"/>
      <c r="CQ170" s="362"/>
      <c r="CR170" s="362"/>
      <c r="CS170" s="362"/>
      <c r="CT170" s="362"/>
      <c r="CU170" s="362"/>
      <c r="CV170" s="362"/>
      <c r="CW170" s="362"/>
      <c r="CX170" s="362"/>
      <c r="CY170" s="362"/>
      <c r="CZ170" s="362"/>
      <c r="DA170" s="362"/>
      <c r="DB170" s="362"/>
      <c r="DC170" s="362"/>
      <c r="DD170" s="362"/>
      <c r="DE170" s="362"/>
      <c r="DF170" s="362"/>
      <c r="DG170" s="362"/>
      <c r="DH170" s="362"/>
      <c r="DI170" s="362"/>
      <c r="DJ170" s="362"/>
      <c r="DK170" s="362"/>
      <c r="DL170" s="362"/>
      <c r="DM170" s="362"/>
      <c r="DN170" s="362"/>
      <c r="DO170" s="362"/>
      <c r="DP170" s="362"/>
      <c r="DQ170" s="362"/>
      <c r="DR170" s="362"/>
      <c r="DS170" s="362"/>
      <c r="DT170" s="363"/>
      <c r="DU170" s="333"/>
      <c r="DV170" s="334"/>
      <c r="DW170" s="334"/>
      <c r="DX170" s="334"/>
      <c r="DY170" s="341"/>
      <c r="OM170" s="164"/>
      <c r="ON170" s="164"/>
      <c r="OO170" s="164"/>
      <c r="OP170" s="164"/>
      <c r="OQ170" s="164"/>
      <c r="OS170" s="377"/>
      <c r="OT170" s="377"/>
      <c r="OU170" s="377"/>
      <c r="OV170" s="377"/>
      <c r="OW170" s="377"/>
      <c r="OX170" s="377"/>
      <c r="OY170" s="377"/>
      <c r="OZ170" s="377"/>
      <c r="PA170" s="377"/>
      <c r="PB170" s="377"/>
      <c r="PC170" s="377"/>
      <c r="PD170" s="377"/>
      <c r="PE170" s="377"/>
      <c r="PF170" s="377"/>
      <c r="PG170" s="377"/>
      <c r="PH170" s="377"/>
      <c r="PI170" s="377"/>
      <c r="PJ170" s="377"/>
      <c r="PK170" s="377"/>
      <c r="PL170" s="377"/>
      <c r="PM170" s="377"/>
      <c r="PN170" s="377"/>
      <c r="PO170" s="377"/>
      <c r="PP170" s="377"/>
      <c r="PQ170" s="377"/>
      <c r="PR170" s="377"/>
      <c r="PS170" s="377"/>
      <c r="PT170" s="377"/>
      <c r="PU170" s="377"/>
      <c r="PV170" s="377"/>
      <c r="PW170" s="377"/>
      <c r="PX170" s="377"/>
      <c r="PY170" s="377"/>
      <c r="PZ170" s="377"/>
      <c r="QA170" s="377"/>
      <c r="QB170" s="377"/>
      <c r="QC170" s="377"/>
      <c r="QD170" s="377"/>
      <c r="QE170" s="377"/>
      <c r="QF170" s="377"/>
      <c r="QG170" s="377"/>
      <c r="QH170" s="377"/>
      <c r="QI170" s="377"/>
      <c r="QJ170" s="377"/>
      <c r="QK170" s="377"/>
      <c r="QL170" s="377"/>
      <c r="QN170" s="164"/>
      <c r="QQ170" s="165"/>
      <c r="QR170" s="166"/>
      <c r="QS170" s="189"/>
      <c r="QT170" s="189"/>
      <c r="QU170" s="189"/>
      <c r="QV170" s="189"/>
      <c r="QW170" s="190"/>
      <c r="RK170" s="189"/>
      <c r="RL170" s="189"/>
      <c r="RM170" s="189"/>
      <c r="RN170" s="189"/>
      <c r="RO170" s="189"/>
      <c r="RP170" s="190"/>
    </row>
    <row r="171" spans="3:484" ht="5.15" customHeight="1" x14ac:dyDescent="0.35">
      <c r="C171" s="161"/>
      <c r="D171" s="162"/>
      <c r="E171" s="164"/>
      <c r="F171" s="164"/>
      <c r="CF171" s="361"/>
      <c r="CG171" s="362"/>
      <c r="CH171" s="362"/>
      <c r="CI171" s="362"/>
      <c r="CJ171" s="362"/>
      <c r="CK171" s="362"/>
      <c r="CL171" s="362"/>
      <c r="CM171" s="362"/>
      <c r="CN171" s="362"/>
      <c r="CO171" s="362"/>
      <c r="CP171" s="362"/>
      <c r="CQ171" s="362"/>
      <c r="CR171" s="362"/>
      <c r="CS171" s="362"/>
      <c r="CT171" s="362"/>
      <c r="CU171" s="362"/>
      <c r="CV171" s="362"/>
      <c r="CW171" s="362"/>
      <c r="CX171" s="362"/>
      <c r="CY171" s="362"/>
      <c r="CZ171" s="362"/>
      <c r="DA171" s="362"/>
      <c r="DB171" s="362"/>
      <c r="DC171" s="362"/>
      <c r="DD171" s="362"/>
      <c r="DE171" s="362"/>
      <c r="DF171" s="362"/>
      <c r="DG171" s="362"/>
      <c r="DH171" s="362"/>
      <c r="DI171" s="362"/>
      <c r="DJ171" s="362"/>
      <c r="DK171" s="362"/>
      <c r="DL171" s="362"/>
      <c r="DM171" s="362"/>
      <c r="DN171" s="362"/>
      <c r="DO171" s="362"/>
      <c r="DP171" s="362"/>
      <c r="DQ171" s="362"/>
      <c r="DR171" s="362"/>
      <c r="DS171" s="362"/>
      <c r="DT171" s="363"/>
      <c r="DU171" s="333"/>
      <c r="DV171" s="334"/>
      <c r="DW171" s="334"/>
      <c r="DX171" s="334"/>
      <c r="DY171" s="341"/>
      <c r="OQ171" s="147" t="s">
        <v>292</v>
      </c>
      <c r="OS171" s="377"/>
      <c r="OT171" s="377"/>
      <c r="OU171" s="377"/>
      <c r="OV171" s="377"/>
      <c r="OW171" s="377"/>
      <c r="OX171" s="377"/>
      <c r="OY171" s="377"/>
      <c r="OZ171" s="377"/>
      <c r="PA171" s="377"/>
      <c r="PB171" s="377"/>
      <c r="PC171" s="377"/>
      <c r="PD171" s="377"/>
      <c r="PE171" s="377"/>
      <c r="PF171" s="377"/>
      <c r="PG171" s="377"/>
      <c r="PH171" s="377"/>
      <c r="PI171" s="377"/>
      <c r="PJ171" s="377"/>
      <c r="PK171" s="377"/>
      <c r="PL171" s="377"/>
      <c r="PM171" s="377"/>
      <c r="PN171" s="377"/>
      <c r="PO171" s="377"/>
      <c r="PP171" s="377"/>
      <c r="PQ171" s="377"/>
      <c r="PR171" s="377"/>
      <c r="PS171" s="377"/>
      <c r="PT171" s="377"/>
      <c r="PU171" s="377"/>
      <c r="PV171" s="377"/>
      <c r="PW171" s="377"/>
      <c r="PX171" s="377"/>
      <c r="PY171" s="377"/>
      <c r="PZ171" s="377"/>
      <c r="QA171" s="377"/>
      <c r="QB171" s="377"/>
      <c r="QC171" s="377"/>
      <c r="QD171" s="377"/>
      <c r="QE171" s="377"/>
      <c r="QF171" s="377"/>
      <c r="QG171" s="377"/>
      <c r="QH171" s="377"/>
      <c r="QI171" s="377"/>
      <c r="QJ171" s="377"/>
      <c r="QK171" s="377"/>
      <c r="QL171" s="377"/>
      <c r="QN171" s="164"/>
      <c r="QQ171" s="165"/>
      <c r="QR171" s="166"/>
      <c r="QS171" s="189"/>
      <c r="QT171" s="189"/>
      <c r="QU171" s="189"/>
      <c r="QV171" s="189"/>
      <c r="QW171" s="190"/>
      <c r="RK171" s="189"/>
      <c r="RL171" s="189"/>
      <c r="RM171" s="189"/>
      <c r="RN171" s="189"/>
      <c r="RO171" s="189"/>
      <c r="RP171" s="190"/>
    </row>
    <row r="172" spans="3:484" ht="5.15" customHeight="1" x14ac:dyDescent="0.35">
      <c r="C172" s="161"/>
      <c r="D172" s="162"/>
      <c r="E172" s="164"/>
      <c r="F172" s="164"/>
      <c r="CF172" s="364"/>
      <c r="CG172" s="365"/>
      <c r="CH172" s="365"/>
      <c r="CI172" s="365"/>
      <c r="CJ172" s="365"/>
      <c r="CK172" s="365"/>
      <c r="CL172" s="365"/>
      <c r="CM172" s="365"/>
      <c r="CN172" s="365"/>
      <c r="CO172" s="365"/>
      <c r="CP172" s="365"/>
      <c r="CQ172" s="365"/>
      <c r="CR172" s="365"/>
      <c r="CS172" s="365"/>
      <c r="CT172" s="365"/>
      <c r="CU172" s="365"/>
      <c r="CV172" s="365"/>
      <c r="CW172" s="365"/>
      <c r="CX172" s="365"/>
      <c r="CY172" s="365"/>
      <c r="CZ172" s="365"/>
      <c r="DA172" s="365"/>
      <c r="DB172" s="365"/>
      <c r="DC172" s="365"/>
      <c r="DD172" s="365"/>
      <c r="DE172" s="365"/>
      <c r="DF172" s="365"/>
      <c r="DG172" s="365"/>
      <c r="DH172" s="365"/>
      <c r="DI172" s="365"/>
      <c r="DJ172" s="365"/>
      <c r="DK172" s="365"/>
      <c r="DL172" s="365"/>
      <c r="DM172" s="365"/>
      <c r="DN172" s="365"/>
      <c r="DO172" s="365"/>
      <c r="DP172" s="365"/>
      <c r="DQ172" s="365"/>
      <c r="DR172" s="365"/>
      <c r="DS172" s="365"/>
      <c r="DT172" s="366"/>
      <c r="DU172" s="336"/>
      <c r="DV172" s="337"/>
      <c r="DW172" s="337"/>
      <c r="DX172" s="337"/>
      <c r="DY172" s="342"/>
      <c r="OS172" s="377"/>
      <c r="OT172" s="377"/>
      <c r="OU172" s="377"/>
      <c r="OV172" s="377"/>
      <c r="OW172" s="377"/>
      <c r="OX172" s="377"/>
      <c r="OY172" s="377"/>
      <c r="OZ172" s="377"/>
      <c r="PA172" s="377"/>
      <c r="PB172" s="377"/>
      <c r="PC172" s="377"/>
      <c r="PD172" s="377"/>
      <c r="PE172" s="377"/>
      <c r="PF172" s="377"/>
      <c r="PG172" s="377"/>
      <c r="PH172" s="377"/>
      <c r="PI172" s="377"/>
      <c r="PJ172" s="377"/>
      <c r="PK172" s="377"/>
      <c r="PL172" s="377"/>
      <c r="PM172" s="377"/>
      <c r="PN172" s="377"/>
      <c r="PO172" s="377"/>
      <c r="PP172" s="377"/>
      <c r="PQ172" s="377"/>
      <c r="PR172" s="377"/>
      <c r="PS172" s="377"/>
      <c r="PT172" s="377"/>
      <c r="PU172" s="377"/>
      <c r="PV172" s="377"/>
      <c r="PW172" s="377"/>
      <c r="PX172" s="377"/>
      <c r="PY172" s="377"/>
      <c r="PZ172" s="377"/>
      <c r="QA172" s="377"/>
      <c r="QB172" s="377"/>
      <c r="QC172" s="377"/>
      <c r="QD172" s="377"/>
      <c r="QE172" s="377"/>
      <c r="QF172" s="377"/>
      <c r="QG172" s="377"/>
      <c r="QH172" s="377"/>
      <c r="QI172" s="377"/>
      <c r="QJ172" s="377"/>
      <c r="QK172" s="377"/>
      <c r="QL172" s="377"/>
      <c r="QN172" s="164"/>
      <c r="QQ172" s="165"/>
      <c r="QR172" s="166"/>
      <c r="QS172" s="189"/>
      <c r="QT172" s="189"/>
      <c r="QU172" s="189"/>
      <c r="QV172" s="189"/>
      <c r="QW172" s="190"/>
      <c r="RK172" s="189"/>
      <c r="RL172" s="189"/>
      <c r="RM172" s="189"/>
      <c r="RN172" s="189"/>
      <c r="RO172" s="189"/>
      <c r="RP172" s="190"/>
    </row>
    <row r="173" spans="3:484" ht="5.15" customHeight="1" x14ac:dyDescent="0.35">
      <c r="C173" s="161"/>
      <c r="D173" s="162"/>
      <c r="E173" s="164"/>
      <c r="F173" s="164"/>
      <c r="CF173" s="358" t="s">
        <v>301</v>
      </c>
      <c r="CG173" s="359"/>
      <c r="CH173" s="359"/>
      <c r="CI173" s="359"/>
      <c r="CJ173" s="359"/>
      <c r="CK173" s="359"/>
      <c r="CL173" s="359"/>
      <c r="CM173" s="359"/>
      <c r="CN173" s="359"/>
      <c r="CO173" s="359"/>
      <c r="CP173" s="359"/>
      <c r="CQ173" s="359"/>
      <c r="CR173" s="359"/>
      <c r="CS173" s="359"/>
      <c r="CT173" s="359"/>
      <c r="CU173" s="359"/>
      <c r="CV173" s="359"/>
      <c r="CW173" s="359"/>
      <c r="CX173" s="359"/>
      <c r="CY173" s="359"/>
      <c r="CZ173" s="359"/>
      <c r="DA173" s="359"/>
      <c r="DB173" s="359"/>
      <c r="DC173" s="359"/>
      <c r="DD173" s="359"/>
      <c r="DE173" s="359"/>
      <c r="DF173" s="359"/>
      <c r="DG173" s="359"/>
      <c r="DH173" s="359"/>
      <c r="DI173" s="359"/>
      <c r="DJ173" s="359"/>
      <c r="DK173" s="359"/>
      <c r="DL173" s="359"/>
      <c r="DM173" s="359"/>
      <c r="DN173" s="359"/>
      <c r="DO173" s="359"/>
      <c r="DP173" s="359"/>
      <c r="DQ173" s="359"/>
      <c r="DR173" s="359"/>
      <c r="DS173" s="359"/>
      <c r="DT173" s="360"/>
      <c r="DU173" s="330">
        <v>4</v>
      </c>
      <c r="DV173" s="331"/>
      <c r="DW173" s="331"/>
      <c r="DX173" s="331"/>
      <c r="DY173" s="340"/>
      <c r="OS173" s="377"/>
      <c r="OT173" s="377"/>
      <c r="OU173" s="377"/>
      <c r="OV173" s="377"/>
      <c r="OW173" s="377"/>
      <c r="OX173" s="377"/>
      <c r="OY173" s="377"/>
      <c r="OZ173" s="377"/>
      <c r="PA173" s="377"/>
      <c r="PB173" s="377"/>
      <c r="PC173" s="377"/>
      <c r="PD173" s="377"/>
      <c r="PE173" s="377"/>
      <c r="PF173" s="377"/>
      <c r="PG173" s="377"/>
      <c r="PH173" s="377"/>
      <c r="PI173" s="377"/>
      <c r="PJ173" s="377"/>
      <c r="PK173" s="377"/>
      <c r="PL173" s="377"/>
      <c r="PM173" s="377"/>
      <c r="PN173" s="377"/>
      <c r="PO173" s="377"/>
      <c r="PP173" s="377"/>
      <c r="PQ173" s="377"/>
      <c r="PR173" s="377"/>
      <c r="PS173" s="377"/>
      <c r="PT173" s="377"/>
      <c r="PU173" s="377"/>
      <c r="PV173" s="377"/>
      <c r="PW173" s="377"/>
      <c r="PX173" s="377"/>
      <c r="PY173" s="377"/>
      <c r="PZ173" s="377"/>
      <c r="QA173" s="377"/>
      <c r="QB173" s="377"/>
      <c r="QC173" s="377"/>
      <c r="QD173" s="377"/>
      <c r="QE173" s="377"/>
      <c r="QF173" s="377"/>
      <c r="QG173" s="377"/>
      <c r="QH173" s="377"/>
      <c r="QI173" s="377"/>
      <c r="QJ173" s="377"/>
      <c r="QK173" s="377"/>
      <c r="QL173" s="377"/>
      <c r="QN173" s="164"/>
      <c r="QQ173" s="165"/>
      <c r="QR173" s="166"/>
      <c r="QS173" s="189"/>
      <c r="QT173" s="189"/>
      <c r="QU173" s="189"/>
      <c r="QV173" s="189"/>
      <c r="QW173" s="190"/>
      <c r="RK173" s="189"/>
      <c r="RL173" s="189"/>
      <c r="RM173" s="189"/>
      <c r="RN173" s="189"/>
      <c r="RO173" s="189"/>
      <c r="RP173" s="190"/>
    </row>
    <row r="174" spans="3:484" ht="5.15" customHeight="1" thickBot="1" x14ac:dyDescent="0.4">
      <c r="C174" s="161"/>
      <c r="D174" s="162"/>
      <c r="E174" s="164"/>
      <c r="F174" s="164"/>
      <c r="CF174" s="361"/>
      <c r="CG174" s="362"/>
      <c r="CH174" s="362"/>
      <c r="CI174" s="362"/>
      <c r="CJ174" s="362"/>
      <c r="CK174" s="362"/>
      <c r="CL174" s="362"/>
      <c r="CM174" s="362"/>
      <c r="CN174" s="362"/>
      <c r="CO174" s="362"/>
      <c r="CP174" s="362"/>
      <c r="CQ174" s="362"/>
      <c r="CR174" s="362"/>
      <c r="CS174" s="362"/>
      <c r="CT174" s="362"/>
      <c r="CU174" s="362"/>
      <c r="CV174" s="362"/>
      <c r="CW174" s="362"/>
      <c r="CX174" s="362"/>
      <c r="CY174" s="362"/>
      <c r="CZ174" s="362"/>
      <c r="DA174" s="362"/>
      <c r="DB174" s="362"/>
      <c r="DC174" s="362"/>
      <c r="DD174" s="362"/>
      <c r="DE174" s="362"/>
      <c r="DF174" s="362"/>
      <c r="DG174" s="362"/>
      <c r="DH174" s="362"/>
      <c r="DI174" s="362"/>
      <c r="DJ174" s="362"/>
      <c r="DK174" s="362"/>
      <c r="DL174" s="362"/>
      <c r="DM174" s="362"/>
      <c r="DN174" s="362"/>
      <c r="DO174" s="362"/>
      <c r="DP174" s="362"/>
      <c r="DQ174" s="362"/>
      <c r="DR174" s="362"/>
      <c r="DS174" s="362"/>
      <c r="DT174" s="363"/>
      <c r="DU174" s="333"/>
      <c r="DV174" s="334"/>
      <c r="DW174" s="334"/>
      <c r="DX174" s="334"/>
      <c r="DY174" s="341"/>
      <c r="OS174" s="377"/>
      <c r="OT174" s="377"/>
      <c r="OU174" s="377"/>
      <c r="OV174" s="377"/>
      <c r="OW174" s="377"/>
      <c r="OX174" s="377"/>
      <c r="OY174" s="377"/>
      <c r="OZ174" s="377"/>
      <c r="PA174" s="377"/>
      <c r="PB174" s="377"/>
      <c r="PC174" s="377"/>
      <c r="PD174" s="377"/>
      <c r="PE174" s="377"/>
      <c r="PF174" s="377"/>
      <c r="PG174" s="377"/>
      <c r="PH174" s="377"/>
      <c r="PI174" s="377"/>
      <c r="PJ174" s="377"/>
      <c r="PK174" s="377"/>
      <c r="PL174" s="377"/>
      <c r="PM174" s="377"/>
      <c r="PN174" s="377"/>
      <c r="PO174" s="377"/>
      <c r="PP174" s="377"/>
      <c r="PQ174" s="377"/>
      <c r="PR174" s="377"/>
      <c r="PS174" s="377"/>
      <c r="PT174" s="377"/>
      <c r="PU174" s="377"/>
      <c r="PV174" s="377"/>
      <c r="PW174" s="377"/>
      <c r="PX174" s="377"/>
      <c r="PY174" s="377"/>
      <c r="PZ174" s="377"/>
      <c r="QA174" s="377"/>
      <c r="QB174" s="377"/>
      <c r="QC174" s="377"/>
      <c r="QD174" s="377"/>
      <c r="QE174" s="377"/>
      <c r="QF174" s="377"/>
      <c r="QG174" s="377"/>
      <c r="QH174" s="377"/>
      <c r="QI174" s="377"/>
      <c r="QJ174" s="377"/>
      <c r="QK174" s="377"/>
      <c r="QL174" s="377"/>
      <c r="QN174" s="164"/>
      <c r="QQ174" s="165"/>
      <c r="QR174" s="166"/>
      <c r="QS174" s="189"/>
      <c r="QT174" s="189"/>
      <c r="QU174" s="189"/>
      <c r="QV174" s="189"/>
      <c r="QW174" s="190"/>
      <c r="RK174" s="189"/>
      <c r="RL174" s="189"/>
      <c r="RM174" s="189"/>
      <c r="RN174" s="189"/>
      <c r="RO174" s="189"/>
      <c r="RP174" s="190"/>
    </row>
    <row r="175" spans="3:484" ht="5.15" customHeight="1" x14ac:dyDescent="0.35">
      <c r="C175" s="161"/>
      <c r="D175" s="162"/>
      <c r="E175" s="164"/>
      <c r="F175" s="164"/>
      <c r="CF175" s="361"/>
      <c r="CG175" s="362"/>
      <c r="CH175" s="362"/>
      <c r="CI175" s="362"/>
      <c r="CJ175" s="362"/>
      <c r="CK175" s="362"/>
      <c r="CL175" s="362"/>
      <c r="CM175" s="362"/>
      <c r="CN175" s="362"/>
      <c r="CO175" s="362"/>
      <c r="CP175" s="362"/>
      <c r="CQ175" s="362"/>
      <c r="CR175" s="362"/>
      <c r="CS175" s="362"/>
      <c r="CT175" s="362"/>
      <c r="CU175" s="362"/>
      <c r="CV175" s="362"/>
      <c r="CW175" s="362"/>
      <c r="CX175" s="362"/>
      <c r="CY175" s="362"/>
      <c r="CZ175" s="362"/>
      <c r="DA175" s="362"/>
      <c r="DB175" s="362"/>
      <c r="DC175" s="362"/>
      <c r="DD175" s="362"/>
      <c r="DE175" s="362"/>
      <c r="DF175" s="362"/>
      <c r="DG175" s="362"/>
      <c r="DH175" s="362"/>
      <c r="DI175" s="362"/>
      <c r="DJ175" s="362"/>
      <c r="DK175" s="362"/>
      <c r="DL175" s="362"/>
      <c r="DM175" s="362"/>
      <c r="DN175" s="362"/>
      <c r="DO175" s="362"/>
      <c r="DP175" s="362"/>
      <c r="DQ175" s="362"/>
      <c r="DR175" s="362"/>
      <c r="DS175" s="362"/>
      <c r="DT175" s="363"/>
      <c r="DU175" s="333"/>
      <c r="DV175" s="334"/>
      <c r="DW175" s="334"/>
      <c r="DX175" s="334"/>
      <c r="DY175" s="341"/>
      <c r="OS175" s="312" t="s">
        <v>302</v>
      </c>
      <c r="OT175" s="312"/>
      <c r="OU175" s="312"/>
      <c r="OV175" s="312"/>
      <c r="OW175" s="312"/>
      <c r="OX175" s="312"/>
      <c r="OY175" s="312"/>
      <c r="OZ175" s="312"/>
      <c r="PA175" s="312"/>
      <c r="PB175" s="312"/>
      <c r="PC175" s="312"/>
      <c r="PD175" s="312"/>
      <c r="PE175" s="312"/>
      <c r="PF175" s="312"/>
      <c r="PG175" s="312"/>
      <c r="PH175" s="312"/>
      <c r="PI175" s="312"/>
      <c r="PJ175" s="312"/>
      <c r="PK175" s="312"/>
      <c r="PL175" s="312"/>
      <c r="PM175" s="312"/>
      <c r="PN175" s="312"/>
      <c r="PO175" s="312"/>
      <c r="PP175" s="312"/>
      <c r="PQ175" s="312"/>
      <c r="PR175" s="312"/>
      <c r="PS175" s="312"/>
      <c r="PT175" s="312"/>
      <c r="PU175" s="312"/>
      <c r="PV175" s="312"/>
      <c r="PW175" s="312"/>
      <c r="PX175" s="312"/>
      <c r="PY175" s="312"/>
      <c r="PZ175" s="312"/>
      <c r="QA175" s="312"/>
      <c r="QB175" s="312"/>
      <c r="QC175" s="312"/>
      <c r="QD175" s="312"/>
      <c r="QE175" s="312"/>
      <c r="QF175" s="312"/>
      <c r="QG175" s="311">
        <v>10</v>
      </c>
      <c r="QH175" s="311"/>
      <c r="QI175" s="311"/>
      <c r="QJ175" s="311"/>
      <c r="QK175" s="311"/>
      <c r="QL175" s="311"/>
      <c r="QM175" s="200"/>
      <c r="QN175" s="164"/>
      <c r="QQ175" s="165"/>
      <c r="QR175" s="166"/>
      <c r="QS175" s="189"/>
      <c r="QT175" s="189"/>
      <c r="QU175" s="189"/>
      <c r="QV175" s="189"/>
      <c r="QW175" s="190"/>
      <c r="RK175" s="189"/>
      <c r="RL175" s="189"/>
      <c r="RM175" s="189"/>
      <c r="RN175" s="189"/>
      <c r="RO175" s="189"/>
      <c r="RP175" s="190"/>
    </row>
    <row r="176" spans="3:484" ht="5.15" customHeight="1" x14ac:dyDescent="0.35">
      <c r="C176" s="161"/>
      <c r="D176" s="162"/>
      <c r="E176" s="164"/>
      <c r="F176" s="164"/>
      <c r="CF176" s="361"/>
      <c r="CG176" s="362"/>
      <c r="CH176" s="362"/>
      <c r="CI176" s="362"/>
      <c r="CJ176" s="362"/>
      <c r="CK176" s="362"/>
      <c r="CL176" s="362"/>
      <c r="CM176" s="362"/>
      <c r="CN176" s="362"/>
      <c r="CO176" s="362"/>
      <c r="CP176" s="362"/>
      <c r="CQ176" s="362"/>
      <c r="CR176" s="362"/>
      <c r="CS176" s="362"/>
      <c r="CT176" s="362"/>
      <c r="CU176" s="362"/>
      <c r="CV176" s="362"/>
      <c r="CW176" s="362"/>
      <c r="CX176" s="362"/>
      <c r="CY176" s="362"/>
      <c r="CZ176" s="362"/>
      <c r="DA176" s="362"/>
      <c r="DB176" s="362"/>
      <c r="DC176" s="362"/>
      <c r="DD176" s="362"/>
      <c r="DE176" s="362"/>
      <c r="DF176" s="362"/>
      <c r="DG176" s="362"/>
      <c r="DH176" s="362"/>
      <c r="DI176" s="362"/>
      <c r="DJ176" s="362"/>
      <c r="DK176" s="362"/>
      <c r="DL176" s="362"/>
      <c r="DM176" s="362"/>
      <c r="DN176" s="362"/>
      <c r="DO176" s="362"/>
      <c r="DP176" s="362"/>
      <c r="DQ176" s="362"/>
      <c r="DR176" s="362"/>
      <c r="DS176" s="362"/>
      <c r="DT176" s="363"/>
      <c r="DU176" s="333"/>
      <c r="DV176" s="334"/>
      <c r="DW176" s="334"/>
      <c r="DX176" s="334"/>
      <c r="DY176" s="341"/>
      <c r="OS176" s="312"/>
      <c r="OT176" s="312"/>
      <c r="OU176" s="312"/>
      <c r="OV176" s="312"/>
      <c r="OW176" s="312"/>
      <c r="OX176" s="312"/>
      <c r="OY176" s="312"/>
      <c r="OZ176" s="312"/>
      <c r="PA176" s="312"/>
      <c r="PB176" s="312"/>
      <c r="PC176" s="312"/>
      <c r="PD176" s="312"/>
      <c r="PE176" s="312"/>
      <c r="PF176" s="312"/>
      <c r="PG176" s="312"/>
      <c r="PH176" s="312"/>
      <c r="PI176" s="312"/>
      <c r="PJ176" s="312"/>
      <c r="PK176" s="312"/>
      <c r="PL176" s="312"/>
      <c r="PM176" s="312"/>
      <c r="PN176" s="312"/>
      <c r="PO176" s="312"/>
      <c r="PP176" s="312"/>
      <c r="PQ176" s="312"/>
      <c r="PR176" s="312"/>
      <c r="PS176" s="312"/>
      <c r="PT176" s="312"/>
      <c r="PU176" s="312"/>
      <c r="PV176" s="312"/>
      <c r="PW176" s="312"/>
      <c r="PX176" s="312"/>
      <c r="PY176" s="312"/>
      <c r="PZ176" s="312"/>
      <c r="QA176" s="312"/>
      <c r="QB176" s="312"/>
      <c r="QC176" s="312"/>
      <c r="QD176" s="312"/>
      <c r="QE176" s="312"/>
      <c r="QF176" s="312"/>
      <c r="QG176" s="311"/>
      <c r="QH176" s="311"/>
      <c r="QI176" s="311"/>
      <c r="QJ176" s="311"/>
      <c r="QK176" s="311"/>
      <c r="QL176" s="311"/>
      <c r="QM176" s="201"/>
      <c r="QN176" s="164"/>
      <c r="QQ176" s="165"/>
      <c r="QR176" s="166"/>
      <c r="QS176" s="189"/>
      <c r="QT176" s="189"/>
      <c r="QU176" s="189"/>
      <c r="QV176" s="189"/>
      <c r="QW176" s="190"/>
      <c r="RK176" s="189"/>
      <c r="RL176" s="189"/>
      <c r="RM176" s="189"/>
      <c r="RN176" s="189"/>
      <c r="RO176" s="189"/>
      <c r="RP176" s="190"/>
    </row>
    <row r="177" spans="3:484" ht="5.15" customHeight="1" x14ac:dyDescent="0.35">
      <c r="C177" s="161"/>
      <c r="D177" s="162"/>
      <c r="E177" s="164"/>
      <c r="F177" s="164"/>
      <c r="CF177" s="361"/>
      <c r="CG177" s="362"/>
      <c r="CH177" s="362"/>
      <c r="CI177" s="362"/>
      <c r="CJ177" s="362"/>
      <c r="CK177" s="362"/>
      <c r="CL177" s="362"/>
      <c r="CM177" s="362"/>
      <c r="CN177" s="362"/>
      <c r="CO177" s="362"/>
      <c r="CP177" s="362"/>
      <c r="CQ177" s="362"/>
      <c r="CR177" s="362"/>
      <c r="CS177" s="362"/>
      <c r="CT177" s="362"/>
      <c r="CU177" s="362"/>
      <c r="CV177" s="362"/>
      <c r="CW177" s="362"/>
      <c r="CX177" s="362"/>
      <c r="CY177" s="362"/>
      <c r="CZ177" s="362"/>
      <c r="DA177" s="362"/>
      <c r="DB177" s="362"/>
      <c r="DC177" s="362"/>
      <c r="DD177" s="362"/>
      <c r="DE177" s="362"/>
      <c r="DF177" s="362"/>
      <c r="DG177" s="362"/>
      <c r="DH177" s="362"/>
      <c r="DI177" s="362"/>
      <c r="DJ177" s="362"/>
      <c r="DK177" s="362"/>
      <c r="DL177" s="362"/>
      <c r="DM177" s="362"/>
      <c r="DN177" s="362"/>
      <c r="DO177" s="362"/>
      <c r="DP177" s="362"/>
      <c r="DQ177" s="362"/>
      <c r="DR177" s="362"/>
      <c r="DS177" s="362"/>
      <c r="DT177" s="363"/>
      <c r="DU177" s="333"/>
      <c r="DV177" s="334"/>
      <c r="DW177" s="334"/>
      <c r="DX177" s="334"/>
      <c r="DY177" s="341"/>
      <c r="OS177" s="312"/>
      <c r="OT177" s="312"/>
      <c r="OU177" s="312"/>
      <c r="OV177" s="312"/>
      <c r="OW177" s="312"/>
      <c r="OX177" s="312"/>
      <c r="OY177" s="312"/>
      <c r="OZ177" s="312"/>
      <c r="PA177" s="312"/>
      <c r="PB177" s="312"/>
      <c r="PC177" s="312"/>
      <c r="PD177" s="312"/>
      <c r="PE177" s="312"/>
      <c r="PF177" s="312"/>
      <c r="PG177" s="312"/>
      <c r="PH177" s="312"/>
      <c r="PI177" s="312"/>
      <c r="PJ177" s="312"/>
      <c r="PK177" s="312"/>
      <c r="PL177" s="312"/>
      <c r="PM177" s="312"/>
      <c r="PN177" s="312"/>
      <c r="PO177" s="312"/>
      <c r="PP177" s="312"/>
      <c r="PQ177" s="312"/>
      <c r="PR177" s="312"/>
      <c r="PS177" s="312"/>
      <c r="PT177" s="312"/>
      <c r="PU177" s="312"/>
      <c r="PV177" s="312"/>
      <c r="PW177" s="312"/>
      <c r="PX177" s="312"/>
      <c r="PY177" s="312"/>
      <c r="PZ177" s="312"/>
      <c r="QA177" s="312"/>
      <c r="QB177" s="312"/>
      <c r="QC177" s="312"/>
      <c r="QD177" s="312"/>
      <c r="QE177" s="312"/>
      <c r="QF177" s="312"/>
      <c r="QG177" s="311"/>
      <c r="QH177" s="311"/>
      <c r="QI177" s="311"/>
      <c r="QJ177" s="311"/>
      <c r="QK177" s="311"/>
      <c r="QL177" s="311"/>
      <c r="QM177" s="201"/>
      <c r="QN177" s="164"/>
      <c r="QQ177" s="165"/>
      <c r="QR177" s="166"/>
    </row>
    <row r="178" spans="3:484" ht="5.15" customHeight="1" x14ac:dyDescent="0.35">
      <c r="C178" s="161"/>
      <c r="D178" s="162"/>
      <c r="E178" s="164"/>
      <c r="F178" s="164"/>
      <c r="CF178" s="361"/>
      <c r="CG178" s="362"/>
      <c r="CH178" s="362"/>
      <c r="CI178" s="362"/>
      <c r="CJ178" s="362"/>
      <c r="CK178" s="362"/>
      <c r="CL178" s="362"/>
      <c r="CM178" s="362"/>
      <c r="CN178" s="362"/>
      <c r="CO178" s="362"/>
      <c r="CP178" s="362"/>
      <c r="CQ178" s="362"/>
      <c r="CR178" s="362"/>
      <c r="CS178" s="362"/>
      <c r="CT178" s="362"/>
      <c r="CU178" s="362"/>
      <c r="CV178" s="362"/>
      <c r="CW178" s="362"/>
      <c r="CX178" s="362"/>
      <c r="CY178" s="362"/>
      <c r="CZ178" s="362"/>
      <c r="DA178" s="362"/>
      <c r="DB178" s="362"/>
      <c r="DC178" s="362"/>
      <c r="DD178" s="362"/>
      <c r="DE178" s="362"/>
      <c r="DF178" s="362"/>
      <c r="DG178" s="362"/>
      <c r="DH178" s="362"/>
      <c r="DI178" s="362"/>
      <c r="DJ178" s="362"/>
      <c r="DK178" s="362"/>
      <c r="DL178" s="362"/>
      <c r="DM178" s="362"/>
      <c r="DN178" s="362"/>
      <c r="DO178" s="362"/>
      <c r="DP178" s="362"/>
      <c r="DQ178" s="362"/>
      <c r="DR178" s="362"/>
      <c r="DS178" s="362"/>
      <c r="DT178" s="363"/>
      <c r="DU178" s="333"/>
      <c r="DV178" s="334"/>
      <c r="DW178" s="334"/>
      <c r="DX178" s="334"/>
      <c r="DY178" s="341"/>
      <c r="OS178" s="312"/>
      <c r="OT178" s="312"/>
      <c r="OU178" s="312"/>
      <c r="OV178" s="312"/>
      <c r="OW178" s="312"/>
      <c r="OX178" s="312"/>
      <c r="OY178" s="312"/>
      <c r="OZ178" s="312"/>
      <c r="PA178" s="312"/>
      <c r="PB178" s="312"/>
      <c r="PC178" s="312"/>
      <c r="PD178" s="312"/>
      <c r="PE178" s="312"/>
      <c r="PF178" s="312"/>
      <c r="PG178" s="312"/>
      <c r="PH178" s="312"/>
      <c r="PI178" s="312"/>
      <c r="PJ178" s="312"/>
      <c r="PK178" s="312"/>
      <c r="PL178" s="312"/>
      <c r="PM178" s="312"/>
      <c r="PN178" s="312"/>
      <c r="PO178" s="312"/>
      <c r="PP178" s="312"/>
      <c r="PQ178" s="312"/>
      <c r="PR178" s="312"/>
      <c r="PS178" s="312"/>
      <c r="PT178" s="312"/>
      <c r="PU178" s="312"/>
      <c r="PV178" s="312"/>
      <c r="PW178" s="312"/>
      <c r="PX178" s="312"/>
      <c r="PY178" s="312"/>
      <c r="PZ178" s="312"/>
      <c r="QA178" s="312"/>
      <c r="QB178" s="312"/>
      <c r="QC178" s="312"/>
      <c r="QD178" s="312"/>
      <c r="QE178" s="312"/>
      <c r="QF178" s="312"/>
      <c r="QG178" s="311"/>
      <c r="QH178" s="311"/>
      <c r="QI178" s="311"/>
      <c r="QJ178" s="311"/>
      <c r="QK178" s="311"/>
      <c r="QL178" s="311"/>
      <c r="QM178" s="172"/>
      <c r="QN178" s="164"/>
      <c r="QQ178" s="165"/>
      <c r="QR178" s="166"/>
    </row>
    <row r="179" spans="3:484" ht="5.15" customHeight="1" x14ac:dyDescent="0.35">
      <c r="C179" s="161"/>
      <c r="D179" s="162"/>
      <c r="E179" s="164"/>
      <c r="F179" s="164"/>
      <c r="CF179" s="361"/>
      <c r="CG179" s="362"/>
      <c r="CH179" s="362"/>
      <c r="CI179" s="362"/>
      <c r="CJ179" s="362"/>
      <c r="CK179" s="362"/>
      <c r="CL179" s="362"/>
      <c r="CM179" s="362"/>
      <c r="CN179" s="362"/>
      <c r="CO179" s="362"/>
      <c r="CP179" s="362"/>
      <c r="CQ179" s="362"/>
      <c r="CR179" s="362"/>
      <c r="CS179" s="362"/>
      <c r="CT179" s="362"/>
      <c r="CU179" s="362"/>
      <c r="CV179" s="362"/>
      <c r="CW179" s="362"/>
      <c r="CX179" s="362"/>
      <c r="CY179" s="362"/>
      <c r="CZ179" s="362"/>
      <c r="DA179" s="362"/>
      <c r="DB179" s="362"/>
      <c r="DC179" s="362"/>
      <c r="DD179" s="362"/>
      <c r="DE179" s="362"/>
      <c r="DF179" s="362"/>
      <c r="DG179" s="362"/>
      <c r="DH179" s="362"/>
      <c r="DI179" s="362"/>
      <c r="DJ179" s="362"/>
      <c r="DK179" s="362"/>
      <c r="DL179" s="362"/>
      <c r="DM179" s="362"/>
      <c r="DN179" s="362"/>
      <c r="DO179" s="362"/>
      <c r="DP179" s="362"/>
      <c r="DQ179" s="362"/>
      <c r="DR179" s="362"/>
      <c r="DS179" s="362"/>
      <c r="DT179" s="363"/>
      <c r="DU179" s="333"/>
      <c r="DV179" s="334"/>
      <c r="DW179" s="334"/>
      <c r="DX179" s="334"/>
      <c r="DY179" s="341"/>
      <c r="OS179" s="312"/>
      <c r="OT179" s="312"/>
      <c r="OU179" s="312"/>
      <c r="OV179" s="312"/>
      <c r="OW179" s="312"/>
      <c r="OX179" s="312"/>
      <c r="OY179" s="312"/>
      <c r="OZ179" s="312"/>
      <c r="PA179" s="312"/>
      <c r="PB179" s="312"/>
      <c r="PC179" s="312"/>
      <c r="PD179" s="312"/>
      <c r="PE179" s="312"/>
      <c r="PF179" s="312"/>
      <c r="PG179" s="312"/>
      <c r="PH179" s="312"/>
      <c r="PI179" s="312"/>
      <c r="PJ179" s="312"/>
      <c r="PK179" s="312"/>
      <c r="PL179" s="312"/>
      <c r="PM179" s="312"/>
      <c r="PN179" s="312"/>
      <c r="PO179" s="312"/>
      <c r="PP179" s="312"/>
      <c r="PQ179" s="312"/>
      <c r="PR179" s="312"/>
      <c r="PS179" s="312"/>
      <c r="PT179" s="312"/>
      <c r="PU179" s="312"/>
      <c r="PV179" s="312"/>
      <c r="PW179" s="312"/>
      <c r="PX179" s="312"/>
      <c r="PY179" s="312"/>
      <c r="PZ179" s="312"/>
      <c r="QA179" s="312"/>
      <c r="QB179" s="312"/>
      <c r="QC179" s="312"/>
      <c r="QD179" s="312"/>
      <c r="QE179" s="312"/>
      <c r="QF179" s="312"/>
      <c r="QG179" s="311"/>
      <c r="QH179" s="311"/>
      <c r="QI179" s="311"/>
      <c r="QJ179" s="311"/>
      <c r="QK179" s="311"/>
      <c r="QL179" s="311"/>
      <c r="QM179" s="172"/>
      <c r="QN179" s="164"/>
      <c r="QQ179" s="165"/>
      <c r="QR179" s="166"/>
    </row>
    <row r="180" spans="3:484" ht="5.15" customHeight="1" x14ac:dyDescent="0.35">
      <c r="C180" s="161"/>
      <c r="D180" s="162"/>
      <c r="E180" s="164"/>
      <c r="F180" s="164"/>
      <c r="CF180" s="361"/>
      <c r="CG180" s="362"/>
      <c r="CH180" s="362"/>
      <c r="CI180" s="362"/>
      <c r="CJ180" s="362"/>
      <c r="CK180" s="362"/>
      <c r="CL180" s="362"/>
      <c r="CM180" s="362"/>
      <c r="CN180" s="362"/>
      <c r="CO180" s="362"/>
      <c r="CP180" s="362"/>
      <c r="CQ180" s="362"/>
      <c r="CR180" s="362"/>
      <c r="CS180" s="362"/>
      <c r="CT180" s="362"/>
      <c r="CU180" s="362"/>
      <c r="CV180" s="362"/>
      <c r="CW180" s="362"/>
      <c r="CX180" s="362"/>
      <c r="CY180" s="362"/>
      <c r="CZ180" s="362"/>
      <c r="DA180" s="362"/>
      <c r="DB180" s="362"/>
      <c r="DC180" s="362"/>
      <c r="DD180" s="362"/>
      <c r="DE180" s="362"/>
      <c r="DF180" s="362"/>
      <c r="DG180" s="362"/>
      <c r="DH180" s="362"/>
      <c r="DI180" s="362"/>
      <c r="DJ180" s="362"/>
      <c r="DK180" s="362"/>
      <c r="DL180" s="362"/>
      <c r="DM180" s="362"/>
      <c r="DN180" s="362"/>
      <c r="DO180" s="362"/>
      <c r="DP180" s="362"/>
      <c r="DQ180" s="362"/>
      <c r="DR180" s="362"/>
      <c r="DS180" s="362"/>
      <c r="DT180" s="363"/>
      <c r="DU180" s="333"/>
      <c r="DV180" s="334"/>
      <c r="DW180" s="334"/>
      <c r="DX180" s="334"/>
      <c r="DY180" s="341"/>
      <c r="OS180" s="312"/>
      <c r="OT180" s="312"/>
      <c r="OU180" s="312"/>
      <c r="OV180" s="312"/>
      <c r="OW180" s="312"/>
      <c r="OX180" s="312"/>
      <c r="OY180" s="312"/>
      <c r="OZ180" s="312"/>
      <c r="PA180" s="312"/>
      <c r="PB180" s="312"/>
      <c r="PC180" s="312"/>
      <c r="PD180" s="312"/>
      <c r="PE180" s="312"/>
      <c r="PF180" s="312"/>
      <c r="PG180" s="312"/>
      <c r="PH180" s="312"/>
      <c r="PI180" s="312"/>
      <c r="PJ180" s="312"/>
      <c r="PK180" s="312"/>
      <c r="PL180" s="312"/>
      <c r="PM180" s="312"/>
      <c r="PN180" s="312"/>
      <c r="PO180" s="312"/>
      <c r="PP180" s="312"/>
      <c r="PQ180" s="312"/>
      <c r="PR180" s="312"/>
      <c r="PS180" s="312"/>
      <c r="PT180" s="312"/>
      <c r="PU180" s="312"/>
      <c r="PV180" s="312"/>
      <c r="PW180" s="312"/>
      <c r="PX180" s="312"/>
      <c r="PY180" s="312"/>
      <c r="PZ180" s="312"/>
      <c r="QA180" s="312"/>
      <c r="QB180" s="312"/>
      <c r="QC180" s="312"/>
      <c r="QD180" s="312"/>
      <c r="QE180" s="312"/>
      <c r="QF180" s="312"/>
      <c r="QG180" s="311"/>
      <c r="QH180" s="311"/>
      <c r="QI180" s="311"/>
      <c r="QJ180" s="311"/>
      <c r="QK180" s="311"/>
      <c r="QL180" s="311"/>
      <c r="QM180" s="172"/>
      <c r="QN180" s="164"/>
      <c r="QQ180" s="165"/>
      <c r="QR180" s="166"/>
    </row>
    <row r="181" spans="3:484" ht="5.15" customHeight="1" x14ac:dyDescent="0.35">
      <c r="C181" s="161"/>
      <c r="D181" s="162"/>
      <c r="E181" s="164"/>
      <c r="F181" s="164"/>
      <c r="CF181" s="361"/>
      <c r="CG181" s="362"/>
      <c r="CH181" s="362"/>
      <c r="CI181" s="362"/>
      <c r="CJ181" s="362"/>
      <c r="CK181" s="362"/>
      <c r="CL181" s="362"/>
      <c r="CM181" s="362"/>
      <c r="CN181" s="362"/>
      <c r="CO181" s="362"/>
      <c r="CP181" s="362"/>
      <c r="CQ181" s="362"/>
      <c r="CR181" s="362"/>
      <c r="CS181" s="362"/>
      <c r="CT181" s="362"/>
      <c r="CU181" s="362"/>
      <c r="CV181" s="362"/>
      <c r="CW181" s="362"/>
      <c r="CX181" s="362"/>
      <c r="CY181" s="362"/>
      <c r="CZ181" s="362"/>
      <c r="DA181" s="362"/>
      <c r="DB181" s="362"/>
      <c r="DC181" s="362"/>
      <c r="DD181" s="362"/>
      <c r="DE181" s="362"/>
      <c r="DF181" s="362"/>
      <c r="DG181" s="362"/>
      <c r="DH181" s="362"/>
      <c r="DI181" s="362"/>
      <c r="DJ181" s="362"/>
      <c r="DK181" s="362"/>
      <c r="DL181" s="362"/>
      <c r="DM181" s="362"/>
      <c r="DN181" s="362"/>
      <c r="DO181" s="362"/>
      <c r="DP181" s="362"/>
      <c r="DQ181" s="362"/>
      <c r="DR181" s="362"/>
      <c r="DS181" s="362"/>
      <c r="DT181" s="363"/>
      <c r="DU181" s="333"/>
      <c r="DV181" s="334"/>
      <c r="DW181" s="334"/>
      <c r="DX181" s="334"/>
      <c r="DY181" s="341"/>
      <c r="HW181" s="164"/>
      <c r="HX181" s="164"/>
      <c r="HY181" s="164"/>
      <c r="HZ181" s="164"/>
      <c r="IA181" s="164"/>
      <c r="IB181" s="164"/>
      <c r="IC181" s="164"/>
      <c r="ID181" s="164"/>
      <c r="IE181" s="164"/>
      <c r="IF181" s="164"/>
      <c r="IG181" s="164"/>
      <c r="IH181" s="164"/>
      <c r="II181" s="164"/>
      <c r="IJ181" s="164"/>
      <c r="IK181" s="164"/>
      <c r="IL181" s="164"/>
      <c r="IM181" s="164"/>
      <c r="IN181" s="164"/>
      <c r="OS181" s="312"/>
      <c r="OT181" s="312"/>
      <c r="OU181" s="312"/>
      <c r="OV181" s="312"/>
      <c r="OW181" s="312"/>
      <c r="OX181" s="312"/>
      <c r="OY181" s="312"/>
      <c r="OZ181" s="312"/>
      <c r="PA181" s="312"/>
      <c r="PB181" s="312"/>
      <c r="PC181" s="312"/>
      <c r="PD181" s="312"/>
      <c r="PE181" s="312"/>
      <c r="PF181" s="312"/>
      <c r="PG181" s="312"/>
      <c r="PH181" s="312"/>
      <c r="PI181" s="312"/>
      <c r="PJ181" s="312"/>
      <c r="PK181" s="312"/>
      <c r="PL181" s="312"/>
      <c r="PM181" s="312"/>
      <c r="PN181" s="312"/>
      <c r="PO181" s="312"/>
      <c r="PP181" s="312"/>
      <c r="PQ181" s="312"/>
      <c r="PR181" s="312"/>
      <c r="PS181" s="312"/>
      <c r="PT181" s="312"/>
      <c r="PU181" s="312"/>
      <c r="PV181" s="312"/>
      <c r="PW181" s="312"/>
      <c r="PX181" s="312"/>
      <c r="PY181" s="312"/>
      <c r="PZ181" s="312"/>
      <c r="QA181" s="312"/>
      <c r="QB181" s="312"/>
      <c r="QC181" s="312"/>
      <c r="QD181" s="312"/>
      <c r="QE181" s="312"/>
      <c r="QF181" s="312"/>
      <c r="QG181" s="311"/>
      <c r="QH181" s="311"/>
      <c r="QI181" s="311"/>
      <c r="QJ181" s="311"/>
      <c r="QK181" s="311"/>
      <c r="QL181" s="311"/>
      <c r="QM181" s="172"/>
      <c r="QN181" s="164"/>
      <c r="QQ181" s="165"/>
      <c r="QR181" s="166"/>
    </row>
    <row r="182" spans="3:484" ht="5.15" customHeight="1" x14ac:dyDescent="0.35">
      <c r="C182" s="161"/>
      <c r="D182" s="162"/>
      <c r="E182" s="164"/>
      <c r="F182" s="164"/>
      <c r="CF182" s="364"/>
      <c r="CG182" s="365"/>
      <c r="CH182" s="365"/>
      <c r="CI182" s="365"/>
      <c r="CJ182" s="365"/>
      <c r="CK182" s="365"/>
      <c r="CL182" s="365"/>
      <c r="CM182" s="365"/>
      <c r="CN182" s="365"/>
      <c r="CO182" s="365"/>
      <c r="CP182" s="365"/>
      <c r="CQ182" s="365"/>
      <c r="CR182" s="365"/>
      <c r="CS182" s="365"/>
      <c r="CT182" s="365"/>
      <c r="CU182" s="365"/>
      <c r="CV182" s="365"/>
      <c r="CW182" s="365"/>
      <c r="CX182" s="365"/>
      <c r="CY182" s="365"/>
      <c r="CZ182" s="365"/>
      <c r="DA182" s="365"/>
      <c r="DB182" s="365"/>
      <c r="DC182" s="365"/>
      <c r="DD182" s="365"/>
      <c r="DE182" s="365"/>
      <c r="DF182" s="365"/>
      <c r="DG182" s="365"/>
      <c r="DH182" s="365"/>
      <c r="DI182" s="365"/>
      <c r="DJ182" s="365"/>
      <c r="DK182" s="365"/>
      <c r="DL182" s="365"/>
      <c r="DM182" s="365"/>
      <c r="DN182" s="365"/>
      <c r="DO182" s="365"/>
      <c r="DP182" s="365"/>
      <c r="DQ182" s="365"/>
      <c r="DR182" s="365"/>
      <c r="DS182" s="365"/>
      <c r="DT182" s="366"/>
      <c r="DU182" s="336"/>
      <c r="DV182" s="337"/>
      <c r="DW182" s="337"/>
      <c r="DX182" s="337"/>
      <c r="DY182" s="342"/>
      <c r="HW182" s="164"/>
      <c r="HX182" s="164"/>
      <c r="HY182" s="164"/>
      <c r="HZ182" s="164"/>
      <c r="IA182" s="164"/>
      <c r="IB182" s="164"/>
      <c r="IC182" s="164"/>
      <c r="ID182" s="164"/>
      <c r="IE182" s="164"/>
      <c r="IF182" s="164"/>
      <c r="IG182" s="164"/>
      <c r="IH182" s="164"/>
      <c r="II182" s="164"/>
      <c r="IJ182" s="164"/>
      <c r="IK182" s="164"/>
      <c r="IL182" s="164"/>
      <c r="IM182" s="164"/>
      <c r="IN182" s="164"/>
      <c r="OS182" s="312"/>
      <c r="OT182" s="312"/>
      <c r="OU182" s="312"/>
      <c r="OV182" s="312"/>
      <c r="OW182" s="312"/>
      <c r="OX182" s="312"/>
      <c r="OY182" s="312"/>
      <c r="OZ182" s="312"/>
      <c r="PA182" s="312"/>
      <c r="PB182" s="312"/>
      <c r="PC182" s="312"/>
      <c r="PD182" s="312"/>
      <c r="PE182" s="312"/>
      <c r="PF182" s="312"/>
      <c r="PG182" s="312"/>
      <c r="PH182" s="312"/>
      <c r="PI182" s="312"/>
      <c r="PJ182" s="312"/>
      <c r="PK182" s="312"/>
      <c r="PL182" s="312"/>
      <c r="PM182" s="312"/>
      <c r="PN182" s="312"/>
      <c r="PO182" s="312"/>
      <c r="PP182" s="312"/>
      <c r="PQ182" s="312"/>
      <c r="PR182" s="312"/>
      <c r="PS182" s="312"/>
      <c r="PT182" s="312"/>
      <c r="PU182" s="312"/>
      <c r="PV182" s="312"/>
      <c r="PW182" s="312"/>
      <c r="PX182" s="312"/>
      <c r="PY182" s="312"/>
      <c r="PZ182" s="312"/>
      <c r="QA182" s="312"/>
      <c r="QB182" s="312"/>
      <c r="QC182" s="312"/>
      <c r="QD182" s="312"/>
      <c r="QE182" s="312"/>
      <c r="QF182" s="312"/>
      <c r="QG182" s="311"/>
      <c r="QH182" s="311"/>
      <c r="QI182" s="311"/>
      <c r="QJ182" s="311"/>
      <c r="QK182" s="311"/>
      <c r="QL182" s="311"/>
      <c r="QM182" s="172"/>
      <c r="QN182" s="164"/>
      <c r="QQ182" s="165"/>
      <c r="QR182" s="166"/>
    </row>
    <row r="183" spans="3:484" ht="5.15" customHeight="1" x14ac:dyDescent="0.35">
      <c r="C183" s="161"/>
      <c r="D183" s="162"/>
      <c r="E183" s="164"/>
      <c r="F183" s="164"/>
      <c r="CF183" s="358" t="s">
        <v>196</v>
      </c>
      <c r="CG183" s="359"/>
      <c r="CH183" s="359"/>
      <c r="CI183" s="359"/>
      <c r="CJ183" s="359"/>
      <c r="CK183" s="359"/>
      <c r="CL183" s="359"/>
      <c r="CM183" s="359"/>
      <c r="CN183" s="359"/>
      <c r="CO183" s="359"/>
      <c r="CP183" s="359"/>
      <c r="CQ183" s="359"/>
      <c r="CR183" s="359"/>
      <c r="CS183" s="359"/>
      <c r="CT183" s="359"/>
      <c r="CU183" s="359"/>
      <c r="CV183" s="359"/>
      <c r="CW183" s="359"/>
      <c r="CX183" s="359"/>
      <c r="CY183" s="359"/>
      <c r="CZ183" s="359"/>
      <c r="DA183" s="359"/>
      <c r="DB183" s="359"/>
      <c r="DC183" s="359"/>
      <c r="DD183" s="359"/>
      <c r="DE183" s="359"/>
      <c r="DF183" s="359"/>
      <c r="DG183" s="359"/>
      <c r="DH183" s="359"/>
      <c r="DI183" s="359"/>
      <c r="DJ183" s="359"/>
      <c r="DK183" s="359"/>
      <c r="DL183" s="359"/>
      <c r="DM183" s="359"/>
      <c r="DN183" s="359"/>
      <c r="DO183" s="359"/>
      <c r="DP183" s="359"/>
      <c r="DQ183" s="359"/>
      <c r="DR183" s="359"/>
      <c r="DS183" s="359"/>
      <c r="DT183" s="360"/>
      <c r="DU183" s="330">
        <v>3</v>
      </c>
      <c r="DV183" s="331"/>
      <c r="DW183" s="331"/>
      <c r="DX183" s="331"/>
      <c r="DY183" s="340"/>
      <c r="HB183" s="164"/>
      <c r="HC183" s="164"/>
      <c r="HD183" s="164"/>
      <c r="HE183" s="164"/>
      <c r="HF183" s="164"/>
      <c r="HG183" s="164"/>
      <c r="HH183" s="164"/>
      <c r="HI183" s="164"/>
      <c r="HJ183" s="164"/>
      <c r="HK183" s="164"/>
      <c r="HL183" s="164"/>
      <c r="HM183" s="164"/>
      <c r="HN183" s="164"/>
      <c r="HO183" s="164"/>
      <c r="HP183" s="164"/>
      <c r="HQ183" s="164"/>
      <c r="HR183" s="164"/>
      <c r="HS183" s="164"/>
      <c r="HT183" s="164"/>
      <c r="HU183" s="164"/>
      <c r="HV183" s="164"/>
      <c r="HW183" s="164"/>
      <c r="HX183" s="164"/>
      <c r="HY183" s="164"/>
      <c r="HZ183" s="164"/>
      <c r="IA183" s="164"/>
      <c r="IB183" s="164"/>
      <c r="IC183" s="164"/>
      <c r="ID183" s="164"/>
      <c r="IE183" s="164"/>
      <c r="IF183" s="164"/>
      <c r="IG183" s="164"/>
      <c r="IH183" s="164"/>
      <c r="II183" s="164"/>
      <c r="IJ183" s="164"/>
      <c r="IK183" s="164"/>
      <c r="IL183" s="164"/>
      <c r="IM183" s="164"/>
      <c r="IN183" s="164"/>
      <c r="OS183" s="312"/>
      <c r="OT183" s="312"/>
      <c r="OU183" s="312"/>
      <c r="OV183" s="312"/>
      <c r="OW183" s="312"/>
      <c r="OX183" s="312"/>
      <c r="OY183" s="312"/>
      <c r="OZ183" s="312"/>
      <c r="PA183" s="312"/>
      <c r="PB183" s="312"/>
      <c r="PC183" s="312"/>
      <c r="PD183" s="312"/>
      <c r="PE183" s="312"/>
      <c r="PF183" s="312"/>
      <c r="PG183" s="312"/>
      <c r="PH183" s="312"/>
      <c r="PI183" s="312"/>
      <c r="PJ183" s="312"/>
      <c r="PK183" s="312"/>
      <c r="PL183" s="312"/>
      <c r="PM183" s="312"/>
      <c r="PN183" s="312"/>
      <c r="PO183" s="312"/>
      <c r="PP183" s="312"/>
      <c r="PQ183" s="312"/>
      <c r="PR183" s="312"/>
      <c r="PS183" s="312"/>
      <c r="PT183" s="312"/>
      <c r="PU183" s="312"/>
      <c r="PV183" s="312"/>
      <c r="PW183" s="312"/>
      <c r="PX183" s="312"/>
      <c r="PY183" s="312"/>
      <c r="PZ183" s="312"/>
      <c r="QA183" s="312"/>
      <c r="QB183" s="312"/>
      <c r="QC183" s="312"/>
      <c r="QD183" s="312"/>
      <c r="QE183" s="312"/>
      <c r="QF183" s="312"/>
      <c r="QG183" s="311"/>
      <c r="QH183" s="311"/>
      <c r="QI183" s="311"/>
      <c r="QJ183" s="311"/>
      <c r="QK183" s="311"/>
      <c r="QL183" s="311"/>
      <c r="QM183" s="172"/>
      <c r="QN183" s="164"/>
      <c r="QQ183" s="165"/>
      <c r="QR183" s="166"/>
    </row>
    <row r="184" spans="3:484" ht="5.15" customHeight="1" x14ac:dyDescent="0.35">
      <c r="C184" s="161"/>
      <c r="D184" s="162"/>
      <c r="E184" s="164"/>
      <c r="F184" s="164"/>
      <c r="CF184" s="361"/>
      <c r="CG184" s="362"/>
      <c r="CH184" s="362"/>
      <c r="CI184" s="362"/>
      <c r="CJ184" s="362"/>
      <c r="CK184" s="362"/>
      <c r="CL184" s="362"/>
      <c r="CM184" s="362"/>
      <c r="CN184" s="362"/>
      <c r="CO184" s="362"/>
      <c r="CP184" s="362"/>
      <c r="CQ184" s="362"/>
      <c r="CR184" s="362"/>
      <c r="CS184" s="362"/>
      <c r="CT184" s="362"/>
      <c r="CU184" s="362"/>
      <c r="CV184" s="362"/>
      <c r="CW184" s="362"/>
      <c r="CX184" s="362"/>
      <c r="CY184" s="362"/>
      <c r="CZ184" s="362"/>
      <c r="DA184" s="362"/>
      <c r="DB184" s="362"/>
      <c r="DC184" s="362"/>
      <c r="DD184" s="362"/>
      <c r="DE184" s="362"/>
      <c r="DF184" s="362"/>
      <c r="DG184" s="362"/>
      <c r="DH184" s="362"/>
      <c r="DI184" s="362"/>
      <c r="DJ184" s="362"/>
      <c r="DK184" s="362"/>
      <c r="DL184" s="362"/>
      <c r="DM184" s="362"/>
      <c r="DN184" s="362"/>
      <c r="DO184" s="362"/>
      <c r="DP184" s="362"/>
      <c r="DQ184" s="362"/>
      <c r="DR184" s="362"/>
      <c r="DS184" s="362"/>
      <c r="DT184" s="363"/>
      <c r="DU184" s="333"/>
      <c r="DV184" s="334"/>
      <c r="DW184" s="334"/>
      <c r="DX184" s="334"/>
      <c r="DY184" s="341"/>
      <c r="HB184" s="164"/>
      <c r="HC184" s="164"/>
      <c r="HD184" s="164"/>
      <c r="HE184" s="164"/>
      <c r="HF184" s="164"/>
      <c r="HG184" s="164"/>
      <c r="HH184" s="164"/>
      <c r="HI184" s="164"/>
      <c r="HJ184" s="164"/>
      <c r="HK184" s="164"/>
      <c r="HL184" s="164"/>
      <c r="HM184" s="164"/>
      <c r="HN184" s="164"/>
      <c r="HO184" s="164"/>
      <c r="HP184" s="164"/>
      <c r="HQ184" s="164"/>
      <c r="HR184" s="164"/>
      <c r="HS184" s="164"/>
      <c r="HT184" s="164"/>
      <c r="HU184" s="164"/>
      <c r="HV184" s="164"/>
      <c r="HW184" s="164"/>
      <c r="HX184" s="164"/>
      <c r="HY184" s="164"/>
      <c r="HZ184" s="164"/>
      <c r="IA184" s="164"/>
      <c r="IB184" s="164"/>
      <c r="IC184" s="164"/>
      <c r="ID184" s="164"/>
      <c r="IE184" s="164"/>
      <c r="IF184" s="164"/>
      <c r="IG184" s="164"/>
      <c r="IH184" s="164"/>
      <c r="II184" s="164"/>
      <c r="IJ184" s="164"/>
      <c r="IK184" s="164"/>
      <c r="IL184" s="164"/>
      <c r="IM184" s="164"/>
      <c r="IN184" s="164"/>
      <c r="OS184" s="312"/>
      <c r="OT184" s="312"/>
      <c r="OU184" s="312"/>
      <c r="OV184" s="312"/>
      <c r="OW184" s="312"/>
      <c r="OX184" s="312"/>
      <c r="OY184" s="312"/>
      <c r="OZ184" s="312"/>
      <c r="PA184" s="312"/>
      <c r="PB184" s="312"/>
      <c r="PC184" s="312"/>
      <c r="PD184" s="312"/>
      <c r="PE184" s="312"/>
      <c r="PF184" s="312"/>
      <c r="PG184" s="312"/>
      <c r="PH184" s="312"/>
      <c r="PI184" s="312"/>
      <c r="PJ184" s="312"/>
      <c r="PK184" s="312"/>
      <c r="PL184" s="312"/>
      <c r="PM184" s="312"/>
      <c r="PN184" s="312"/>
      <c r="PO184" s="312"/>
      <c r="PP184" s="312"/>
      <c r="PQ184" s="312"/>
      <c r="PR184" s="312"/>
      <c r="PS184" s="312"/>
      <c r="PT184" s="312"/>
      <c r="PU184" s="312"/>
      <c r="PV184" s="312"/>
      <c r="PW184" s="312"/>
      <c r="PX184" s="312"/>
      <c r="PY184" s="312"/>
      <c r="PZ184" s="312"/>
      <c r="QA184" s="312"/>
      <c r="QB184" s="312"/>
      <c r="QC184" s="312"/>
      <c r="QD184" s="312"/>
      <c r="QE184" s="312"/>
      <c r="QF184" s="312"/>
      <c r="QG184" s="311"/>
      <c r="QH184" s="311"/>
      <c r="QI184" s="311"/>
      <c r="QJ184" s="311"/>
      <c r="QK184" s="311"/>
      <c r="QL184" s="311"/>
      <c r="QM184" s="172"/>
      <c r="QN184" s="164"/>
      <c r="QQ184" s="165"/>
      <c r="QR184" s="166"/>
    </row>
    <row r="185" spans="3:484" ht="5.15" customHeight="1" x14ac:dyDescent="0.35">
      <c r="C185" s="161"/>
      <c r="D185" s="162"/>
      <c r="E185" s="164"/>
      <c r="F185" s="164"/>
      <c r="CF185" s="361"/>
      <c r="CG185" s="362"/>
      <c r="CH185" s="362"/>
      <c r="CI185" s="362"/>
      <c r="CJ185" s="362"/>
      <c r="CK185" s="362"/>
      <c r="CL185" s="362"/>
      <c r="CM185" s="362"/>
      <c r="CN185" s="362"/>
      <c r="CO185" s="362"/>
      <c r="CP185" s="362"/>
      <c r="CQ185" s="362"/>
      <c r="CR185" s="362"/>
      <c r="CS185" s="362"/>
      <c r="CT185" s="362"/>
      <c r="CU185" s="362"/>
      <c r="CV185" s="362"/>
      <c r="CW185" s="362"/>
      <c r="CX185" s="362"/>
      <c r="CY185" s="362"/>
      <c r="CZ185" s="362"/>
      <c r="DA185" s="362"/>
      <c r="DB185" s="362"/>
      <c r="DC185" s="362"/>
      <c r="DD185" s="362"/>
      <c r="DE185" s="362"/>
      <c r="DF185" s="362"/>
      <c r="DG185" s="362"/>
      <c r="DH185" s="362"/>
      <c r="DI185" s="362"/>
      <c r="DJ185" s="362"/>
      <c r="DK185" s="362"/>
      <c r="DL185" s="362"/>
      <c r="DM185" s="362"/>
      <c r="DN185" s="362"/>
      <c r="DO185" s="362"/>
      <c r="DP185" s="362"/>
      <c r="DQ185" s="362"/>
      <c r="DR185" s="362"/>
      <c r="DS185" s="362"/>
      <c r="DT185" s="363"/>
      <c r="DU185" s="333"/>
      <c r="DV185" s="334"/>
      <c r="DW185" s="334"/>
      <c r="DX185" s="334"/>
      <c r="DY185" s="341"/>
      <c r="HB185" s="164"/>
      <c r="HC185" s="164"/>
      <c r="HD185" s="164"/>
      <c r="HE185" s="164"/>
      <c r="HF185" s="164"/>
      <c r="HG185" s="164"/>
      <c r="HH185" s="164"/>
      <c r="HI185" s="164"/>
      <c r="HJ185" s="164"/>
      <c r="HK185" s="164"/>
      <c r="HL185" s="164"/>
      <c r="HM185" s="164"/>
      <c r="HN185" s="164"/>
      <c r="HO185" s="164"/>
      <c r="HP185" s="164"/>
      <c r="HQ185" s="164"/>
      <c r="HR185" s="164"/>
      <c r="HS185" s="164"/>
      <c r="HT185" s="164"/>
      <c r="HU185" s="164"/>
      <c r="HV185" s="164"/>
      <c r="HW185" s="164"/>
      <c r="HX185" s="164"/>
      <c r="HY185" s="164"/>
      <c r="HZ185" s="164"/>
      <c r="IA185" s="164"/>
      <c r="IB185" s="164"/>
      <c r="IC185" s="164"/>
      <c r="ID185" s="164"/>
      <c r="IE185" s="164"/>
      <c r="IF185" s="164"/>
      <c r="IG185" s="164"/>
      <c r="IH185" s="164"/>
      <c r="II185" s="164"/>
      <c r="IJ185" s="164"/>
      <c r="IK185" s="164"/>
      <c r="IL185" s="164"/>
      <c r="IM185" s="164"/>
      <c r="IN185" s="164"/>
      <c r="OS185" s="164"/>
      <c r="OT185" s="164"/>
      <c r="OU185" s="164"/>
      <c r="OV185" s="164"/>
      <c r="OW185" s="164"/>
      <c r="OX185" s="164"/>
      <c r="OY185" s="164"/>
      <c r="OZ185" s="164"/>
      <c r="PA185" s="164"/>
      <c r="PB185" s="164"/>
      <c r="PC185" s="164"/>
      <c r="PD185" s="164"/>
      <c r="PE185" s="164"/>
      <c r="PF185" s="164"/>
      <c r="PG185" s="164"/>
      <c r="PH185" s="164"/>
      <c r="PI185" s="164"/>
      <c r="PJ185" s="164"/>
      <c r="PK185" s="164"/>
      <c r="QM185" s="172"/>
      <c r="QN185" s="164"/>
      <c r="QQ185" s="165"/>
      <c r="QR185" s="166"/>
      <c r="QS185" s="189"/>
      <c r="QT185" s="189"/>
      <c r="QU185" s="189"/>
      <c r="QV185" s="189"/>
      <c r="QW185" s="190"/>
      <c r="RK185" s="189"/>
      <c r="RL185" s="189"/>
      <c r="RM185" s="189"/>
      <c r="RN185" s="189"/>
      <c r="RO185" s="189"/>
      <c r="RP185" s="190"/>
    </row>
    <row r="186" spans="3:484" ht="5.15" customHeight="1" x14ac:dyDescent="0.35">
      <c r="C186" s="161"/>
      <c r="D186" s="162"/>
      <c r="E186" s="164"/>
      <c r="F186" s="164"/>
      <c r="CF186" s="361"/>
      <c r="CG186" s="362"/>
      <c r="CH186" s="362"/>
      <c r="CI186" s="362"/>
      <c r="CJ186" s="362"/>
      <c r="CK186" s="362"/>
      <c r="CL186" s="362"/>
      <c r="CM186" s="362"/>
      <c r="CN186" s="362"/>
      <c r="CO186" s="362"/>
      <c r="CP186" s="362"/>
      <c r="CQ186" s="362"/>
      <c r="CR186" s="362"/>
      <c r="CS186" s="362"/>
      <c r="CT186" s="362"/>
      <c r="CU186" s="362"/>
      <c r="CV186" s="362"/>
      <c r="CW186" s="362"/>
      <c r="CX186" s="362"/>
      <c r="CY186" s="362"/>
      <c r="CZ186" s="362"/>
      <c r="DA186" s="362"/>
      <c r="DB186" s="362"/>
      <c r="DC186" s="362"/>
      <c r="DD186" s="362"/>
      <c r="DE186" s="362"/>
      <c r="DF186" s="362"/>
      <c r="DG186" s="362"/>
      <c r="DH186" s="362"/>
      <c r="DI186" s="362"/>
      <c r="DJ186" s="362"/>
      <c r="DK186" s="362"/>
      <c r="DL186" s="362"/>
      <c r="DM186" s="362"/>
      <c r="DN186" s="362"/>
      <c r="DO186" s="362"/>
      <c r="DP186" s="362"/>
      <c r="DQ186" s="362"/>
      <c r="DR186" s="362"/>
      <c r="DS186" s="362"/>
      <c r="DT186" s="363"/>
      <c r="DU186" s="333"/>
      <c r="DV186" s="334"/>
      <c r="DW186" s="334"/>
      <c r="DX186" s="334"/>
      <c r="DY186" s="341"/>
      <c r="HB186" s="164"/>
      <c r="HC186" s="164"/>
      <c r="HD186" s="164"/>
      <c r="HE186" s="164"/>
      <c r="HF186" s="164"/>
      <c r="HG186" s="164"/>
      <c r="HH186" s="164"/>
      <c r="HI186" s="164"/>
      <c r="HJ186" s="164"/>
      <c r="HK186" s="164"/>
      <c r="HL186" s="164"/>
      <c r="HM186" s="164"/>
      <c r="HN186" s="164"/>
      <c r="HO186" s="164"/>
      <c r="HP186" s="164"/>
      <c r="HQ186" s="164"/>
      <c r="HR186" s="164"/>
      <c r="HS186" s="164"/>
      <c r="HT186" s="164"/>
      <c r="HU186" s="164"/>
      <c r="HV186" s="164"/>
      <c r="HW186" s="164"/>
      <c r="HX186" s="164"/>
      <c r="HY186" s="164"/>
      <c r="HZ186" s="164"/>
      <c r="IA186" s="164"/>
      <c r="IB186" s="164"/>
      <c r="IC186" s="164"/>
      <c r="ID186" s="164"/>
      <c r="IE186" s="164"/>
      <c r="IF186" s="164"/>
      <c r="IG186" s="164"/>
      <c r="IH186" s="164"/>
      <c r="II186" s="164"/>
      <c r="IJ186" s="164"/>
      <c r="IK186" s="164"/>
      <c r="IL186" s="164"/>
      <c r="IM186" s="164"/>
      <c r="IN186" s="164"/>
      <c r="QM186" s="172"/>
      <c r="QN186" s="164"/>
      <c r="QQ186" s="165"/>
      <c r="QR186" s="166"/>
      <c r="QS186" s="189"/>
      <c r="QT186" s="189"/>
      <c r="QU186" s="189"/>
      <c r="QV186" s="189"/>
      <c r="QW186" s="190"/>
      <c r="RK186" s="189"/>
      <c r="RL186" s="189"/>
      <c r="RM186" s="189"/>
      <c r="RN186" s="189"/>
      <c r="RO186" s="189"/>
      <c r="RP186" s="190"/>
    </row>
    <row r="187" spans="3:484" ht="5.15" customHeight="1" x14ac:dyDescent="0.35">
      <c r="C187" s="161"/>
      <c r="D187" s="162"/>
      <c r="E187" s="164"/>
      <c r="F187" s="164"/>
      <c r="CF187" s="361"/>
      <c r="CG187" s="362"/>
      <c r="CH187" s="362"/>
      <c r="CI187" s="362"/>
      <c r="CJ187" s="362"/>
      <c r="CK187" s="362"/>
      <c r="CL187" s="362"/>
      <c r="CM187" s="362"/>
      <c r="CN187" s="362"/>
      <c r="CO187" s="362"/>
      <c r="CP187" s="362"/>
      <c r="CQ187" s="362"/>
      <c r="CR187" s="362"/>
      <c r="CS187" s="362"/>
      <c r="CT187" s="362"/>
      <c r="CU187" s="362"/>
      <c r="CV187" s="362"/>
      <c r="CW187" s="362"/>
      <c r="CX187" s="362"/>
      <c r="CY187" s="362"/>
      <c r="CZ187" s="362"/>
      <c r="DA187" s="362"/>
      <c r="DB187" s="362"/>
      <c r="DC187" s="362"/>
      <c r="DD187" s="362"/>
      <c r="DE187" s="362"/>
      <c r="DF187" s="362"/>
      <c r="DG187" s="362"/>
      <c r="DH187" s="362"/>
      <c r="DI187" s="362"/>
      <c r="DJ187" s="362"/>
      <c r="DK187" s="362"/>
      <c r="DL187" s="362"/>
      <c r="DM187" s="362"/>
      <c r="DN187" s="362"/>
      <c r="DO187" s="362"/>
      <c r="DP187" s="362"/>
      <c r="DQ187" s="362"/>
      <c r="DR187" s="362"/>
      <c r="DS187" s="362"/>
      <c r="DT187" s="363"/>
      <c r="DU187" s="333"/>
      <c r="DV187" s="334"/>
      <c r="DW187" s="334"/>
      <c r="DX187" s="334"/>
      <c r="DY187" s="341"/>
      <c r="OS187" s="379" t="s">
        <v>303</v>
      </c>
      <c r="OT187" s="380"/>
      <c r="OU187" s="380"/>
      <c r="OV187" s="380"/>
      <c r="OW187" s="380"/>
      <c r="OX187" s="380"/>
      <c r="OY187" s="380"/>
      <c r="OZ187" s="380"/>
      <c r="PA187" s="380"/>
      <c r="PB187" s="380"/>
      <c r="PC187" s="380"/>
      <c r="PD187" s="380"/>
      <c r="PE187" s="380"/>
      <c r="PF187" s="380"/>
      <c r="PG187" s="380"/>
      <c r="PH187" s="380"/>
      <c r="PI187" s="380"/>
      <c r="PJ187" s="380"/>
      <c r="PK187" s="380"/>
      <c r="PL187" s="380"/>
      <c r="PM187" s="380"/>
      <c r="PN187" s="380"/>
      <c r="PO187" s="380"/>
      <c r="PP187" s="380"/>
      <c r="PQ187" s="380"/>
      <c r="PR187" s="380"/>
      <c r="PS187" s="380"/>
      <c r="PT187" s="380"/>
      <c r="PU187" s="380"/>
      <c r="PV187" s="380"/>
      <c r="PW187" s="380"/>
      <c r="PX187" s="380"/>
      <c r="PY187" s="380"/>
      <c r="PZ187" s="380"/>
      <c r="QA187" s="380"/>
      <c r="QB187" s="380"/>
      <c r="QC187" s="380"/>
      <c r="QD187" s="380"/>
      <c r="QE187" s="380"/>
      <c r="QF187" s="381"/>
      <c r="QG187" s="377">
        <f>QG197</f>
        <v>51</v>
      </c>
      <c r="QH187" s="377"/>
      <c r="QI187" s="377"/>
      <c r="QJ187" s="377"/>
      <c r="QK187" s="377"/>
      <c r="QL187" s="377"/>
      <c r="QM187" s="172"/>
      <c r="QN187" s="164"/>
      <c r="QQ187" s="165"/>
      <c r="QR187" s="166"/>
      <c r="QS187" s="189"/>
      <c r="QT187" s="189"/>
      <c r="QU187" s="189"/>
      <c r="QV187" s="189"/>
      <c r="QW187" s="190"/>
      <c r="RK187" s="189"/>
      <c r="RL187" s="189"/>
      <c r="RM187" s="189"/>
      <c r="RN187" s="189"/>
      <c r="RO187" s="189"/>
      <c r="RP187" s="190"/>
    </row>
    <row r="188" spans="3:484" ht="5.15" customHeight="1" x14ac:dyDescent="0.35">
      <c r="C188" s="161"/>
      <c r="D188" s="162"/>
      <c r="E188" s="164"/>
      <c r="F188" s="164"/>
      <c r="CF188" s="361"/>
      <c r="CG188" s="362"/>
      <c r="CH188" s="362"/>
      <c r="CI188" s="362"/>
      <c r="CJ188" s="362"/>
      <c r="CK188" s="362"/>
      <c r="CL188" s="362"/>
      <c r="CM188" s="362"/>
      <c r="CN188" s="362"/>
      <c r="CO188" s="362"/>
      <c r="CP188" s="362"/>
      <c r="CQ188" s="362"/>
      <c r="CR188" s="362"/>
      <c r="CS188" s="362"/>
      <c r="CT188" s="362"/>
      <c r="CU188" s="362"/>
      <c r="CV188" s="362"/>
      <c r="CW188" s="362"/>
      <c r="CX188" s="362"/>
      <c r="CY188" s="362"/>
      <c r="CZ188" s="362"/>
      <c r="DA188" s="362"/>
      <c r="DB188" s="362"/>
      <c r="DC188" s="362"/>
      <c r="DD188" s="362"/>
      <c r="DE188" s="362"/>
      <c r="DF188" s="362"/>
      <c r="DG188" s="362"/>
      <c r="DH188" s="362"/>
      <c r="DI188" s="362"/>
      <c r="DJ188" s="362"/>
      <c r="DK188" s="362"/>
      <c r="DL188" s="362"/>
      <c r="DM188" s="362"/>
      <c r="DN188" s="362"/>
      <c r="DO188" s="362"/>
      <c r="DP188" s="362"/>
      <c r="DQ188" s="362"/>
      <c r="DR188" s="362"/>
      <c r="DS188" s="362"/>
      <c r="DT188" s="363"/>
      <c r="DU188" s="333"/>
      <c r="DV188" s="334"/>
      <c r="DW188" s="334"/>
      <c r="DX188" s="334"/>
      <c r="DY188" s="341"/>
      <c r="OS188" s="382"/>
      <c r="OT188" s="383"/>
      <c r="OU188" s="383"/>
      <c r="OV188" s="383"/>
      <c r="OW188" s="383"/>
      <c r="OX188" s="383"/>
      <c r="OY188" s="383"/>
      <c r="OZ188" s="383"/>
      <c r="PA188" s="383"/>
      <c r="PB188" s="383"/>
      <c r="PC188" s="383"/>
      <c r="PD188" s="383"/>
      <c r="PE188" s="383"/>
      <c r="PF188" s="383"/>
      <c r="PG188" s="383"/>
      <c r="PH188" s="383"/>
      <c r="PI188" s="383"/>
      <c r="PJ188" s="383"/>
      <c r="PK188" s="383"/>
      <c r="PL188" s="383"/>
      <c r="PM188" s="383"/>
      <c r="PN188" s="383"/>
      <c r="PO188" s="383"/>
      <c r="PP188" s="383"/>
      <c r="PQ188" s="383"/>
      <c r="PR188" s="383"/>
      <c r="PS188" s="383"/>
      <c r="PT188" s="383"/>
      <c r="PU188" s="383"/>
      <c r="PV188" s="383"/>
      <c r="PW188" s="383"/>
      <c r="PX188" s="383"/>
      <c r="PY188" s="383"/>
      <c r="PZ188" s="383"/>
      <c r="QA188" s="383"/>
      <c r="QB188" s="383"/>
      <c r="QC188" s="383"/>
      <c r="QD188" s="383"/>
      <c r="QE188" s="383"/>
      <c r="QF188" s="384"/>
      <c r="QG188" s="377"/>
      <c r="QH188" s="377"/>
      <c r="QI188" s="377"/>
      <c r="QJ188" s="377"/>
      <c r="QK188" s="377"/>
      <c r="QL188" s="377"/>
      <c r="QM188" s="172"/>
      <c r="QN188" s="164"/>
      <c r="QQ188" s="165"/>
      <c r="QR188" s="166"/>
      <c r="QS188" s="189"/>
      <c r="QT188" s="189"/>
      <c r="QU188" s="189"/>
      <c r="QV188" s="189"/>
      <c r="QW188" s="190"/>
      <c r="RK188" s="189"/>
      <c r="RL188" s="189"/>
      <c r="RM188" s="189"/>
      <c r="RN188" s="189"/>
      <c r="RO188" s="189"/>
      <c r="RP188" s="190"/>
    </row>
    <row r="189" spans="3:484" ht="5.15" customHeight="1" x14ac:dyDescent="0.35">
      <c r="C189" s="161"/>
      <c r="D189" s="162"/>
      <c r="E189" s="164"/>
      <c r="F189" s="164"/>
      <c r="CF189" s="361"/>
      <c r="CG189" s="362"/>
      <c r="CH189" s="362"/>
      <c r="CI189" s="362"/>
      <c r="CJ189" s="362"/>
      <c r="CK189" s="362"/>
      <c r="CL189" s="362"/>
      <c r="CM189" s="362"/>
      <c r="CN189" s="362"/>
      <c r="CO189" s="362"/>
      <c r="CP189" s="362"/>
      <c r="CQ189" s="362"/>
      <c r="CR189" s="362"/>
      <c r="CS189" s="362"/>
      <c r="CT189" s="362"/>
      <c r="CU189" s="362"/>
      <c r="CV189" s="362"/>
      <c r="CW189" s="362"/>
      <c r="CX189" s="362"/>
      <c r="CY189" s="362"/>
      <c r="CZ189" s="362"/>
      <c r="DA189" s="362"/>
      <c r="DB189" s="362"/>
      <c r="DC189" s="362"/>
      <c r="DD189" s="362"/>
      <c r="DE189" s="362"/>
      <c r="DF189" s="362"/>
      <c r="DG189" s="362"/>
      <c r="DH189" s="362"/>
      <c r="DI189" s="362"/>
      <c r="DJ189" s="362"/>
      <c r="DK189" s="362"/>
      <c r="DL189" s="362"/>
      <c r="DM189" s="362"/>
      <c r="DN189" s="362"/>
      <c r="DO189" s="362"/>
      <c r="DP189" s="362"/>
      <c r="DQ189" s="362"/>
      <c r="DR189" s="362"/>
      <c r="DS189" s="362"/>
      <c r="DT189" s="363"/>
      <c r="DU189" s="333"/>
      <c r="DV189" s="334"/>
      <c r="DW189" s="334"/>
      <c r="DX189" s="334"/>
      <c r="DY189" s="341"/>
      <c r="OS189" s="382"/>
      <c r="OT189" s="383"/>
      <c r="OU189" s="383"/>
      <c r="OV189" s="383"/>
      <c r="OW189" s="383"/>
      <c r="OX189" s="383"/>
      <c r="OY189" s="383"/>
      <c r="OZ189" s="383"/>
      <c r="PA189" s="383"/>
      <c r="PB189" s="383"/>
      <c r="PC189" s="383"/>
      <c r="PD189" s="383"/>
      <c r="PE189" s="383"/>
      <c r="PF189" s="383"/>
      <c r="PG189" s="383"/>
      <c r="PH189" s="383"/>
      <c r="PI189" s="383"/>
      <c r="PJ189" s="383"/>
      <c r="PK189" s="383"/>
      <c r="PL189" s="383"/>
      <c r="PM189" s="383"/>
      <c r="PN189" s="383"/>
      <c r="PO189" s="383"/>
      <c r="PP189" s="383"/>
      <c r="PQ189" s="383"/>
      <c r="PR189" s="383"/>
      <c r="PS189" s="383"/>
      <c r="PT189" s="383"/>
      <c r="PU189" s="383"/>
      <c r="PV189" s="383"/>
      <c r="PW189" s="383"/>
      <c r="PX189" s="383"/>
      <c r="PY189" s="383"/>
      <c r="PZ189" s="383"/>
      <c r="QA189" s="383"/>
      <c r="QB189" s="383"/>
      <c r="QC189" s="383"/>
      <c r="QD189" s="383"/>
      <c r="QE189" s="383"/>
      <c r="QF189" s="384"/>
      <c r="QG189" s="377"/>
      <c r="QH189" s="377"/>
      <c r="QI189" s="377"/>
      <c r="QJ189" s="377"/>
      <c r="QK189" s="377"/>
      <c r="QL189" s="377"/>
      <c r="QM189" s="172"/>
      <c r="QN189" s="164"/>
      <c r="QQ189" s="165"/>
      <c r="QR189" s="166"/>
      <c r="QS189" s="189"/>
      <c r="QT189" s="189"/>
      <c r="QU189" s="189"/>
      <c r="QV189" s="189"/>
      <c r="QW189" s="190"/>
      <c r="RK189" s="189"/>
      <c r="RL189" s="189"/>
      <c r="RM189" s="189"/>
      <c r="RN189" s="189"/>
      <c r="RO189" s="189"/>
      <c r="RP189" s="190"/>
    </row>
    <row r="190" spans="3:484" ht="5.15" customHeight="1" x14ac:dyDescent="0.35">
      <c r="C190" s="161"/>
      <c r="D190" s="162"/>
      <c r="E190" s="164"/>
      <c r="F190" s="164"/>
      <c r="CF190" s="361"/>
      <c r="CG190" s="362"/>
      <c r="CH190" s="362"/>
      <c r="CI190" s="362"/>
      <c r="CJ190" s="362"/>
      <c r="CK190" s="362"/>
      <c r="CL190" s="362"/>
      <c r="CM190" s="362"/>
      <c r="CN190" s="362"/>
      <c r="CO190" s="362"/>
      <c r="CP190" s="362"/>
      <c r="CQ190" s="362"/>
      <c r="CR190" s="362"/>
      <c r="CS190" s="362"/>
      <c r="CT190" s="362"/>
      <c r="CU190" s="362"/>
      <c r="CV190" s="362"/>
      <c r="CW190" s="362"/>
      <c r="CX190" s="362"/>
      <c r="CY190" s="362"/>
      <c r="CZ190" s="362"/>
      <c r="DA190" s="362"/>
      <c r="DB190" s="362"/>
      <c r="DC190" s="362"/>
      <c r="DD190" s="362"/>
      <c r="DE190" s="362"/>
      <c r="DF190" s="362"/>
      <c r="DG190" s="362"/>
      <c r="DH190" s="362"/>
      <c r="DI190" s="362"/>
      <c r="DJ190" s="362"/>
      <c r="DK190" s="362"/>
      <c r="DL190" s="362"/>
      <c r="DM190" s="362"/>
      <c r="DN190" s="362"/>
      <c r="DO190" s="362"/>
      <c r="DP190" s="362"/>
      <c r="DQ190" s="362"/>
      <c r="DR190" s="362"/>
      <c r="DS190" s="362"/>
      <c r="DT190" s="363"/>
      <c r="DU190" s="333"/>
      <c r="DV190" s="334"/>
      <c r="DW190" s="334"/>
      <c r="DX190" s="334"/>
      <c r="DY190" s="341"/>
      <c r="OS190" s="382"/>
      <c r="OT190" s="383"/>
      <c r="OU190" s="383"/>
      <c r="OV190" s="383"/>
      <c r="OW190" s="383"/>
      <c r="OX190" s="383"/>
      <c r="OY190" s="383"/>
      <c r="OZ190" s="383"/>
      <c r="PA190" s="383"/>
      <c r="PB190" s="383"/>
      <c r="PC190" s="383"/>
      <c r="PD190" s="383"/>
      <c r="PE190" s="383"/>
      <c r="PF190" s="383"/>
      <c r="PG190" s="383"/>
      <c r="PH190" s="383"/>
      <c r="PI190" s="383"/>
      <c r="PJ190" s="383"/>
      <c r="PK190" s="383"/>
      <c r="PL190" s="383"/>
      <c r="PM190" s="383"/>
      <c r="PN190" s="383"/>
      <c r="PO190" s="383"/>
      <c r="PP190" s="383"/>
      <c r="PQ190" s="383"/>
      <c r="PR190" s="383"/>
      <c r="PS190" s="383"/>
      <c r="PT190" s="383"/>
      <c r="PU190" s="383"/>
      <c r="PV190" s="383"/>
      <c r="PW190" s="383"/>
      <c r="PX190" s="383"/>
      <c r="PY190" s="383"/>
      <c r="PZ190" s="383"/>
      <c r="QA190" s="383"/>
      <c r="QB190" s="383"/>
      <c r="QC190" s="383"/>
      <c r="QD190" s="383"/>
      <c r="QE190" s="383"/>
      <c r="QF190" s="384"/>
      <c r="QG190" s="377"/>
      <c r="QH190" s="377"/>
      <c r="QI190" s="377"/>
      <c r="QJ190" s="377"/>
      <c r="QK190" s="377"/>
      <c r="QL190" s="377"/>
      <c r="QM190" s="172"/>
      <c r="QN190" s="164"/>
      <c r="QQ190" s="165"/>
      <c r="QR190" s="166"/>
    </row>
    <row r="191" spans="3:484" ht="5.15" customHeight="1" x14ac:dyDescent="0.35">
      <c r="C191" s="161"/>
      <c r="D191" s="162"/>
      <c r="E191" s="164"/>
      <c r="F191" s="164"/>
      <c r="CF191" s="361"/>
      <c r="CG191" s="362"/>
      <c r="CH191" s="362"/>
      <c r="CI191" s="362"/>
      <c r="CJ191" s="362"/>
      <c r="CK191" s="362"/>
      <c r="CL191" s="362"/>
      <c r="CM191" s="362"/>
      <c r="CN191" s="362"/>
      <c r="CO191" s="362"/>
      <c r="CP191" s="362"/>
      <c r="CQ191" s="362"/>
      <c r="CR191" s="362"/>
      <c r="CS191" s="362"/>
      <c r="CT191" s="362"/>
      <c r="CU191" s="362"/>
      <c r="CV191" s="362"/>
      <c r="CW191" s="362"/>
      <c r="CX191" s="362"/>
      <c r="CY191" s="362"/>
      <c r="CZ191" s="362"/>
      <c r="DA191" s="362"/>
      <c r="DB191" s="362"/>
      <c r="DC191" s="362"/>
      <c r="DD191" s="362"/>
      <c r="DE191" s="362"/>
      <c r="DF191" s="362"/>
      <c r="DG191" s="362"/>
      <c r="DH191" s="362"/>
      <c r="DI191" s="362"/>
      <c r="DJ191" s="362"/>
      <c r="DK191" s="362"/>
      <c r="DL191" s="362"/>
      <c r="DM191" s="362"/>
      <c r="DN191" s="362"/>
      <c r="DO191" s="362"/>
      <c r="DP191" s="362"/>
      <c r="DQ191" s="362"/>
      <c r="DR191" s="362"/>
      <c r="DS191" s="362"/>
      <c r="DT191" s="363"/>
      <c r="DU191" s="333"/>
      <c r="DV191" s="334"/>
      <c r="DW191" s="334"/>
      <c r="DX191" s="334"/>
      <c r="DY191" s="341"/>
      <c r="OS191" s="382"/>
      <c r="OT191" s="383"/>
      <c r="OU191" s="383"/>
      <c r="OV191" s="383"/>
      <c r="OW191" s="383"/>
      <c r="OX191" s="383"/>
      <c r="OY191" s="383"/>
      <c r="OZ191" s="383"/>
      <c r="PA191" s="383"/>
      <c r="PB191" s="383"/>
      <c r="PC191" s="383"/>
      <c r="PD191" s="383"/>
      <c r="PE191" s="383"/>
      <c r="PF191" s="383"/>
      <c r="PG191" s="383"/>
      <c r="PH191" s="383"/>
      <c r="PI191" s="383"/>
      <c r="PJ191" s="383"/>
      <c r="PK191" s="383"/>
      <c r="PL191" s="383"/>
      <c r="PM191" s="383"/>
      <c r="PN191" s="383"/>
      <c r="PO191" s="383"/>
      <c r="PP191" s="383"/>
      <c r="PQ191" s="383"/>
      <c r="PR191" s="383"/>
      <c r="PS191" s="383"/>
      <c r="PT191" s="383"/>
      <c r="PU191" s="383"/>
      <c r="PV191" s="383"/>
      <c r="PW191" s="383"/>
      <c r="PX191" s="383"/>
      <c r="PY191" s="383"/>
      <c r="PZ191" s="383"/>
      <c r="QA191" s="383"/>
      <c r="QB191" s="383"/>
      <c r="QC191" s="383"/>
      <c r="QD191" s="383"/>
      <c r="QE191" s="383"/>
      <c r="QF191" s="384"/>
      <c r="QG191" s="377"/>
      <c r="QH191" s="377"/>
      <c r="QI191" s="377"/>
      <c r="QJ191" s="377"/>
      <c r="QK191" s="377"/>
      <c r="QL191" s="377"/>
      <c r="QM191" s="172"/>
      <c r="QN191" s="164"/>
      <c r="QQ191" s="165"/>
      <c r="QR191" s="166"/>
    </row>
    <row r="192" spans="3:484" ht="5.15" customHeight="1" x14ac:dyDescent="0.35">
      <c r="C192" s="161"/>
      <c r="D192" s="162"/>
      <c r="E192" s="164"/>
      <c r="F192" s="164"/>
      <c r="CF192" s="364"/>
      <c r="CG192" s="365"/>
      <c r="CH192" s="365"/>
      <c r="CI192" s="365"/>
      <c r="CJ192" s="365"/>
      <c r="CK192" s="365"/>
      <c r="CL192" s="365"/>
      <c r="CM192" s="365"/>
      <c r="CN192" s="365"/>
      <c r="CO192" s="365"/>
      <c r="CP192" s="365"/>
      <c r="CQ192" s="365"/>
      <c r="CR192" s="365"/>
      <c r="CS192" s="365"/>
      <c r="CT192" s="365"/>
      <c r="CU192" s="365"/>
      <c r="CV192" s="365"/>
      <c r="CW192" s="365"/>
      <c r="CX192" s="365"/>
      <c r="CY192" s="365"/>
      <c r="CZ192" s="365"/>
      <c r="DA192" s="365"/>
      <c r="DB192" s="365"/>
      <c r="DC192" s="365"/>
      <c r="DD192" s="365"/>
      <c r="DE192" s="365"/>
      <c r="DF192" s="365"/>
      <c r="DG192" s="365"/>
      <c r="DH192" s="365"/>
      <c r="DI192" s="365"/>
      <c r="DJ192" s="365"/>
      <c r="DK192" s="365"/>
      <c r="DL192" s="365"/>
      <c r="DM192" s="365"/>
      <c r="DN192" s="365"/>
      <c r="DO192" s="365"/>
      <c r="DP192" s="365"/>
      <c r="DQ192" s="365"/>
      <c r="DR192" s="365"/>
      <c r="DS192" s="365"/>
      <c r="DT192" s="366"/>
      <c r="DU192" s="336"/>
      <c r="DV192" s="337"/>
      <c r="DW192" s="337"/>
      <c r="DX192" s="337"/>
      <c r="DY192" s="342"/>
      <c r="OS192" s="382"/>
      <c r="OT192" s="383"/>
      <c r="OU192" s="383"/>
      <c r="OV192" s="383"/>
      <c r="OW192" s="383"/>
      <c r="OX192" s="383"/>
      <c r="OY192" s="383"/>
      <c r="OZ192" s="383"/>
      <c r="PA192" s="383"/>
      <c r="PB192" s="383"/>
      <c r="PC192" s="383"/>
      <c r="PD192" s="383"/>
      <c r="PE192" s="383"/>
      <c r="PF192" s="383"/>
      <c r="PG192" s="383"/>
      <c r="PH192" s="383"/>
      <c r="PI192" s="383"/>
      <c r="PJ192" s="383"/>
      <c r="PK192" s="383"/>
      <c r="PL192" s="383"/>
      <c r="PM192" s="383"/>
      <c r="PN192" s="383"/>
      <c r="PO192" s="383"/>
      <c r="PP192" s="383"/>
      <c r="PQ192" s="383"/>
      <c r="PR192" s="383"/>
      <c r="PS192" s="383"/>
      <c r="PT192" s="383"/>
      <c r="PU192" s="383"/>
      <c r="PV192" s="383"/>
      <c r="PW192" s="383"/>
      <c r="PX192" s="383"/>
      <c r="PY192" s="383"/>
      <c r="PZ192" s="383"/>
      <c r="QA192" s="383"/>
      <c r="QB192" s="383"/>
      <c r="QC192" s="383"/>
      <c r="QD192" s="383"/>
      <c r="QE192" s="383"/>
      <c r="QF192" s="384"/>
      <c r="QG192" s="377"/>
      <c r="QH192" s="377"/>
      <c r="QI192" s="377"/>
      <c r="QJ192" s="377"/>
      <c r="QK192" s="377"/>
      <c r="QL192" s="377"/>
      <c r="QM192" s="172"/>
      <c r="QN192" s="164"/>
      <c r="QQ192" s="165"/>
      <c r="QR192" s="166"/>
      <c r="QS192" s="189"/>
      <c r="QT192" s="189"/>
      <c r="QU192" s="189"/>
      <c r="QV192" s="189"/>
      <c r="QW192" s="190"/>
      <c r="RK192" s="189"/>
      <c r="RL192" s="189"/>
      <c r="RM192" s="189"/>
      <c r="RN192" s="189"/>
      <c r="RO192" s="189"/>
      <c r="RP192" s="190"/>
    </row>
    <row r="193" spans="3:484" ht="5.15" customHeight="1" x14ac:dyDescent="0.35">
      <c r="C193" s="161"/>
      <c r="D193" s="162"/>
      <c r="E193" s="164"/>
      <c r="F193" s="164"/>
      <c r="CF193" s="330" t="s">
        <v>228</v>
      </c>
      <c r="CG193" s="331"/>
      <c r="CH193" s="331"/>
      <c r="CI193" s="331"/>
      <c r="CJ193" s="331"/>
      <c r="CK193" s="331"/>
      <c r="CL193" s="331"/>
      <c r="CM193" s="331"/>
      <c r="CN193" s="331"/>
      <c r="CO193" s="331"/>
      <c r="CP193" s="331"/>
      <c r="CQ193" s="331"/>
      <c r="CR193" s="331"/>
      <c r="CS193" s="331"/>
      <c r="CT193" s="331"/>
      <c r="CU193" s="331"/>
      <c r="CV193" s="331"/>
      <c r="CW193" s="331"/>
      <c r="CX193" s="331"/>
      <c r="CY193" s="331"/>
      <c r="CZ193" s="331"/>
      <c r="DA193" s="331"/>
      <c r="DB193" s="331"/>
      <c r="DC193" s="331"/>
      <c r="DD193" s="331"/>
      <c r="DE193" s="331"/>
      <c r="DF193" s="331"/>
      <c r="DG193" s="331"/>
      <c r="DH193" s="331"/>
      <c r="DI193" s="331"/>
      <c r="DJ193" s="331"/>
      <c r="DK193" s="331"/>
      <c r="DL193" s="331"/>
      <c r="DM193" s="331"/>
      <c r="DN193" s="331"/>
      <c r="DO193" s="331"/>
      <c r="DP193" s="331"/>
      <c r="DQ193" s="331"/>
      <c r="DR193" s="331"/>
      <c r="DS193" s="331"/>
      <c r="DT193" s="340"/>
      <c r="DU193" s="330">
        <v>1</v>
      </c>
      <c r="DV193" s="331"/>
      <c r="DW193" s="331"/>
      <c r="DX193" s="331"/>
      <c r="DY193" s="340"/>
      <c r="OS193" s="382"/>
      <c r="OT193" s="383"/>
      <c r="OU193" s="383"/>
      <c r="OV193" s="383"/>
      <c r="OW193" s="383"/>
      <c r="OX193" s="383"/>
      <c r="OY193" s="383"/>
      <c r="OZ193" s="383"/>
      <c r="PA193" s="383"/>
      <c r="PB193" s="383"/>
      <c r="PC193" s="383"/>
      <c r="PD193" s="383"/>
      <c r="PE193" s="383"/>
      <c r="PF193" s="383"/>
      <c r="PG193" s="383"/>
      <c r="PH193" s="383"/>
      <c r="PI193" s="383"/>
      <c r="PJ193" s="383"/>
      <c r="PK193" s="383"/>
      <c r="PL193" s="383"/>
      <c r="PM193" s="383"/>
      <c r="PN193" s="383"/>
      <c r="PO193" s="383"/>
      <c r="PP193" s="383"/>
      <c r="PQ193" s="383"/>
      <c r="PR193" s="383"/>
      <c r="PS193" s="383"/>
      <c r="PT193" s="383"/>
      <c r="PU193" s="383"/>
      <c r="PV193" s="383"/>
      <c r="PW193" s="383"/>
      <c r="PX193" s="383"/>
      <c r="PY193" s="383"/>
      <c r="PZ193" s="383"/>
      <c r="QA193" s="383"/>
      <c r="QB193" s="383"/>
      <c r="QC193" s="383"/>
      <c r="QD193" s="383"/>
      <c r="QE193" s="383"/>
      <c r="QF193" s="384"/>
      <c r="QG193" s="377"/>
      <c r="QH193" s="377"/>
      <c r="QI193" s="377"/>
      <c r="QJ193" s="377"/>
      <c r="QK193" s="377"/>
      <c r="QL193" s="377"/>
      <c r="QM193" s="172"/>
      <c r="QN193" s="164"/>
      <c r="QQ193" s="165"/>
      <c r="QR193" s="166"/>
      <c r="QS193" s="189"/>
      <c r="QT193" s="189"/>
      <c r="QU193" s="189"/>
      <c r="QV193" s="189"/>
      <c r="QW193" s="190"/>
      <c r="RK193" s="189"/>
      <c r="RL193" s="189"/>
      <c r="RM193" s="189"/>
      <c r="RN193" s="189"/>
      <c r="RO193" s="189"/>
      <c r="RP193" s="190"/>
    </row>
    <row r="194" spans="3:484" ht="5.15" customHeight="1" x14ac:dyDescent="0.35">
      <c r="C194" s="161"/>
      <c r="D194" s="162"/>
      <c r="E194" s="164"/>
      <c r="F194" s="164"/>
      <c r="CF194" s="333"/>
      <c r="CG194" s="334"/>
      <c r="CH194" s="334"/>
      <c r="CI194" s="334"/>
      <c r="CJ194" s="334"/>
      <c r="CK194" s="334"/>
      <c r="CL194" s="334"/>
      <c r="CM194" s="334"/>
      <c r="CN194" s="334"/>
      <c r="CO194" s="334"/>
      <c r="CP194" s="334"/>
      <c r="CQ194" s="334"/>
      <c r="CR194" s="334"/>
      <c r="CS194" s="334"/>
      <c r="CT194" s="334"/>
      <c r="CU194" s="334"/>
      <c r="CV194" s="334"/>
      <c r="CW194" s="334"/>
      <c r="CX194" s="334"/>
      <c r="CY194" s="334"/>
      <c r="CZ194" s="334"/>
      <c r="DA194" s="334"/>
      <c r="DB194" s="334"/>
      <c r="DC194" s="334"/>
      <c r="DD194" s="334"/>
      <c r="DE194" s="334"/>
      <c r="DF194" s="334"/>
      <c r="DG194" s="334"/>
      <c r="DH194" s="334"/>
      <c r="DI194" s="334"/>
      <c r="DJ194" s="334"/>
      <c r="DK194" s="334"/>
      <c r="DL194" s="334"/>
      <c r="DM194" s="334"/>
      <c r="DN194" s="334"/>
      <c r="DO194" s="334"/>
      <c r="DP194" s="334"/>
      <c r="DQ194" s="334"/>
      <c r="DR194" s="334"/>
      <c r="DS194" s="334"/>
      <c r="DT194" s="341"/>
      <c r="DU194" s="333"/>
      <c r="DV194" s="334"/>
      <c r="DW194" s="334"/>
      <c r="DX194" s="334"/>
      <c r="DY194" s="341"/>
      <c r="OS194" s="382"/>
      <c r="OT194" s="383"/>
      <c r="OU194" s="383"/>
      <c r="OV194" s="383"/>
      <c r="OW194" s="383"/>
      <c r="OX194" s="383"/>
      <c r="OY194" s="383"/>
      <c r="OZ194" s="383"/>
      <c r="PA194" s="383"/>
      <c r="PB194" s="383"/>
      <c r="PC194" s="383"/>
      <c r="PD194" s="383"/>
      <c r="PE194" s="383"/>
      <c r="PF194" s="383"/>
      <c r="PG194" s="383"/>
      <c r="PH194" s="383"/>
      <c r="PI194" s="383"/>
      <c r="PJ194" s="383"/>
      <c r="PK194" s="383"/>
      <c r="PL194" s="383"/>
      <c r="PM194" s="383"/>
      <c r="PN194" s="383"/>
      <c r="PO194" s="383"/>
      <c r="PP194" s="383"/>
      <c r="PQ194" s="383"/>
      <c r="PR194" s="383"/>
      <c r="PS194" s="383"/>
      <c r="PT194" s="383"/>
      <c r="PU194" s="383"/>
      <c r="PV194" s="383"/>
      <c r="PW194" s="383"/>
      <c r="PX194" s="383"/>
      <c r="PY194" s="383"/>
      <c r="PZ194" s="383"/>
      <c r="QA194" s="383"/>
      <c r="QB194" s="383"/>
      <c r="QC194" s="383"/>
      <c r="QD194" s="383"/>
      <c r="QE194" s="383"/>
      <c r="QF194" s="384"/>
      <c r="QG194" s="377"/>
      <c r="QH194" s="377"/>
      <c r="QI194" s="377"/>
      <c r="QJ194" s="377"/>
      <c r="QK194" s="377"/>
      <c r="QL194" s="377"/>
      <c r="QM194" s="172"/>
      <c r="QN194" s="164"/>
      <c r="QQ194" s="165"/>
      <c r="QR194" s="166"/>
      <c r="QS194" s="189"/>
      <c r="QT194" s="189"/>
      <c r="QU194" s="189"/>
      <c r="QV194" s="189"/>
      <c r="QW194" s="190"/>
      <c r="RK194" s="189"/>
      <c r="RL194" s="189"/>
      <c r="RM194" s="189"/>
      <c r="RN194" s="189"/>
      <c r="RO194" s="189"/>
      <c r="RP194" s="190"/>
    </row>
    <row r="195" spans="3:484" ht="5.15" customHeight="1" x14ac:dyDescent="0.35">
      <c r="C195" s="161"/>
      <c r="D195" s="162"/>
      <c r="E195" s="164"/>
      <c r="F195" s="164"/>
      <c r="CF195" s="333"/>
      <c r="CG195" s="334"/>
      <c r="CH195" s="334"/>
      <c r="CI195" s="334"/>
      <c r="CJ195" s="334"/>
      <c r="CK195" s="334"/>
      <c r="CL195" s="334"/>
      <c r="CM195" s="334"/>
      <c r="CN195" s="334"/>
      <c r="CO195" s="334"/>
      <c r="CP195" s="334"/>
      <c r="CQ195" s="334"/>
      <c r="CR195" s="334"/>
      <c r="CS195" s="334"/>
      <c r="CT195" s="334"/>
      <c r="CU195" s="334"/>
      <c r="CV195" s="334"/>
      <c r="CW195" s="334"/>
      <c r="CX195" s="334"/>
      <c r="CY195" s="334"/>
      <c r="CZ195" s="334"/>
      <c r="DA195" s="334"/>
      <c r="DB195" s="334"/>
      <c r="DC195" s="334"/>
      <c r="DD195" s="334"/>
      <c r="DE195" s="334"/>
      <c r="DF195" s="334"/>
      <c r="DG195" s="334"/>
      <c r="DH195" s="334"/>
      <c r="DI195" s="334"/>
      <c r="DJ195" s="334"/>
      <c r="DK195" s="334"/>
      <c r="DL195" s="334"/>
      <c r="DM195" s="334"/>
      <c r="DN195" s="334"/>
      <c r="DO195" s="334"/>
      <c r="DP195" s="334"/>
      <c r="DQ195" s="334"/>
      <c r="DR195" s="334"/>
      <c r="DS195" s="334"/>
      <c r="DT195" s="341"/>
      <c r="DU195" s="333"/>
      <c r="DV195" s="334"/>
      <c r="DW195" s="334"/>
      <c r="DX195" s="334"/>
      <c r="DY195" s="341"/>
      <c r="OS195" s="382"/>
      <c r="OT195" s="383"/>
      <c r="OU195" s="383"/>
      <c r="OV195" s="383"/>
      <c r="OW195" s="383"/>
      <c r="OX195" s="383"/>
      <c r="OY195" s="383"/>
      <c r="OZ195" s="383"/>
      <c r="PA195" s="383"/>
      <c r="PB195" s="383"/>
      <c r="PC195" s="383"/>
      <c r="PD195" s="383"/>
      <c r="PE195" s="383"/>
      <c r="PF195" s="383"/>
      <c r="PG195" s="383"/>
      <c r="PH195" s="383"/>
      <c r="PI195" s="383"/>
      <c r="PJ195" s="383"/>
      <c r="PK195" s="383"/>
      <c r="PL195" s="383"/>
      <c r="PM195" s="383"/>
      <c r="PN195" s="383"/>
      <c r="PO195" s="383"/>
      <c r="PP195" s="383"/>
      <c r="PQ195" s="383"/>
      <c r="PR195" s="383"/>
      <c r="PS195" s="383"/>
      <c r="PT195" s="383"/>
      <c r="PU195" s="383"/>
      <c r="PV195" s="383"/>
      <c r="PW195" s="383"/>
      <c r="PX195" s="383"/>
      <c r="PY195" s="383"/>
      <c r="PZ195" s="383"/>
      <c r="QA195" s="383"/>
      <c r="QB195" s="383"/>
      <c r="QC195" s="383"/>
      <c r="QD195" s="383"/>
      <c r="QE195" s="383"/>
      <c r="QF195" s="384"/>
      <c r="QG195" s="377"/>
      <c r="QH195" s="377"/>
      <c r="QI195" s="377"/>
      <c r="QJ195" s="377"/>
      <c r="QK195" s="377"/>
      <c r="QL195" s="377"/>
      <c r="QM195" s="172"/>
      <c r="QN195" s="164"/>
      <c r="QQ195" s="165"/>
      <c r="QR195" s="166"/>
      <c r="QS195" s="189"/>
      <c r="QT195" s="189"/>
      <c r="QU195" s="189"/>
      <c r="QV195" s="189"/>
      <c r="QW195" s="190"/>
      <c r="RK195" s="189"/>
      <c r="RL195" s="189"/>
      <c r="RM195" s="189"/>
      <c r="RN195" s="189"/>
      <c r="RO195" s="189"/>
      <c r="RP195" s="190"/>
    </row>
    <row r="196" spans="3:484" ht="5.15" customHeight="1" thickBot="1" x14ac:dyDescent="0.4">
      <c r="C196" s="161"/>
      <c r="D196" s="162"/>
      <c r="E196" s="164"/>
      <c r="F196" s="164"/>
      <c r="CF196" s="333"/>
      <c r="CG196" s="334"/>
      <c r="CH196" s="334"/>
      <c r="CI196" s="334"/>
      <c r="CJ196" s="334"/>
      <c r="CK196" s="334"/>
      <c r="CL196" s="334"/>
      <c r="CM196" s="334"/>
      <c r="CN196" s="334"/>
      <c r="CO196" s="334"/>
      <c r="CP196" s="334"/>
      <c r="CQ196" s="334"/>
      <c r="CR196" s="334"/>
      <c r="CS196" s="334"/>
      <c r="CT196" s="334"/>
      <c r="CU196" s="334"/>
      <c r="CV196" s="334"/>
      <c r="CW196" s="334"/>
      <c r="CX196" s="334"/>
      <c r="CY196" s="334"/>
      <c r="CZ196" s="334"/>
      <c r="DA196" s="334"/>
      <c r="DB196" s="334"/>
      <c r="DC196" s="334"/>
      <c r="DD196" s="334"/>
      <c r="DE196" s="334"/>
      <c r="DF196" s="334"/>
      <c r="DG196" s="334"/>
      <c r="DH196" s="334"/>
      <c r="DI196" s="334"/>
      <c r="DJ196" s="334"/>
      <c r="DK196" s="334"/>
      <c r="DL196" s="334"/>
      <c r="DM196" s="334"/>
      <c r="DN196" s="334"/>
      <c r="DO196" s="334"/>
      <c r="DP196" s="334"/>
      <c r="DQ196" s="334"/>
      <c r="DR196" s="334"/>
      <c r="DS196" s="334"/>
      <c r="DT196" s="341"/>
      <c r="DU196" s="333"/>
      <c r="DV196" s="334"/>
      <c r="DW196" s="334"/>
      <c r="DX196" s="334"/>
      <c r="DY196" s="341"/>
      <c r="OS196" s="385"/>
      <c r="OT196" s="386"/>
      <c r="OU196" s="386"/>
      <c r="OV196" s="386"/>
      <c r="OW196" s="386"/>
      <c r="OX196" s="386"/>
      <c r="OY196" s="386"/>
      <c r="OZ196" s="386"/>
      <c r="PA196" s="386"/>
      <c r="PB196" s="386"/>
      <c r="PC196" s="386"/>
      <c r="PD196" s="386"/>
      <c r="PE196" s="386"/>
      <c r="PF196" s="386"/>
      <c r="PG196" s="386"/>
      <c r="PH196" s="386"/>
      <c r="PI196" s="386"/>
      <c r="PJ196" s="386"/>
      <c r="PK196" s="386"/>
      <c r="PL196" s="386"/>
      <c r="PM196" s="386"/>
      <c r="PN196" s="386"/>
      <c r="PO196" s="386"/>
      <c r="PP196" s="386"/>
      <c r="PQ196" s="386"/>
      <c r="PR196" s="386"/>
      <c r="PS196" s="386"/>
      <c r="PT196" s="386"/>
      <c r="PU196" s="386"/>
      <c r="PV196" s="386"/>
      <c r="PW196" s="386"/>
      <c r="PX196" s="386"/>
      <c r="PY196" s="386"/>
      <c r="PZ196" s="386"/>
      <c r="QA196" s="386"/>
      <c r="QB196" s="386"/>
      <c r="QC196" s="386"/>
      <c r="QD196" s="386"/>
      <c r="QE196" s="386"/>
      <c r="QF196" s="387"/>
      <c r="QG196" s="377"/>
      <c r="QH196" s="377"/>
      <c r="QI196" s="377"/>
      <c r="QJ196" s="377"/>
      <c r="QK196" s="377"/>
      <c r="QL196" s="377"/>
      <c r="QM196" s="202"/>
      <c r="QN196" s="164"/>
      <c r="QQ196" s="165"/>
      <c r="QR196" s="166"/>
      <c r="QS196" s="189"/>
      <c r="QT196" s="189"/>
      <c r="QU196" s="189"/>
      <c r="QV196" s="189"/>
      <c r="QW196" s="190"/>
      <c r="RK196" s="189"/>
      <c r="RL196" s="189"/>
      <c r="RM196" s="189"/>
      <c r="RN196" s="189"/>
      <c r="RO196" s="189"/>
      <c r="RP196" s="190"/>
    </row>
    <row r="197" spans="3:484" ht="5.15" customHeight="1" x14ac:dyDescent="0.35">
      <c r="C197" s="161"/>
      <c r="D197" s="162"/>
      <c r="E197" s="164"/>
      <c r="F197" s="164"/>
      <c r="CF197" s="333"/>
      <c r="CG197" s="334"/>
      <c r="CH197" s="334"/>
      <c r="CI197" s="334"/>
      <c r="CJ197" s="334"/>
      <c r="CK197" s="334"/>
      <c r="CL197" s="334"/>
      <c r="CM197" s="334"/>
      <c r="CN197" s="334"/>
      <c r="CO197" s="334"/>
      <c r="CP197" s="334"/>
      <c r="CQ197" s="334"/>
      <c r="CR197" s="334"/>
      <c r="CS197" s="334"/>
      <c r="CT197" s="334"/>
      <c r="CU197" s="334"/>
      <c r="CV197" s="334"/>
      <c r="CW197" s="334"/>
      <c r="CX197" s="334"/>
      <c r="CY197" s="334"/>
      <c r="CZ197" s="334"/>
      <c r="DA197" s="334"/>
      <c r="DB197" s="334"/>
      <c r="DC197" s="334"/>
      <c r="DD197" s="334"/>
      <c r="DE197" s="334"/>
      <c r="DF197" s="334"/>
      <c r="DG197" s="334"/>
      <c r="DH197" s="334"/>
      <c r="DI197" s="334"/>
      <c r="DJ197" s="334"/>
      <c r="DK197" s="334"/>
      <c r="DL197" s="334"/>
      <c r="DM197" s="334"/>
      <c r="DN197" s="334"/>
      <c r="DO197" s="334"/>
      <c r="DP197" s="334"/>
      <c r="DQ197" s="334"/>
      <c r="DR197" s="334"/>
      <c r="DS197" s="334"/>
      <c r="DT197" s="341"/>
      <c r="DU197" s="333"/>
      <c r="DV197" s="334"/>
      <c r="DW197" s="334"/>
      <c r="DX197" s="334"/>
      <c r="DY197" s="341"/>
      <c r="OS197" s="358" t="s">
        <v>304</v>
      </c>
      <c r="OT197" s="359"/>
      <c r="OU197" s="359"/>
      <c r="OV197" s="359"/>
      <c r="OW197" s="359"/>
      <c r="OX197" s="359"/>
      <c r="OY197" s="359"/>
      <c r="OZ197" s="359"/>
      <c r="PA197" s="359"/>
      <c r="PB197" s="359"/>
      <c r="PC197" s="359"/>
      <c r="PD197" s="359"/>
      <c r="PE197" s="359"/>
      <c r="PF197" s="359"/>
      <c r="PG197" s="359"/>
      <c r="PH197" s="359"/>
      <c r="PI197" s="359"/>
      <c r="PJ197" s="359"/>
      <c r="PK197" s="359"/>
      <c r="PL197" s="359"/>
      <c r="PM197" s="359"/>
      <c r="PN197" s="359"/>
      <c r="PO197" s="359"/>
      <c r="PP197" s="359"/>
      <c r="PQ197" s="359"/>
      <c r="PR197" s="359"/>
      <c r="PS197" s="359"/>
      <c r="PT197" s="359"/>
      <c r="PU197" s="359"/>
      <c r="PV197" s="359"/>
      <c r="PW197" s="359"/>
      <c r="PX197" s="359"/>
      <c r="PY197" s="359"/>
      <c r="PZ197" s="359"/>
      <c r="QA197" s="359"/>
      <c r="QB197" s="359"/>
      <c r="QC197" s="359"/>
      <c r="QD197" s="359"/>
      <c r="QE197" s="359"/>
      <c r="QF197" s="360"/>
      <c r="QG197" s="330">
        <v>51</v>
      </c>
      <c r="QH197" s="331"/>
      <c r="QI197" s="331"/>
      <c r="QJ197" s="331"/>
      <c r="QK197" s="331"/>
      <c r="QL197" s="340"/>
      <c r="QQ197" s="165"/>
      <c r="QR197" s="166"/>
      <c r="QS197" s="189"/>
      <c r="QT197" s="189"/>
      <c r="QU197" s="189"/>
      <c r="QV197" s="189"/>
      <c r="QW197" s="190"/>
      <c r="RK197" s="189"/>
      <c r="RL197" s="189"/>
      <c r="RM197" s="189"/>
      <c r="RN197" s="189"/>
      <c r="RO197" s="189"/>
      <c r="RP197" s="190"/>
    </row>
    <row r="198" spans="3:484" ht="5.15" customHeight="1" x14ac:dyDescent="0.35">
      <c r="C198" s="161"/>
      <c r="D198" s="162"/>
      <c r="E198" s="164"/>
      <c r="F198" s="164"/>
      <c r="CF198" s="333"/>
      <c r="CG198" s="334"/>
      <c r="CH198" s="334"/>
      <c r="CI198" s="334"/>
      <c r="CJ198" s="334"/>
      <c r="CK198" s="334"/>
      <c r="CL198" s="334"/>
      <c r="CM198" s="334"/>
      <c r="CN198" s="334"/>
      <c r="CO198" s="334"/>
      <c r="CP198" s="334"/>
      <c r="CQ198" s="334"/>
      <c r="CR198" s="334"/>
      <c r="CS198" s="334"/>
      <c r="CT198" s="334"/>
      <c r="CU198" s="334"/>
      <c r="CV198" s="334"/>
      <c r="CW198" s="334"/>
      <c r="CX198" s="334"/>
      <c r="CY198" s="334"/>
      <c r="CZ198" s="334"/>
      <c r="DA198" s="334"/>
      <c r="DB198" s="334"/>
      <c r="DC198" s="334"/>
      <c r="DD198" s="334"/>
      <c r="DE198" s="334"/>
      <c r="DF198" s="334"/>
      <c r="DG198" s="334"/>
      <c r="DH198" s="334"/>
      <c r="DI198" s="334"/>
      <c r="DJ198" s="334"/>
      <c r="DK198" s="334"/>
      <c r="DL198" s="334"/>
      <c r="DM198" s="334"/>
      <c r="DN198" s="334"/>
      <c r="DO198" s="334"/>
      <c r="DP198" s="334"/>
      <c r="DQ198" s="334"/>
      <c r="DR198" s="334"/>
      <c r="DS198" s="334"/>
      <c r="DT198" s="341"/>
      <c r="DU198" s="333"/>
      <c r="DV198" s="334"/>
      <c r="DW198" s="334"/>
      <c r="DX198" s="334"/>
      <c r="DY198" s="341"/>
      <c r="OS198" s="361"/>
      <c r="OT198" s="362"/>
      <c r="OU198" s="362"/>
      <c r="OV198" s="362"/>
      <c r="OW198" s="362"/>
      <c r="OX198" s="362"/>
      <c r="OY198" s="362"/>
      <c r="OZ198" s="362"/>
      <c r="PA198" s="362"/>
      <c r="PB198" s="362"/>
      <c r="PC198" s="362"/>
      <c r="PD198" s="362"/>
      <c r="PE198" s="362"/>
      <c r="PF198" s="362"/>
      <c r="PG198" s="362"/>
      <c r="PH198" s="362"/>
      <c r="PI198" s="362"/>
      <c r="PJ198" s="362"/>
      <c r="PK198" s="362"/>
      <c r="PL198" s="362"/>
      <c r="PM198" s="362"/>
      <c r="PN198" s="362"/>
      <c r="PO198" s="362"/>
      <c r="PP198" s="362"/>
      <c r="PQ198" s="362"/>
      <c r="PR198" s="362"/>
      <c r="PS198" s="362"/>
      <c r="PT198" s="362"/>
      <c r="PU198" s="362"/>
      <c r="PV198" s="362"/>
      <c r="PW198" s="362"/>
      <c r="PX198" s="362"/>
      <c r="PY198" s="362"/>
      <c r="PZ198" s="362"/>
      <c r="QA198" s="362"/>
      <c r="QB198" s="362"/>
      <c r="QC198" s="362"/>
      <c r="QD198" s="362"/>
      <c r="QE198" s="362"/>
      <c r="QF198" s="363"/>
      <c r="QG198" s="333"/>
      <c r="QH198" s="334"/>
      <c r="QI198" s="334"/>
      <c r="QJ198" s="334"/>
      <c r="QK198" s="334"/>
      <c r="QL198" s="341"/>
      <c r="QQ198" s="165"/>
      <c r="QR198" s="166"/>
      <c r="QS198" s="189"/>
      <c r="QT198" s="189"/>
      <c r="QU198" s="189"/>
      <c r="QV198" s="189"/>
      <c r="QW198" s="190"/>
      <c r="RK198" s="189"/>
      <c r="RL198" s="189"/>
      <c r="RM198" s="189"/>
      <c r="RN198" s="189"/>
      <c r="RO198" s="189"/>
      <c r="RP198" s="190"/>
    </row>
    <row r="199" spans="3:484" ht="5.15" customHeight="1" x14ac:dyDescent="0.35">
      <c r="C199" s="161"/>
      <c r="D199" s="162"/>
      <c r="E199" s="164"/>
      <c r="F199" s="164"/>
      <c r="CF199" s="333"/>
      <c r="CG199" s="334"/>
      <c r="CH199" s="334"/>
      <c r="CI199" s="334"/>
      <c r="CJ199" s="334"/>
      <c r="CK199" s="334"/>
      <c r="CL199" s="334"/>
      <c r="CM199" s="334"/>
      <c r="CN199" s="334"/>
      <c r="CO199" s="334"/>
      <c r="CP199" s="334"/>
      <c r="CQ199" s="334"/>
      <c r="CR199" s="334"/>
      <c r="CS199" s="334"/>
      <c r="CT199" s="334"/>
      <c r="CU199" s="334"/>
      <c r="CV199" s="334"/>
      <c r="CW199" s="334"/>
      <c r="CX199" s="334"/>
      <c r="CY199" s="334"/>
      <c r="CZ199" s="334"/>
      <c r="DA199" s="334"/>
      <c r="DB199" s="334"/>
      <c r="DC199" s="334"/>
      <c r="DD199" s="334"/>
      <c r="DE199" s="334"/>
      <c r="DF199" s="334"/>
      <c r="DG199" s="334"/>
      <c r="DH199" s="334"/>
      <c r="DI199" s="334"/>
      <c r="DJ199" s="334"/>
      <c r="DK199" s="334"/>
      <c r="DL199" s="334"/>
      <c r="DM199" s="334"/>
      <c r="DN199" s="334"/>
      <c r="DO199" s="334"/>
      <c r="DP199" s="334"/>
      <c r="DQ199" s="334"/>
      <c r="DR199" s="334"/>
      <c r="DS199" s="334"/>
      <c r="DT199" s="341"/>
      <c r="DU199" s="333"/>
      <c r="DV199" s="334"/>
      <c r="DW199" s="334"/>
      <c r="DX199" s="334"/>
      <c r="DY199" s="341"/>
      <c r="OS199" s="361"/>
      <c r="OT199" s="362"/>
      <c r="OU199" s="362"/>
      <c r="OV199" s="362"/>
      <c r="OW199" s="362"/>
      <c r="OX199" s="362"/>
      <c r="OY199" s="362"/>
      <c r="OZ199" s="362"/>
      <c r="PA199" s="362"/>
      <c r="PB199" s="362"/>
      <c r="PC199" s="362"/>
      <c r="PD199" s="362"/>
      <c r="PE199" s="362"/>
      <c r="PF199" s="362"/>
      <c r="PG199" s="362"/>
      <c r="PH199" s="362"/>
      <c r="PI199" s="362"/>
      <c r="PJ199" s="362"/>
      <c r="PK199" s="362"/>
      <c r="PL199" s="362"/>
      <c r="PM199" s="362"/>
      <c r="PN199" s="362"/>
      <c r="PO199" s="362"/>
      <c r="PP199" s="362"/>
      <c r="PQ199" s="362"/>
      <c r="PR199" s="362"/>
      <c r="PS199" s="362"/>
      <c r="PT199" s="362"/>
      <c r="PU199" s="362"/>
      <c r="PV199" s="362"/>
      <c r="PW199" s="362"/>
      <c r="PX199" s="362"/>
      <c r="PY199" s="362"/>
      <c r="PZ199" s="362"/>
      <c r="QA199" s="362"/>
      <c r="QB199" s="362"/>
      <c r="QC199" s="362"/>
      <c r="QD199" s="362"/>
      <c r="QE199" s="362"/>
      <c r="QF199" s="363"/>
      <c r="QG199" s="333"/>
      <c r="QH199" s="334"/>
      <c r="QI199" s="334"/>
      <c r="QJ199" s="334"/>
      <c r="QK199" s="334"/>
      <c r="QL199" s="341"/>
      <c r="QQ199" s="165"/>
      <c r="QR199" s="166"/>
      <c r="QS199" s="189"/>
      <c r="QT199" s="189"/>
      <c r="QU199" s="189"/>
      <c r="QV199" s="189"/>
      <c r="QW199" s="190"/>
      <c r="RK199" s="189"/>
      <c r="RL199" s="189"/>
      <c r="RM199" s="189"/>
      <c r="RN199" s="189"/>
      <c r="RO199" s="189"/>
      <c r="RP199" s="190"/>
    </row>
    <row r="200" spans="3:484" ht="5.15" customHeight="1" x14ac:dyDescent="0.35">
      <c r="C200" s="161"/>
      <c r="D200" s="162"/>
      <c r="E200" s="164"/>
      <c r="F200" s="164"/>
      <c r="CF200" s="333"/>
      <c r="CG200" s="334"/>
      <c r="CH200" s="334"/>
      <c r="CI200" s="334"/>
      <c r="CJ200" s="334"/>
      <c r="CK200" s="334"/>
      <c r="CL200" s="334"/>
      <c r="CM200" s="334"/>
      <c r="CN200" s="334"/>
      <c r="CO200" s="334"/>
      <c r="CP200" s="334"/>
      <c r="CQ200" s="334"/>
      <c r="CR200" s="334"/>
      <c r="CS200" s="334"/>
      <c r="CT200" s="334"/>
      <c r="CU200" s="334"/>
      <c r="CV200" s="334"/>
      <c r="CW200" s="334"/>
      <c r="CX200" s="334"/>
      <c r="CY200" s="334"/>
      <c r="CZ200" s="334"/>
      <c r="DA200" s="334"/>
      <c r="DB200" s="334"/>
      <c r="DC200" s="334"/>
      <c r="DD200" s="334"/>
      <c r="DE200" s="334"/>
      <c r="DF200" s="334"/>
      <c r="DG200" s="334"/>
      <c r="DH200" s="334"/>
      <c r="DI200" s="334"/>
      <c r="DJ200" s="334"/>
      <c r="DK200" s="334"/>
      <c r="DL200" s="334"/>
      <c r="DM200" s="334"/>
      <c r="DN200" s="334"/>
      <c r="DO200" s="334"/>
      <c r="DP200" s="334"/>
      <c r="DQ200" s="334"/>
      <c r="DR200" s="334"/>
      <c r="DS200" s="334"/>
      <c r="DT200" s="341"/>
      <c r="DU200" s="333"/>
      <c r="DV200" s="334"/>
      <c r="DW200" s="334"/>
      <c r="DX200" s="334"/>
      <c r="DY200" s="341"/>
      <c r="OS200" s="361"/>
      <c r="OT200" s="362"/>
      <c r="OU200" s="362"/>
      <c r="OV200" s="362"/>
      <c r="OW200" s="362"/>
      <c r="OX200" s="362"/>
      <c r="OY200" s="362"/>
      <c r="OZ200" s="362"/>
      <c r="PA200" s="362"/>
      <c r="PB200" s="362"/>
      <c r="PC200" s="362"/>
      <c r="PD200" s="362"/>
      <c r="PE200" s="362"/>
      <c r="PF200" s="362"/>
      <c r="PG200" s="362"/>
      <c r="PH200" s="362"/>
      <c r="PI200" s="362"/>
      <c r="PJ200" s="362"/>
      <c r="PK200" s="362"/>
      <c r="PL200" s="362"/>
      <c r="PM200" s="362"/>
      <c r="PN200" s="362"/>
      <c r="PO200" s="362"/>
      <c r="PP200" s="362"/>
      <c r="PQ200" s="362"/>
      <c r="PR200" s="362"/>
      <c r="PS200" s="362"/>
      <c r="PT200" s="362"/>
      <c r="PU200" s="362"/>
      <c r="PV200" s="362"/>
      <c r="PW200" s="362"/>
      <c r="PX200" s="362"/>
      <c r="PY200" s="362"/>
      <c r="PZ200" s="362"/>
      <c r="QA200" s="362"/>
      <c r="QB200" s="362"/>
      <c r="QC200" s="362"/>
      <c r="QD200" s="362"/>
      <c r="QE200" s="362"/>
      <c r="QF200" s="363"/>
      <c r="QG200" s="333"/>
      <c r="QH200" s="334"/>
      <c r="QI200" s="334"/>
      <c r="QJ200" s="334"/>
      <c r="QK200" s="334"/>
      <c r="QL200" s="341"/>
      <c r="QQ200" s="165"/>
      <c r="QR200" s="166"/>
      <c r="QS200" s="189"/>
      <c r="QT200" s="189"/>
      <c r="QU200" s="189"/>
      <c r="QV200" s="189"/>
      <c r="QW200" s="190"/>
      <c r="RK200" s="189"/>
      <c r="RL200" s="189"/>
      <c r="RM200" s="189"/>
      <c r="RN200" s="189"/>
      <c r="RO200" s="189"/>
      <c r="RP200" s="190"/>
    </row>
    <row r="201" spans="3:484" ht="5.15" customHeight="1" x14ac:dyDescent="0.35">
      <c r="C201" s="161"/>
      <c r="D201" s="162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  <c r="AD201" s="164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>
        <v>2</v>
      </c>
      <c r="AY201" s="164"/>
      <c r="CF201" s="333"/>
      <c r="CG201" s="334"/>
      <c r="CH201" s="334"/>
      <c r="CI201" s="334"/>
      <c r="CJ201" s="334"/>
      <c r="CK201" s="334"/>
      <c r="CL201" s="334"/>
      <c r="CM201" s="334"/>
      <c r="CN201" s="334"/>
      <c r="CO201" s="334"/>
      <c r="CP201" s="334"/>
      <c r="CQ201" s="334"/>
      <c r="CR201" s="334"/>
      <c r="CS201" s="334"/>
      <c r="CT201" s="334"/>
      <c r="CU201" s="334"/>
      <c r="CV201" s="334"/>
      <c r="CW201" s="334"/>
      <c r="CX201" s="334"/>
      <c r="CY201" s="334"/>
      <c r="CZ201" s="334"/>
      <c r="DA201" s="334"/>
      <c r="DB201" s="334"/>
      <c r="DC201" s="334"/>
      <c r="DD201" s="334"/>
      <c r="DE201" s="334"/>
      <c r="DF201" s="334"/>
      <c r="DG201" s="334"/>
      <c r="DH201" s="334"/>
      <c r="DI201" s="334"/>
      <c r="DJ201" s="334"/>
      <c r="DK201" s="334"/>
      <c r="DL201" s="334"/>
      <c r="DM201" s="334"/>
      <c r="DN201" s="334"/>
      <c r="DO201" s="334"/>
      <c r="DP201" s="334"/>
      <c r="DQ201" s="334"/>
      <c r="DR201" s="334"/>
      <c r="DS201" s="334"/>
      <c r="DT201" s="341"/>
      <c r="DU201" s="333"/>
      <c r="DV201" s="334"/>
      <c r="DW201" s="334"/>
      <c r="DX201" s="334"/>
      <c r="DY201" s="341"/>
      <c r="OS201" s="361"/>
      <c r="OT201" s="362"/>
      <c r="OU201" s="362"/>
      <c r="OV201" s="362"/>
      <c r="OW201" s="362"/>
      <c r="OX201" s="362"/>
      <c r="OY201" s="362"/>
      <c r="OZ201" s="362"/>
      <c r="PA201" s="362"/>
      <c r="PB201" s="362"/>
      <c r="PC201" s="362"/>
      <c r="PD201" s="362"/>
      <c r="PE201" s="362"/>
      <c r="PF201" s="362"/>
      <c r="PG201" s="362"/>
      <c r="PH201" s="362"/>
      <c r="PI201" s="362"/>
      <c r="PJ201" s="362"/>
      <c r="PK201" s="362"/>
      <c r="PL201" s="362"/>
      <c r="PM201" s="362"/>
      <c r="PN201" s="362"/>
      <c r="PO201" s="362"/>
      <c r="PP201" s="362"/>
      <c r="PQ201" s="362"/>
      <c r="PR201" s="362"/>
      <c r="PS201" s="362"/>
      <c r="PT201" s="362"/>
      <c r="PU201" s="362"/>
      <c r="PV201" s="362"/>
      <c r="PW201" s="362"/>
      <c r="PX201" s="362"/>
      <c r="PY201" s="362"/>
      <c r="PZ201" s="362"/>
      <c r="QA201" s="362"/>
      <c r="QB201" s="362"/>
      <c r="QC201" s="362"/>
      <c r="QD201" s="362"/>
      <c r="QE201" s="362"/>
      <c r="QF201" s="363"/>
      <c r="QG201" s="333"/>
      <c r="QH201" s="334"/>
      <c r="QI201" s="334"/>
      <c r="QJ201" s="334"/>
      <c r="QK201" s="334"/>
      <c r="QL201" s="341"/>
      <c r="QQ201" s="165"/>
      <c r="QR201" s="166"/>
      <c r="QS201" s="189"/>
      <c r="QT201" s="189"/>
      <c r="QU201" s="189"/>
      <c r="QV201" s="189"/>
      <c r="QW201" s="190"/>
      <c r="RK201" s="189"/>
      <c r="RL201" s="189"/>
      <c r="RM201" s="189"/>
      <c r="RN201" s="189"/>
      <c r="RO201" s="189"/>
      <c r="RP201" s="190"/>
    </row>
    <row r="202" spans="3:484" ht="5.15" customHeight="1" x14ac:dyDescent="0.35">
      <c r="C202" s="161"/>
      <c r="D202" s="162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  <c r="AD202" s="164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CF202" s="336"/>
      <c r="CG202" s="337"/>
      <c r="CH202" s="337"/>
      <c r="CI202" s="337"/>
      <c r="CJ202" s="337"/>
      <c r="CK202" s="337"/>
      <c r="CL202" s="337"/>
      <c r="CM202" s="337"/>
      <c r="CN202" s="337"/>
      <c r="CO202" s="337"/>
      <c r="CP202" s="337"/>
      <c r="CQ202" s="337"/>
      <c r="CR202" s="337"/>
      <c r="CS202" s="337"/>
      <c r="CT202" s="337"/>
      <c r="CU202" s="337"/>
      <c r="CV202" s="337"/>
      <c r="CW202" s="337"/>
      <c r="CX202" s="337"/>
      <c r="CY202" s="337"/>
      <c r="CZ202" s="337"/>
      <c r="DA202" s="337"/>
      <c r="DB202" s="337"/>
      <c r="DC202" s="337"/>
      <c r="DD202" s="337"/>
      <c r="DE202" s="337"/>
      <c r="DF202" s="337"/>
      <c r="DG202" s="337"/>
      <c r="DH202" s="337"/>
      <c r="DI202" s="337"/>
      <c r="DJ202" s="337"/>
      <c r="DK202" s="337"/>
      <c r="DL202" s="337"/>
      <c r="DM202" s="337"/>
      <c r="DN202" s="337"/>
      <c r="DO202" s="337"/>
      <c r="DP202" s="337"/>
      <c r="DQ202" s="337"/>
      <c r="DR202" s="337"/>
      <c r="DS202" s="337"/>
      <c r="DT202" s="342"/>
      <c r="DU202" s="336"/>
      <c r="DV202" s="337"/>
      <c r="DW202" s="337"/>
      <c r="DX202" s="337"/>
      <c r="DY202" s="342"/>
      <c r="OS202" s="361"/>
      <c r="OT202" s="362"/>
      <c r="OU202" s="362"/>
      <c r="OV202" s="362"/>
      <c r="OW202" s="362"/>
      <c r="OX202" s="362"/>
      <c r="OY202" s="362"/>
      <c r="OZ202" s="362"/>
      <c r="PA202" s="362"/>
      <c r="PB202" s="362"/>
      <c r="PC202" s="362"/>
      <c r="PD202" s="362"/>
      <c r="PE202" s="362"/>
      <c r="PF202" s="362"/>
      <c r="PG202" s="362"/>
      <c r="PH202" s="362"/>
      <c r="PI202" s="362"/>
      <c r="PJ202" s="362"/>
      <c r="PK202" s="362"/>
      <c r="PL202" s="362"/>
      <c r="PM202" s="362"/>
      <c r="PN202" s="362"/>
      <c r="PO202" s="362"/>
      <c r="PP202" s="362"/>
      <c r="PQ202" s="362"/>
      <c r="PR202" s="362"/>
      <c r="PS202" s="362"/>
      <c r="PT202" s="362"/>
      <c r="PU202" s="362"/>
      <c r="PV202" s="362"/>
      <c r="PW202" s="362"/>
      <c r="PX202" s="362"/>
      <c r="PY202" s="362"/>
      <c r="PZ202" s="362"/>
      <c r="QA202" s="362"/>
      <c r="QB202" s="362"/>
      <c r="QC202" s="362"/>
      <c r="QD202" s="362"/>
      <c r="QE202" s="362"/>
      <c r="QF202" s="363"/>
      <c r="QG202" s="333"/>
      <c r="QH202" s="334"/>
      <c r="QI202" s="334"/>
      <c r="QJ202" s="334"/>
      <c r="QK202" s="334"/>
      <c r="QL202" s="341"/>
      <c r="QQ202" s="165"/>
      <c r="QR202" s="166"/>
      <c r="QS202" s="189"/>
      <c r="QT202" s="189"/>
      <c r="QU202" s="189"/>
      <c r="QV202" s="189"/>
      <c r="QW202" s="190"/>
      <c r="RK202" s="189"/>
      <c r="RL202" s="189"/>
      <c r="RM202" s="189"/>
      <c r="RN202" s="189"/>
      <c r="RO202" s="189"/>
      <c r="RP202" s="190"/>
    </row>
    <row r="203" spans="3:484" ht="5.15" customHeight="1" x14ac:dyDescent="0.35">
      <c r="C203" s="161"/>
      <c r="D203" s="162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  <c r="AD203" s="164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OS203" s="361"/>
      <c r="OT203" s="362"/>
      <c r="OU203" s="362"/>
      <c r="OV203" s="362"/>
      <c r="OW203" s="362"/>
      <c r="OX203" s="362"/>
      <c r="OY203" s="362"/>
      <c r="OZ203" s="362"/>
      <c r="PA203" s="362"/>
      <c r="PB203" s="362"/>
      <c r="PC203" s="362"/>
      <c r="PD203" s="362"/>
      <c r="PE203" s="362"/>
      <c r="PF203" s="362"/>
      <c r="PG203" s="362"/>
      <c r="PH203" s="362"/>
      <c r="PI203" s="362"/>
      <c r="PJ203" s="362"/>
      <c r="PK203" s="362"/>
      <c r="PL203" s="362"/>
      <c r="PM203" s="362"/>
      <c r="PN203" s="362"/>
      <c r="PO203" s="362"/>
      <c r="PP203" s="362"/>
      <c r="PQ203" s="362"/>
      <c r="PR203" s="362"/>
      <c r="PS203" s="362"/>
      <c r="PT203" s="362"/>
      <c r="PU203" s="362"/>
      <c r="PV203" s="362"/>
      <c r="PW203" s="362"/>
      <c r="PX203" s="362"/>
      <c r="PY203" s="362"/>
      <c r="PZ203" s="362"/>
      <c r="QA203" s="362"/>
      <c r="QB203" s="362"/>
      <c r="QC203" s="362"/>
      <c r="QD203" s="362"/>
      <c r="QE203" s="362"/>
      <c r="QF203" s="363"/>
      <c r="QG203" s="333"/>
      <c r="QH203" s="334"/>
      <c r="QI203" s="334"/>
      <c r="QJ203" s="334"/>
      <c r="QK203" s="334"/>
      <c r="QL203" s="341"/>
      <c r="QQ203" s="165"/>
      <c r="QR203" s="166"/>
      <c r="QS203" s="189"/>
      <c r="QT203" s="189"/>
      <c r="QU203" s="189"/>
      <c r="QV203" s="189"/>
      <c r="QW203" s="190"/>
      <c r="RK203" s="189"/>
      <c r="RL203" s="189"/>
      <c r="RM203" s="189"/>
      <c r="RN203" s="189"/>
      <c r="RO203" s="189"/>
      <c r="RP203" s="190"/>
    </row>
    <row r="204" spans="3:484" ht="5.15" customHeight="1" x14ac:dyDescent="0.35">
      <c r="C204" s="161"/>
      <c r="D204" s="162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  <c r="AD204" s="164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OS204" s="361"/>
      <c r="OT204" s="362"/>
      <c r="OU204" s="362"/>
      <c r="OV204" s="362"/>
      <c r="OW204" s="362"/>
      <c r="OX204" s="362"/>
      <c r="OY204" s="362"/>
      <c r="OZ204" s="362"/>
      <c r="PA204" s="362"/>
      <c r="PB204" s="362"/>
      <c r="PC204" s="362"/>
      <c r="PD204" s="362"/>
      <c r="PE204" s="362"/>
      <c r="PF204" s="362"/>
      <c r="PG204" s="362"/>
      <c r="PH204" s="362"/>
      <c r="PI204" s="362"/>
      <c r="PJ204" s="362"/>
      <c r="PK204" s="362"/>
      <c r="PL204" s="362"/>
      <c r="PM204" s="362"/>
      <c r="PN204" s="362"/>
      <c r="PO204" s="362"/>
      <c r="PP204" s="362"/>
      <c r="PQ204" s="362"/>
      <c r="PR204" s="362"/>
      <c r="PS204" s="362"/>
      <c r="PT204" s="362"/>
      <c r="PU204" s="362"/>
      <c r="PV204" s="362"/>
      <c r="PW204" s="362"/>
      <c r="PX204" s="362"/>
      <c r="PY204" s="362"/>
      <c r="PZ204" s="362"/>
      <c r="QA204" s="362"/>
      <c r="QB204" s="362"/>
      <c r="QC204" s="362"/>
      <c r="QD204" s="362"/>
      <c r="QE204" s="362"/>
      <c r="QF204" s="363"/>
      <c r="QG204" s="333"/>
      <c r="QH204" s="334"/>
      <c r="QI204" s="334"/>
      <c r="QJ204" s="334"/>
      <c r="QK204" s="334"/>
      <c r="QL204" s="341"/>
      <c r="QQ204" s="165"/>
      <c r="QR204" s="166"/>
      <c r="QS204" s="189"/>
      <c r="QT204" s="189"/>
      <c r="QU204" s="189"/>
      <c r="QV204" s="189"/>
      <c r="QW204" s="190"/>
      <c r="RK204" s="189"/>
      <c r="RL204" s="189"/>
      <c r="RM204" s="189"/>
      <c r="RN204" s="189"/>
      <c r="RO204" s="189"/>
      <c r="RP204" s="190"/>
    </row>
    <row r="205" spans="3:484" ht="5.15" customHeight="1" x14ac:dyDescent="0.35">
      <c r="C205" s="161"/>
      <c r="D205" s="162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  <c r="AD205" s="164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OS205" s="361"/>
      <c r="OT205" s="362"/>
      <c r="OU205" s="362"/>
      <c r="OV205" s="362"/>
      <c r="OW205" s="362"/>
      <c r="OX205" s="362"/>
      <c r="OY205" s="362"/>
      <c r="OZ205" s="362"/>
      <c r="PA205" s="362"/>
      <c r="PB205" s="362"/>
      <c r="PC205" s="362"/>
      <c r="PD205" s="362"/>
      <c r="PE205" s="362"/>
      <c r="PF205" s="362"/>
      <c r="PG205" s="362"/>
      <c r="PH205" s="362"/>
      <c r="PI205" s="362"/>
      <c r="PJ205" s="362"/>
      <c r="PK205" s="362"/>
      <c r="PL205" s="362"/>
      <c r="PM205" s="362"/>
      <c r="PN205" s="362"/>
      <c r="PO205" s="362"/>
      <c r="PP205" s="362"/>
      <c r="PQ205" s="362"/>
      <c r="PR205" s="362"/>
      <c r="PS205" s="362"/>
      <c r="PT205" s="362"/>
      <c r="PU205" s="362"/>
      <c r="PV205" s="362"/>
      <c r="PW205" s="362"/>
      <c r="PX205" s="362"/>
      <c r="PY205" s="362"/>
      <c r="PZ205" s="362"/>
      <c r="QA205" s="362"/>
      <c r="QB205" s="362"/>
      <c r="QC205" s="362"/>
      <c r="QD205" s="362"/>
      <c r="QE205" s="362"/>
      <c r="QF205" s="363"/>
      <c r="QG205" s="333"/>
      <c r="QH205" s="334"/>
      <c r="QI205" s="334"/>
      <c r="QJ205" s="334"/>
      <c r="QK205" s="334"/>
      <c r="QL205" s="341"/>
      <c r="QQ205" s="165"/>
      <c r="QR205" s="166"/>
      <c r="QS205" s="189"/>
      <c r="QT205" s="189"/>
      <c r="QU205" s="189"/>
      <c r="QV205" s="189"/>
      <c r="QW205" s="190"/>
      <c r="RK205" s="189"/>
      <c r="RL205" s="189"/>
      <c r="RM205" s="189"/>
      <c r="RN205" s="189"/>
      <c r="RO205" s="189"/>
      <c r="RP205" s="190"/>
    </row>
    <row r="206" spans="3:484" ht="5.15" customHeight="1" x14ac:dyDescent="0.35">
      <c r="C206" s="161"/>
      <c r="D206" s="162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  <c r="AD206" s="164"/>
      <c r="AE206" s="164"/>
      <c r="AF206" s="164"/>
      <c r="AG206" s="164"/>
      <c r="AH206" s="164"/>
      <c r="AI206" s="164"/>
      <c r="AJ206" s="164"/>
      <c r="AK206" s="164"/>
      <c r="AL206" s="164"/>
      <c r="AM206" s="164"/>
      <c r="AN206" s="164"/>
      <c r="AO206" s="164"/>
      <c r="AP206" s="164"/>
      <c r="AQ206" s="164"/>
      <c r="AR206" s="164"/>
      <c r="AS206" s="164"/>
      <c r="AT206" s="164"/>
      <c r="AU206" s="164"/>
      <c r="AV206" s="164"/>
      <c r="AW206" s="164"/>
      <c r="AX206" s="164"/>
      <c r="AY206" s="164"/>
      <c r="OS206" s="364"/>
      <c r="OT206" s="365"/>
      <c r="OU206" s="365"/>
      <c r="OV206" s="365"/>
      <c r="OW206" s="365"/>
      <c r="OX206" s="365"/>
      <c r="OY206" s="365"/>
      <c r="OZ206" s="365"/>
      <c r="PA206" s="365"/>
      <c r="PB206" s="365"/>
      <c r="PC206" s="365"/>
      <c r="PD206" s="365"/>
      <c r="PE206" s="365"/>
      <c r="PF206" s="365"/>
      <c r="PG206" s="365"/>
      <c r="PH206" s="365"/>
      <c r="PI206" s="365"/>
      <c r="PJ206" s="365"/>
      <c r="PK206" s="365"/>
      <c r="PL206" s="365"/>
      <c r="PM206" s="365"/>
      <c r="PN206" s="365"/>
      <c r="PO206" s="365"/>
      <c r="PP206" s="365"/>
      <c r="PQ206" s="365"/>
      <c r="PR206" s="365"/>
      <c r="PS206" s="365"/>
      <c r="PT206" s="365"/>
      <c r="PU206" s="365"/>
      <c r="PV206" s="365"/>
      <c r="PW206" s="365"/>
      <c r="PX206" s="365"/>
      <c r="PY206" s="365"/>
      <c r="PZ206" s="365"/>
      <c r="QA206" s="365"/>
      <c r="QB206" s="365"/>
      <c r="QC206" s="365"/>
      <c r="QD206" s="365"/>
      <c r="QE206" s="365"/>
      <c r="QF206" s="366"/>
      <c r="QG206" s="336"/>
      <c r="QH206" s="337"/>
      <c r="QI206" s="337"/>
      <c r="QJ206" s="337"/>
      <c r="QK206" s="337"/>
      <c r="QL206" s="342"/>
      <c r="QQ206" s="165"/>
      <c r="QR206" s="166"/>
      <c r="QS206" s="189"/>
      <c r="QT206" s="189"/>
      <c r="QU206" s="189"/>
      <c r="QV206" s="189"/>
      <c r="QW206" s="190"/>
      <c r="RK206" s="189"/>
      <c r="RL206" s="189"/>
      <c r="RM206" s="189"/>
      <c r="RN206" s="189"/>
      <c r="RO206" s="189"/>
      <c r="RP206" s="190"/>
    </row>
    <row r="207" spans="3:484" ht="5.15" customHeight="1" x14ac:dyDescent="0.35">
      <c r="C207" s="161"/>
      <c r="D207" s="162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  <c r="AD207" s="164"/>
      <c r="AE207" s="164"/>
      <c r="AF207" s="164"/>
      <c r="AG207" s="164"/>
      <c r="AH207" s="164"/>
      <c r="AI207" s="164"/>
      <c r="AJ207" s="164"/>
      <c r="AK207" s="164"/>
      <c r="AL207" s="164"/>
      <c r="AM207" s="164"/>
      <c r="AN207" s="164"/>
      <c r="AO207" s="164"/>
      <c r="AP207" s="164"/>
      <c r="AQ207" s="164"/>
      <c r="AR207" s="164"/>
      <c r="AS207" s="164"/>
      <c r="AT207" s="164"/>
      <c r="AU207" s="164"/>
      <c r="AV207" s="164"/>
      <c r="AW207" s="164"/>
      <c r="AX207" s="164"/>
      <c r="AY207" s="164"/>
      <c r="QQ207" s="165"/>
      <c r="QR207" s="166"/>
      <c r="QS207" s="189"/>
      <c r="QT207" s="189"/>
      <c r="QU207" s="189"/>
      <c r="QV207" s="189"/>
      <c r="QW207" s="190"/>
      <c r="RK207" s="189"/>
      <c r="RL207" s="189"/>
      <c r="RM207" s="189"/>
      <c r="RN207" s="189"/>
      <c r="RO207" s="189"/>
      <c r="RP207" s="190"/>
    </row>
    <row r="208" spans="3:484" ht="5.15" customHeight="1" x14ac:dyDescent="0.35">
      <c r="C208" s="161"/>
      <c r="D208" s="162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  <c r="AD208" s="164"/>
      <c r="AE208" s="164"/>
      <c r="AF208" s="164"/>
      <c r="AG208" s="164"/>
      <c r="AH208" s="164"/>
      <c r="AI208" s="164"/>
      <c r="AJ208" s="164"/>
      <c r="AK208" s="164"/>
      <c r="AL208" s="164"/>
      <c r="AM208" s="164"/>
      <c r="AN208" s="164"/>
      <c r="AO208" s="164"/>
      <c r="AP208" s="164"/>
      <c r="AQ208" s="164"/>
      <c r="AR208" s="164"/>
      <c r="AS208" s="164"/>
      <c r="AT208" s="164"/>
      <c r="AU208" s="164"/>
      <c r="AV208" s="164"/>
      <c r="AW208" s="164"/>
      <c r="AX208" s="164"/>
      <c r="AY208" s="164"/>
      <c r="QQ208" s="165"/>
      <c r="QR208" s="166"/>
    </row>
    <row r="209" spans="3:460" ht="5.15" customHeight="1" x14ac:dyDescent="0.35">
      <c r="C209" s="161"/>
      <c r="D209" s="162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  <c r="AD209" s="164"/>
      <c r="AE209" s="164"/>
      <c r="AF209" s="164"/>
      <c r="AG209" s="164"/>
      <c r="AH209" s="164"/>
      <c r="AI209" s="164"/>
      <c r="AJ209" s="164"/>
      <c r="AK209" s="164"/>
      <c r="AL209" s="164"/>
      <c r="AM209" s="164"/>
      <c r="AN209" s="164"/>
      <c r="AO209" s="164"/>
      <c r="AP209" s="164"/>
      <c r="AQ209" s="164"/>
      <c r="AR209" s="164"/>
      <c r="AS209" s="164"/>
      <c r="AT209" s="164"/>
      <c r="AU209" s="164"/>
      <c r="AV209" s="164"/>
      <c r="AW209" s="164"/>
      <c r="AX209" s="164"/>
      <c r="AY209" s="164"/>
      <c r="QQ209" s="165"/>
      <c r="QR209" s="166"/>
    </row>
    <row r="210" spans="3:460" ht="5.15" customHeight="1" x14ac:dyDescent="0.35">
      <c r="C210" s="161"/>
      <c r="D210" s="162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4"/>
      <c r="AV210" s="164"/>
      <c r="AW210" s="164"/>
      <c r="AX210" s="164"/>
      <c r="AY210" s="164"/>
      <c r="QQ210" s="165"/>
      <c r="QR210" s="166"/>
    </row>
    <row r="211" spans="3:460" ht="5.15" customHeight="1" x14ac:dyDescent="0.35">
      <c r="C211" s="161"/>
      <c r="D211" s="162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  <c r="AD211" s="164"/>
      <c r="AE211" s="164"/>
      <c r="AF211" s="164"/>
      <c r="AG211" s="164"/>
      <c r="AH211" s="164"/>
      <c r="AI211" s="164"/>
      <c r="AJ211" s="164"/>
      <c r="AK211" s="164"/>
      <c r="AL211" s="164"/>
      <c r="AM211" s="164"/>
      <c r="AN211" s="164"/>
      <c r="AO211" s="164"/>
      <c r="AP211" s="164"/>
      <c r="AQ211" s="164"/>
      <c r="AR211" s="164"/>
      <c r="AS211" s="164"/>
      <c r="AT211" s="164"/>
      <c r="AU211" s="164"/>
      <c r="AV211" s="164"/>
      <c r="AW211" s="164">
        <v>10</v>
      </c>
      <c r="AX211" s="164">
        <v>3</v>
      </c>
      <c r="AY211" s="164"/>
      <c r="QQ211" s="165"/>
      <c r="QR211" s="166"/>
    </row>
    <row r="212" spans="3:460" ht="5.15" customHeight="1" x14ac:dyDescent="0.35">
      <c r="C212" s="161"/>
      <c r="D212" s="162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  <c r="AD212" s="164"/>
      <c r="AE212" s="164"/>
      <c r="AF212" s="164"/>
      <c r="AG212" s="164"/>
      <c r="AH212" s="164"/>
      <c r="AI212" s="164"/>
      <c r="AJ212" s="164"/>
      <c r="AK212" s="164"/>
      <c r="AL212" s="164"/>
      <c r="AM212" s="164"/>
      <c r="AN212" s="164"/>
      <c r="AO212" s="164"/>
      <c r="AP212" s="164"/>
      <c r="AQ212" s="164"/>
      <c r="AR212" s="164"/>
      <c r="AS212" s="164"/>
      <c r="AT212" s="164"/>
      <c r="AU212" s="164"/>
      <c r="AV212" s="164"/>
      <c r="AW212" s="164"/>
      <c r="AX212" s="164"/>
      <c r="AY212" s="164"/>
      <c r="QQ212" s="165"/>
      <c r="QR212" s="166"/>
    </row>
    <row r="213" spans="3:460" ht="5.15" customHeight="1" x14ac:dyDescent="0.35">
      <c r="C213" s="161"/>
      <c r="D213" s="162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  <c r="AD213" s="164"/>
      <c r="AE213" s="164"/>
      <c r="AF213" s="164"/>
      <c r="AG213" s="164"/>
      <c r="AH213" s="164"/>
      <c r="AI213" s="164"/>
      <c r="AJ213" s="164"/>
      <c r="AK213" s="164"/>
      <c r="AL213" s="164"/>
      <c r="AM213" s="164"/>
      <c r="AN213" s="164"/>
      <c r="AO213" s="164"/>
      <c r="AP213" s="164"/>
      <c r="AQ213" s="164"/>
      <c r="AR213" s="164"/>
      <c r="AS213" s="164"/>
      <c r="AT213" s="164"/>
      <c r="AU213" s="164"/>
      <c r="AV213" s="164"/>
      <c r="AW213" s="164"/>
      <c r="AX213" s="164"/>
      <c r="AY213" s="164"/>
      <c r="QQ213" s="165"/>
      <c r="QR213" s="166"/>
    </row>
    <row r="214" spans="3:460" ht="5.15" customHeight="1" x14ac:dyDescent="0.35">
      <c r="C214" s="161"/>
      <c r="D214" s="162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4"/>
      <c r="AV214" s="164"/>
      <c r="AW214" s="164"/>
      <c r="AX214" s="164"/>
      <c r="AY214" s="164"/>
      <c r="QQ214" s="165"/>
      <c r="QR214" s="166"/>
    </row>
    <row r="215" spans="3:460" ht="5.15" customHeight="1" x14ac:dyDescent="0.35">
      <c r="C215" s="161"/>
      <c r="D215" s="162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  <c r="AD215" s="164"/>
      <c r="AE215" s="164"/>
      <c r="AF215" s="164"/>
      <c r="AG215" s="164"/>
      <c r="AH215" s="164"/>
      <c r="AI215" s="164"/>
      <c r="AJ215" s="164"/>
      <c r="AK215" s="164"/>
      <c r="AL215" s="164"/>
      <c r="AM215" s="164"/>
      <c r="AN215" s="164"/>
      <c r="AO215" s="164"/>
      <c r="AP215" s="164"/>
      <c r="AQ215" s="164"/>
      <c r="AR215" s="164"/>
      <c r="AS215" s="164"/>
      <c r="AT215" s="164"/>
      <c r="AU215" s="164"/>
      <c r="AV215" s="164"/>
      <c r="AW215" s="164"/>
      <c r="AX215" s="164"/>
      <c r="AY215" s="164"/>
      <c r="QQ215" s="165"/>
      <c r="QR215" s="166"/>
    </row>
    <row r="216" spans="3:460" ht="5.15" customHeight="1" x14ac:dyDescent="0.35">
      <c r="C216" s="161"/>
      <c r="D216" s="162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4"/>
      <c r="AV216" s="164"/>
      <c r="AW216" s="164"/>
      <c r="AX216" s="164"/>
      <c r="AY216" s="164"/>
      <c r="QQ216" s="165"/>
      <c r="QR216" s="166"/>
    </row>
    <row r="217" spans="3:460" ht="5.15" customHeight="1" x14ac:dyDescent="0.35">
      <c r="C217" s="161"/>
      <c r="D217" s="162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  <c r="AD217" s="164"/>
      <c r="AE217" s="164"/>
      <c r="AF217" s="164"/>
      <c r="AG217" s="164"/>
      <c r="AH217" s="164"/>
      <c r="AI217" s="164"/>
      <c r="AJ217" s="164"/>
      <c r="AK217" s="164"/>
      <c r="AL217" s="164"/>
      <c r="AM217" s="164"/>
      <c r="AN217" s="164"/>
      <c r="AO217" s="164"/>
      <c r="AP217" s="164"/>
      <c r="AQ217" s="164"/>
      <c r="AR217" s="164"/>
      <c r="AS217" s="164"/>
      <c r="AT217" s="164"/>
      <c r="AU217" s="164"/>
      <c r="AV217" s="164"/>
      <c r="AW217" s="164"/>
      <c r="AX217" s="164"/>
      <c r="AY217" s="164"/>
      <c r="AZ217" s="164"/>
      <c r="BA217" s="164"/>
      <c r="BB217" s="164"/>
      <c r="BE217" s="164"/>
      <c r="BF217" s="164"/>
      <c r="BG217" s="164"/>
      <c r="BH217" s="164"/>
      <c r="BI217" s="164"/>
      <c r="BJ217" s="164"/>
      <c r="QQ217" s="165"/>
      <c r="QR217" s="166"/>
    </row>
    <row r="218" spans="3:460" ht="5.15" customHeight="1" x14ac:dyDescent="0.35">
      <c r="C218" s="161"/>
      <c r="D218" s="162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4"/>
      <c r="AV218" s="164"/>
      <c r="AW218" s="164"/>
      <c r="AX218" s="164"/>
      <c r="AY218" s="164"/>
      <c r="AZ218" s="164"/>
      <c r="BA218" s="164"/>
      <c r="BB218" s="164"/>
      <c r="BE218" s="164"/>
      <c r="BF218" s="164"/>
      <c r="BG218" s="164"/>
      <c r="BH218" s="164"/>
      <c r="BI218" s="164"/>
      <c r="BJ218" s="164"/>
      <c r="QQ218" s="165"/>
      <c r="QR218" s="166"/>
    </row>
    <row r="219" spans="3:460" ht="5.15" customHeight="1" x14ac:dyDescent="0.35">
      <c r="C219" s="161"/>
      <c r="D219" s="162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  <c r="AD219" s="164"/>
      <c r="AE219" s="164"/>
      <c r="AF219" s="164"/>
      <c r="AG219" s="164"/>
      <c r="AH219" s="164"/>
      <c r="AI219" s="164"/>
      <c r="AJ219" s="164"/>
      <c r="AK219" s="164"/>
      <c r="AL219" s="164"/>
      <c r="AM219" s="164"/>
      <c r="AN219" s="164"/>
      <c r="AO219" s="164"/>
      <c r="AP219" s="164"/>
      <c r="AQ219" s="164"/>
      <c r="AR219" s="164"/>
      <c r="AS219" s="164"/>
      <c r="AT219" s="164"/>
      <c r="AU219" s="164"/>
      <c r="AV219" s="164"/>
      <c r="AW219" s="164"/>
      <c r="AX219" s="164"/>
      <c r="AY219" s="164"/>
      <c r="AZ219" s="164"/>
      <c r="BA219" s="164"/>
      <c r="BB219" s="164"/>
      <c r="BE219" s="164"/>
      <c r="BF219" s="164"/>
      <c r="BG219" s="164"/>
      <c r="BH219" s="164"/>
      <c r="BI219" s="164"/>
      <c r="BJ219" s="164"/>
      <c r="QQ219" s="165"/>
      <c r="QR219" s="166"/>
    </row>
    <row r="220" spans="3:460" ht="5.15" customHeight="1" x14ac:dyDescent="0.35">
      <c r="C220" s="161"/>
      <c r="D220" s="162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  <c r="AD220" s="164"/>
      <c r="AE220" s="164"/>
      <c r="AF220" s="164"/>
      <c r="AG220" s="164"/>
      <c r="AH220" s="164"/>
      <c r="AI220" s="164"/>
      <c r="AJ220" s="164"/>
      <c r="AK220" s="164"/>
      <c r="AL220" s="164"/>
      <c r="AM220" s="164"/>
      <c r="AN220" s="164"/>
      <c r="AO220" s="164"/>
      <c r="AP220" s="164"/>
      <c r="AQ220" s="164"/>
      <c r="AR220" s="164"/>
      <c r="AS220" s="164"/>
      <c r="AT220" s="164"/>
      <c r="AU220" s="164"/>
      <c r="AV220" s="164"/>
      <c r="AW220" s="164"/>
      <c r="AX220" s="164"/>
      <c r="AY220" s="164"/>
      <c r="AZ220" s="164"/>
      <c r="BA220" s="164"/>
      <c r="BB220" s="164"/>
      <c r="BE220" s="164"/>
      <c r="BF220" s="164"/>
      <c r="BG220" s="164"/>
      <c r="BH220" s="164"/>
      <c r="BI220" s="164"/>
      <c r="BJ220" s="164"/>
      <c r="QQ220" s="165"/>
      <c r="QR220" s="166"/>
    </row>
    <row r="221" spans="3:460" ht="5.15" customHeight="1" x14ac:dyDescent="0.35">
      <c r="C221" s="161"/>
      <c r="D221" s="162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  <c r="AD221" s="164"/>
      <c r="AE221" s="164"/>
      <c r="AF221" s="164"/>
      <c r="AG221" s="164"/>
      <c r="AH221" s="164"/>
      <c r="AI221" s="164"/>
      <c r="AJ221" s="164"/>
      <c r="AK221" s="164"/>
      <c r="AL221" s="164"/>
      <c r="AM221" s="164"/>
      <c r="AN221" s="164"/>
      <c r="AO221" s="164"/>
      <c r="AP221" s="164"/>
      <c r="AQ221" s="164"/>
      <c r="AR221" s="164"/>
      <c r="AS221" s="164"/>
      <c r="AT221" s="164"/>
      <c r="AU221" s="164"/>
      <c r="AV221" s="164"/>
      <c r="AW221" s="164">
        <v>10</v>
      </c>
      <c r="AX221" s="164"/>
      <c r="AY221" s="164"/>
      <c r="AZ221" s="164"/>
      <c r="BA221" s="164"/>
      <c r="BB221" s="164"/>
      <c r="BE221" s="164"/>
      <c r="BF221" s="164"/>
      <c r="BG221" s="164"/>
      <c r="BH221" s="164"/>
      <c r="BI221" s="164"/>
      <c r="BJ221" s="164"/>
      <c r="QQ221" s="165"/>
      <c r="QR221" s="166"/>
    </row>
    <row r="222" spans="3:460" ht="5.15" customHeight="1" x14ac:dyDescent="0.35">
      <c r="C222" s="161"/>
      <c r="D222" s="162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4"/>
      <c r="AV222" s="164"/>
      <c r="AW222" s="164"/>
      <c r="AX222" s="164"/>
      <c r="AY222" s="164"/>
      <c r="AZ222" s="164"/>
      <c r="BA222" s="164"/>
      <c r="BB222" s="164"/>
      <c r="BE222" s="164"/>
      <c r="BF222" s="164"/>
      <c r="BG222" s="164"/>
      <c r="BH222" s="164"/>
      <c r="BI222" s="164"/>
      <c r="BJ222" s="164"/>
      <c r="BK222" s="164"/>
      <c r="BL222" s="164"/>
      <c r="BM222" s="164"/>
      <c r="BN222" s="164"/>
      <c r="BO222" s="164"/>
      <c r="BP222" s="164"/>
      <c r="BQ222" s="164"/>
      <c r="BR222" s="164"/>
      <c r="BS222" s="164"/>
      <c r="BT222" s="164"/>
      <c r="BU222" s="164"/>
      <c r="BV222" s="164"/>
      <c r="BW222" s="164"/>
      <c r="BX222" s="164"/>
      <c r="BY222" s="164"/>
      <c r="BZ222" s="164"/>
      <c r="CA222" s="164"/>
      <c r="CB222" s="164"/>
      <c r="CC222" s="164"/>
      <c r="CD222" s="164"/>
      <c r="CE222" s="164"/>
      <c r="CF222" s="164"/>
      <c r="CG222" s="164"/>
      <c r="CH222" s="164"/>
      <c r="CI222" s="164"/>
      <c r="CJ222" s="164"/>
      <c r="CK222" s="164"/>
      <c r="CL222" s="164"/>
      <c r="CM222" s="164"/>
      <c r="CN222" s="164"/>
      <c r="CO222" s="164"/>
      <c r="CP222" s="164"/>
      <c r="CQ222" s="164"/>
      <c r="CR222" s="164"/>
      <c r="CS222" s="164"/>
      <c r="CT222" s="164"/>
      <c r="CU222" s="164"/>
      <c r="CV222" s="164"/>
      <c r="CW222" s="164"/>
      <c r="CX222" s="164"/>
      <c r="CY222" s="164"/>
      <c r="DA222" s="164"/>
      <c r="DB222" s="164"/>
      <c r="DC222" s="164"/>
      <c r="DD222" s="164"/>
      <c r="QQ222" s="165"/>
      <c r="QR222" s="166"/>
    </row>
    <row r="223" spans="3:460" ht="5.15" customHeight="1" x14ac:dyDescent="0.35">
      <c r="C223" s="161"/>
      <c r="D223" s="162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  <c r="AD223" s="164"/>
      <c r="AE223" s="164"/>
      <c r="AF223" s="164"/>
      <c r="AG223" s="164"/>
      <c r="AH223" s="164"/>
      <c r="AI223" s="164"/>
      <c r="AJ223" s="164"/>
      <c r="AK223" s="164"/>
      <c r="AL223" s="164"/>
      <c r="AM223" s="164"/>
      <c r="AN223" s="164"/>
      <c r="AO223" s="164"/>
      <c r="AP223" s="164"/>
      <c r="AQ223" s="164"/>
      <c r="AR223" s="164"/>
      <c r="AS223" s="164"/>
      <c r="AT223" s="164"/>
      <c r="AU223" s="164"/>
      <c r="AV223" s="164"/>
      <c r="AW223" s="164"/>
      <c r="AX223" s="164"/>
      <c r="AY223" s="164"/>
      <c r="AZ223" s="164"/>
      <c r="BA223" s="164"/>
      <c r="BB223" s="164"/>
      <c r="BE223" s="164"/>
      <c r="BF223" s="164"/>
      <c r="BG223" s="164"/>
      <c r="BH223" s="164"/>
      <c r="BI223" s="164"/>
      <c r="BJ223" s="164"/>
      <c r="BK223" s="164"/>
      <c r="BL223" s="164"/>
      <c r="BM223" s="164"/>
      <c r="BN223" s="164"/>
      <c r="BO223" s="164"/>
      <c r="BP223" s="164"/>
      <c r="BQ223" s="164"/>
      <c r="BR223" s="164"/>
      <c r="BS223" s="164"/>
      <c r="BT223" s="164"/>
      <c r="BU223" s="164"/>
      <c r="BV223" s="164"/>
      <c r="BW223" s="164"/>
      <c r="BX223" s="164"/>
      <c r="BY223" s="164"/>
      <c r="BZ223" s="164"/>
      <c r="CA223" s="164"/>
      <c r="CB223" s="164"/>
      <c r="CC223" s="164"/>
      <c r="CD223" s="164"/>
      <c r="CE223" s="164"/>
      <c r="CF223" s="164"/>
      <c r="CG223" s="164"/>
      <c r="CH223" s="164"/>
      <c r="CI223" s="164"/>
      <c r="CJ223" s="164"/>
      <c r="CK223" s="164"/>
      <c r="CL223" s="164"/>
      <c r="CM223" s="164"/>
      <c r="CN223" s="164"/>
      <c r="CO223" s="164"/>
      <c r="CP223" s="164"/>
      <c r="CQ223" s="164"/>
      <c r="CR223" s="164"/>
      <c r="CS223" s="164"/>
      <c r="CT223" s="164"/>
      <c r="CU223" s="164"/>
      <c r="CV223" s="164"/>
      <c r="CW223" s="164"/>
      <c r="CX223" s="164"/>
      <c r="CY223" s="164"/>
      <c r="DA223" s="164"/>
      <c r="DB223" s="164"/>
      <c r="DC223" s="164"/>
      <c r="DD223" s="164"/>
      <c r="II223" s="164"/>
      <c r="IJ223" s="164"/>
      <c r="IK223" s="164"/>
      <c r="IL223" s="164"/>
      <c r="IM223" s="164"/>
      <c r="IN223" s="164"/>
      <c r="IO223" s="164"/>
      <c r="IP223" s="164"/>
      <c r="IQ223" s="164"/>
      <c r="IR223" s="164"/>
      <c r="IS223" s="164"/>
      <c r="IT223" s="164"/>
      <c r="IU223" s="164"/>
      <c r="IV223" s="164"/>
      <c r="IW223" s="164"/>
      <c r="QQ223" s="165"/>
      <c r="QR223" s="166"/>
    </row>
    <row r="224" spans="3:460" ht="5.15" customHeight="1" x14ac:dyDescent="0.35">
      <c r="C224" s="161"/>
      <c r="D224" s="162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4"/>
      <c r="AV224" s="164"/>
      <c r="AW224" s="164"/>
      <c r="AX224" s="164"/>
      <c r="AY224" s="164"/>
      <c r="AZ224" s="164"/>
      <c r="BA224" s="164"/>
      <c r="BB224" s="164"/>
      <c r="BE224" s="164"/>
      <c r="BF224" s="164"/>
      <c r="BG224" s="164"/>
      <c r="BH224" s="164"/>
      <c r="BI224" s="164"/>
      <c r="BJ224" s="164"/>
      <c r="BK224" s="164"/>
      <c r="BL224" s="164"/>
      <c r="BM224" s="164"/>
      <c r="BN224" s="164"/>
      <c r="BO224" s="164"/>
      <c r="BP224" s="164"/>
      <c r="BQ224" s="164"/>
      <c r="BR224" s="164"/>
      <c r="BS224" s="164"/>
      <c r="BT224" s="164"/>
      <c r="BU224" s="164"/>
      <c r="BV224" s="164"/>
      <c r="BW224" s="164"/>
      <c r="BX224" s="164"/>
      <c r="BY224" s="164"/>
      <c r="BZ224" s="164"/>
      <c r="CA224" s="164"/>
      <c r="CB224" s="164"/>
      <c r="CC224" s="164"/>
      <c r="CD224" s="164"/>
      <c r="CE224" s="164"/>
      <c r="CF224" s="164"/>
      <c r="CG224" s="164"/>
      <c r="CH224" s="164"/>
      <c r="CI224" s="164"/>
      <c r="CJ224" s="164"/>
      <c r="CK224" s="164"/>
      <c r="CL224" s="164"/>
      <c r="CM224" s="164"/>
      <c r="CN224" s="164"/>
      <c r="CO224" s="164"/>
      <c r="CP224" s="164"/>
      <c r="CQ224" s="164"/>
      <c r="CR224" s="164"/>
      <c r="CS224" s="164"/>
      <c r="CT224" s="164"/>
      <c r="CU224" s="164"/>
      <c r="CV224" s="164"/>
      <c r="CW224" s="164"/>
      <c r="CX224" s="164"/>
      <c r="CY224" s="164"/>
      <c r="DA224" s="164"/>
      <c r="DB224" s="164"/>
      <c r="DC224" s="164"/>
      <c r="DD224" s="164"/>
      <c r="II224" s="164"/>
      <c r="IJ224" s="164"/>
      <c r="IK224" s="164"/>
      <c r="IL224" s="164"/>
      <c r="IM224" s="164"/>
      <c r="IN224" s="164"/>
      <c r="IO224" s="164"/>
      <c r="IP224" s="164"/>
      <c r="IQ224" s="164"/>
      <c r="IR224" s="164"/>
      <c r="IS224" s="164"/>
      <c r="IT224" s="164"/>
      <c r="IU224" s="164"/>
      <c r="IV224" s="164"/>
      <c r="IW224" s="164"/>
      <c r="QQ224" s="165"/>
      <c r="QR224" s="166"/>
    </row>
    <row r="225" spans="3:460" ht="5.15" customHeight="1" x14ac:dyDescent="0.35">
      <c r="C225" s="161"/>
      <c r="D225" s="162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  <c r="AD225" s="164"/>
      <c r="AE225" s="164"/>
      <c r="AF225" s="164"/>
      <c r="AG225" s="164"/>
      <c r="AH225" s="164"/>
      <c r="AI225" s="164"/>
      <c r="AJ225" s="164"/>
      <c r="AK225" s="164"/>
      <c r="AL225" s="164"/>
      <c r="AM225" s="164"/>
      <c r="AN225" s="164"/>
      <c r="AO225" s="164"/>
      <c r="AP225" s="164"/>
      <c r="AQ225" s="164"/>
      <c r="AR225" s="164"/>
      <c r="AS225" s="164"/>
      <c r="AT225" s="164"/>
      <c r="AU225" s="164"/>
      <c r="AV225" s="164"/>
      <c r="AW225" s="164"/>
      <c r="AX225" s="164"/>
      <c r="AY225" s="164"/>
      <c r="AZ225" s="164"/>
      <c r="BA225" s="164"/>
      <c r="BB225" s="164"/>
      <c r="BE225" s="164"/>
      <c r="BF225" s="164"/>
      <c r="BG225" s="164"/>
      <c r="BH225" s="164"/>
      <c r="BI225" s="164"/>
      <c r="BJ225" s="164"/>
      <c r="BK225" s="164"/>
      <c r="BL225" s="164"/>
      <c r="BM225" s="164"/>
      <c r="BN225" s="164"/>
      <c r="BO225" s="164"/>
      <c r="BP225" s="164"/>
      <c r="BQ225" s="164"/>
      <c r="BR225" s="164"/>
      <c r="BS225" s="164"/>
      <c r="BT225" s="164"/>
      <c r="BU225" s="164"/>
      <c r="BV225" s="164"/>
      <c r="BW225" s="164"/>
      <c r="BX225" s="164"/>
      <c r="BY225" s="164"/>
      <c r="BZ225" s="164"/>
      <c r="CA225" s="164"/>
      <c r="CB225" s="164"/>
      <c r="CC225" s="164"/>
      <c r="CD225" s="164"/>
      <c r="CE225" s="164"/>
      <c r="CF225" s="164"/>
      <c r="CG225" s="164"/>
      <c r="CH225" s="164"/>
      <c r="CI225" s="164"/>
      <c r="CJ225" s="164"/>
      <c r="CK225" s="164"/>
      <c r="CL225" s="164"/>
      <c r="CM225" s="164"/>
      <c r="CN225" s="164"/>
      <c r="CO225" s="164"/>
      <c r="CP225" s="164"/>
      <c r="CQ225" s="164"/>
      <c r="CR225" s="164"/>
      <c r="CS225" s="164"/>
      <c r="CT225" s="164"/>
      <c r="CU225" s="164"/>
      <c r="CV225" s="164"/>
      <c r="CW225" s="164"/>
      <c r="CX225" s="164"/>
      <c r="CY225" s="164"/>
      <c r="DA225" s="164"/>
      <c r="DB225" s="164"/>
      <c r="DC225" s="164"/>
      <c r="DD225" s="164"/>
      <c r="II225" s="164"/>
      <c r="IJ225" s="164"/>
      <c r="IK225" s="164"/>
      <c r="IL225" s="164"/>
      <c r="IM225" s="164"/>
      <c r="IN225" s="164"/>
      <c r="IO225" s="164"/>
      <c r="IP225" s="164"/>
      <c r="IQ225" s="164"/>
      <c r="IR225" s="164"/>
      <c r="IS225" s="164"/>
      <c r="IT225" s="164"/>
      <c r="IU225" s="164"/>
      <c r="IV225" s="164"/>
      <c r="IW225" s="164"/>
      <c r="QQ225" s="165"/>
      <c r="QR225" s="166"/>
    </row>
    <row r="226" spans="3:460" ht="5.15" customHeight="1" x14ac:dyDescent="0.35">
      <c r="C226" s="161"/>
      <c r="D226" s="162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  <c r="AD226" s="164"/>
      <c r="AE226" s="164"/>
      <c r="AF226" s="164"/>
      <c r="AG226" s="164"/>
      <c r="AH226" s="164"/>
      <c r="AI226" s="164"/>
      <c r="AJ226" s="164"/>
      <c r="AK226" s="164"/>
      <c r="AL226" s="164"/>
      <c r="AM226" s="164"/>
      <c r="AN226" s="164"/>
      <c r="AO226" s="164"/>
      <c r="AP226" s="164"/>
      <c r="AQ226" s="164"/>
      <c r="AR226" s="164"/>
      <c r="AS226" s="164"/>
      <c r="AT226" s="164"/>
      <c r="AU226" s="164"/>
      <c r="AV226" s="164"/>
      <c r="AW226" s="164"/>
      <c r="AX226" s="164"/>
      <c r="AY226" s="164"/>
      <c r="AZ226" s="164"/>
      <c r="BA226" s="164"/>
      <c r="BB226" s="164"/>
      <c r="BE226" s="164"/>
      <c r="BF226" s="164"/>
      <c r="BG226" s="164"/>
      <c r="BH226" s="164"/>
      <c r="BI226" s="164"/>
      <c r="BJ226" s="164"/>
      <c r="BK226" s="164"/>
      <c r="BL226" s="164"/>
      <c r="BM226" s="164"/>
      <c r="BN226" s="164"/>
      <c r="BO226" s="164"/>
      <c r="BP226" s="164"/>
      <c r="BQ226" s="164"/>
      <c r="BR226" s="164"/>
      <c r="BS226" s="164"/>
      <c r="BT226" s="164"/>
      <c r="BU226" s="164"/>
      <c r="BV226" s="164"/>
      <c r="BW226" s="164"/>
      <c r="BX226" s="164"/>
      <c r="BY226" s="164"/>
      <c r="BZ226" s="164"/>
      <c r="CA226" s="164"/>
      <c r="CB226" s="164"/>
      <c r="CC226" s="164"/>
      <c r="CD226" s="164"/>
      <c r="CE226" s="164"/>
      <c r="CF226" s="164"/>
      <c r="CG226" s="164"/>
      <c r="CH226" s="164"/>
      <c r="CI226" s="164"/>
      <c r="CJ226" s="164"/>
      <c r="CK226" s="164"/>
      <c r="CL226" s="164"/>
      <c r="CM226" s="164"/>
      <c r="CN226" s="164"/>
      <c r="CO226" s="164"/>
      <c r="CP226" s="164"/>
      <c r="CQ226" s="164"/>
      <c r="CR226" s="164"/>
      <c r="CS226" s="164"/>
      <c r="CT226" s="164"/>
      <c r="CU226" s="164"/>
      <c r="CV226" s="164"/>
      <c r="CW226" s="164"/>
      <c r="CX226" s="164"/>
      <c r="CY226" s="164"/>
      <c r="DA226" s="164"/>
      <c r="DB226" s="164"/>
      <c r="DC226" s="164"/>
      <c r="DD226" s="164"/>
      <c r="II226" s="164"/>
      <c r="IJ226" s="164"/>
      <c r="IK226" s="164"/>
      <c r="IL226" s="164"/>
      <c r="IM226" s="164"/>
      <c r="IN226" s="164"/>
      <c r="IO226" s="164"/>
      <c r="IP226" s="164"/>
      <c r="IQ226" s="164"/>
      <c r="IR226" s="164"/>
      <c r="IS226" s="164"/>
      <c r="IT226" s="164"/>
      <c r="IU226" s="164"/>
      <c r="IV226" s="164"/>
      <c r="IW226" s="164"/>
      <c r="QQ226" s="165"/>
      <c r="QR226" s="166"/>
    </row>
    <row r="227" spans="3:460" ht="5.15" customHeight="1" x14ac:dyDescent="0.35">
      <c r="C227" s="161"/>
      <c r="D227" s="162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  <c r="AD227" s="164"/>
      <c r="AE227" s="164"/>
      <c r="AF227" s="164"/>
      <c r="AG227" s="164"/>
      <c r="AH227" s="164"/>
      <c r="AI227" s="164"/>
      <c r="AJ227" s="164"/>
      <c r="AK227" s="164"/>
      <c r="AL227" s="164"/>
      <c r="AM227" s="164"/>
      <c r="AN227" s="164"/>
      <c r="AO227" s="164"/>
      <c r="AP227" s="164"/>
      <c r="AQ227" s="164"/>
      <c r="AR227" s="164"/>
      <c r="AS227" s="164"/>
      <c r="AT227" s="164"/>
      <c r="AU227" s="164"/>
      <c r="AV227" s="164"/>
      <c r="AW227" s="164"/>
      <c r="AX227" s="164"/>
      <c r="AY227" s="164"/>
      <c r="AZ227" s="164"/>
      <c r="BA227" s="164"/>
      <c r="BB227" s="164"/>
      <c r="BE227" s="164"/>
      <c r="BF227" s="164"/>
      <c r="BG227" s="164"/>
      <c r="BH227" s="164"/>
      <c r="BI227" s="164"/>
      <c r="BJ227" s="164"/>
      <c r="BK227" s="164"/>
      <c r="BL227" s="164"/>
      <c r="BM227" s="164"/>
      <c r="BN227" s="164"/>
      <c r="BO227" s="164"/>
      <c r="BP227" s="164"/>
      <c r="BQ227" s="164"/>
      <c r="BR227" s="164"/>
      <c r="BS227" s="164"/>
      <c r="BT227" s="164"/>
      <c r="BU227" s="164"/>
      <c r="BV227" s="164"/>
      <c r="BW227" s="164"/>
      <c r="BX227" s="164"/>
      <c r="BY227" s="164"/>
      <c r="BZ227" s="164"/>
      <c r="CA227" s="164"/>
      <c r="CB227" s="164"/>
      <c r="CC227" s="164"/>
      <c r="CD227" s="164"/>
      <c r="CE227" s="164"/>
      <c r="CF227" s="164"/>
      <c r="CG227" s="164"/>
      <c r="CH227" s="164"/>
      <c r="CI227" s="164"/>
      <c r="CJ227" s="164"/>
      <c r="CK227" s="164"/>
      <c r="CL227" s="164"/>
      <c r="CM227" s="164"/>
      <c r="CN227" s="164"/>
      <c r="CO227" s="164"/>
      <c r="CP227" s="164"/>
      <c r="CQ227" s="164"/>
      <c r="CR227" s="164"/>
      <c r="CS227" s="164"/>
      <c r="CT227" s="164"/>
      <c r="CU227" s="164"/>
      <c r="CV227" s="164"/>
      <c r="CW227" s="164"/>
      <c r="CX227" s="164"/>
      <c r="CY227" s="164"/>
      <c r="DA227" s="164"/>
      <c r="DB227" s="164"/>
      <c r="DC227" s="164"/>
      <c r="DD227" s="164"/>
      <c r="QQ227" s="165"/>
      <c r="QR227" s="166"/>
    </row>
    <row r="228" spans="3:460" ht="5.15" customHeight="1" x14ac:dyDescent="0.35">
      <c r="C228" s="161"/>
      <c r="D228" s="162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  <c r="AD228" s="164"/>
      <c r="AE228" s="164"/>
      <c r="AF228" s="164"/>
      <c r="AG228" s="164"/>
      <c r="AH228" s="164"/>
      <c r="AI228" s="164"/>
      <c r="AJ228" s="164"/>
      <c r="AK228" s="164"/>
      <c r="AL228" s="164"/>
      <c r="AM228" s="164"/>
      <c r="AN228" s="164"/>
      <c r="AO228" s="164"/>
      <c r="AP228" s="164"/>
      <c r="AQ228" s="164"/>
      <c r="AR228" s="164"/>
      <c r="AS228" s="164"/>
      <c r="AT228" s="164"/>
      <c r="AU228" s="164"/>
      <c r="AV228" s="164"/>
      <c r="AW228" s="164"/>
      <c r="AX228" s="164"/>
      <c r="AY228" s="164"/>
      <c r="AZ228" s="164"/>
      <c r="BA228" s="164"/>
      <c r="BB228" s="164"/>
      <c r="BE228" s="164"/>
      <c r="BF228" s="164"/>
      <c r="BG228" s="164"/>
      <c r="BH228" s="164"/>
      <c r="BI228" s="164"/>
      <c r="BJ228" s="164"/>
      <c r="BK228" s="164"/>
      <c r="BL228" s="164"/>
      <c r="BM228" s="164"/>
      <c r="BN228" s="164"/>
      <c r="BO228" s="164"/>
      <c r="BP228" s="164"/>
      <c r="BQ228" s="164"/>
      <c r="BR228" s="164"/>
      <c r="BS228" s="164"/>
      <c r="BT228" s="164"/>
      <c r="BU228" s="164"/>
      <c r="BV228" s="164"/>
      <c r="BW228" s="164"/>
      <c r="BX228" s="164"/>
      <c r="BY228" s="164"/>
      <c r="BZ228" s="164"/>
      <c r="CA228" s="164"/>
      <c r="CB228" s="164"/>
      <c r="CC228" s="164"/>
      <c r="CD228" s="164"/>
      <c r="CE228" s="164"/>
      <c r="CF228" s="164"/>
      <c r="CG228" s="164"/>
      <c r="CH228" s="164"/>
      <c r="CI228" s="164"/>
      <c r="CJ228" s="164"/>
      <c r="CK228" s="164"/>
      <c r="CL228" s="164"/>
      <c r="CM228" s="164"/>
      <c r="CN228" s="164"/>
      <c r="CO228" s="164"/>
      <c r="CP228" s="164"/>
      <c r="CQ228" s="164"/>
      <c r="CR228" s="164"/>
      <c r="CS228" s="164"/>
      <c r="CT228" s="164"/>
      <c r="CU228" s="164"/>
      <c r="CV228" s="164"/>
      <c r="CW228" s="164"/>
      <c r="CX228" s="164"/>
      <c r="CY228" s="164"/>
      <c r="DA228" s="164"/>
      <c r="DB228" s="164"/>
      <c r="DC228" s="164"/>
      <c r="DD228" s="164"/>
      <c r="QQ228" s="165"/>
      <c r="QR228" s="166"/>
    </row>
    <row r="229" spans="3:460" ht="5.15" customHeight="1" x14ac:dyDescent="0.35">
      <c r="C229" s="161"/>
      <c r="D229" s="162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  <c r="AD229" s="164"/>
      <c r="AE229" s="164"/>
      <c r="AF229" s="164"/>
      <c r="AG229" s="164"/>
      <c r="AH229" s="164"/>
      <c r="AI229" s="164"/>
      <c r="AJ229" s="164"/>
      <c r="AK229" s="164"/>
      <c r="AL229" s="164"/>
      <c r="AM229" s="164"/>
      <c r="AN229" s="164"/>
      <c r="AO229" s="164"/>
      <c r="AP229" s="164"/>
      <c r="AQ229" s="164"/>
      <c r="AR229" s="164"/>
      <c r="AS229" s="164"/>
      <c r="AT229" s="164"/>
      <c r="AU229" s="164"/>
      <c r="AV229" s="164"/>
      <c r="AW229" s="164"/>
      <c r="AX229" s="164"/>
      <c r="AY229" s="164"/>
      <c r="AZ229" s="164"/>
      <c r="BA229" s="164"/>
      <c r="BB229" s="164"/>
      <c r="BE229" s="164"/>
      <c r="BF229" s="164"/>
      <c r="BG229" s="164"/>
      <c r="BH229" s="164"/>
      <c r="BI229" s="164"/>
      <c r="BJ229" s="164"/>
      <c r="BK229" s="164"/>
      <c r="BL229" s="164"/>
      <c r="BM229" s="164"/>
      <c r="BN229" s="164"/>
      <c r="BO229" s="164"/>
      <c r="BP229" s="164"/>
      <c r="BQ229" s="164"/>
      <c r="BR229" s="164"/>
      <c r="BS229" s="164"/>
      <c r="BT229" s="164"/>
      <c r="BU229" s="164"/>
      <c r="BV229" s="164"/>
      <c r="BW229" s="164"/>
      <c r="BX229" s="164"/>
      <c r="BY229" s="164"/>
      <c r="BZ229" s="164"/>
      <c r="CA229" s="164"/>
      <c r="CB229" s="164"/>
      <c r="CC229" s="164"/>
      <c r="CD229" s="164"/>
      <c r="CE229" s="164"/>
      <c r="CF229" s="164"/>
      <c r="CG229" s="164"/>
      <c r="CH229" s="164"/>
      <c r="CI229" s="164"/>
      <c r="CJ229" s="164"/>
      <c r="CK229" s="164"/>
      <c r="CL229" s="164"/>
      <c r="CM229" s="164"/>
      <c r="CN229" s="164"/>
      <c r="CO229" s="164"/>
      <c r="CP229" s="164"/>
      <c r="CQ229" s="164"/>
      <c r="CR229" s="164"/>
      <c r="CS229" s="164"/>
      <c r="CT229" s="164"/>
      <c r="CU229" s="164"/>
      <c r="CV229" s="164"/>
      <c r="CW229" s="164"/>
      <c r="CX229" s="164"/>
      <c r="CY229" s="164"/>
      <c r="DA229" s="164"/>
      <c r="DB229" s="164"/>
      <c r="DC229" s="164"/>
      <c r="DD229" s="164"/>
      <c r="QQ229" s="165"/>
      <c r="QR229" s="166"/>
    </row>
    <row r="230" spans="3:460" ht="5.15" customHeight="1" x14ac:dyDescent="0.35">
      <c r="C230" s="161"/>
      <c r="D230" s="162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  <c r="AD230" s="164"/>
      <c r="AE230" s="164"/>
      <c r="AF230" s="164"/>
      <c r="AG230" s="164"/>
      <c r="AH230" s="164"/>
      <c r="AI230" s="164"/>
      <c r="AJ230" s="164"/>
      <c r="AK230" s="164"/>
      <c r="AL230" s="164"/>
      <c r="AM230" s="164"/>
      <c r="AN230" s="164"/>
      <c r="AO230" s="164"/>
      <c r="AP230" s="164"/>
      <c r="AQ230" s="164"/>
      <c r="AR230" s="164"/>
      <c r="AS230" s="164"/>
      <c r="AT230" s="164"/>
      <c r="AU230" s="164"/>
      <c r="AV230" s="164"/>
      <c r="AW230" s="164"/>
      <c r="AX230" s="164"/>
      <c r="AY230" s="164"/>
      <c r="AZ230" s="164"/>
      <c r="BA230" s="164"/>
      <c r="BB230" s="164"/>
      <c r="BE230" s="164"/>
      <c r="BF230" s="164"/>
      <c r="BG230" s="164"/>
      <c r="BH230" s="164"/>
      <c r="BI230" s="164"/>
      <c r="BJ230" s="164"/>
      <c r="BK230" s="164"/>
      <c r="BL230" s="164"/>
      <c r="BM230" s="164"/>
      <c r="BN230" s="164"/>
      <c r="BO230" s="164"/>
      <c r="BP230" s="164"/>
      <c r="BQ230" s="164"/>
      <c r="BR230" s="164"/>
      <c r="BS230" s="164"/>
      <c r="BT230" s="164"/>
      <c r="BU230" s="164"/>
      <c r="BV230" s="164"/>
      <c r="BW230" s="164"/>
      <c r="BX230" s="164"/>
      <c r="BY230" s="164"/>
      <c r="BZ230" s="164"/>
      <c r="CA230" s="164"/>
      <c r="CB230" s="164"/>
      <c r="CC230" s="164"/>
      <c r="CD230" s="164"/>
      <c r="CE230" s="164"/>
      <c r="CF230" s="164"/>
      <c r="CG230" s="164"/>
      <c r="CH230" s="164"/>
      <c r="CI230" s="164"/>
      <c r="CJ230" s="164"/>
      <c r="CK230" s="164"/>
      <c r="CL230" s="164"/>
      <c r="CM230" s="164"/>
      <c r="CN230" s="164"/>
      <c r="CO230" s="164"/>
      <c r="CP230" s="164"/>
      <c r="CQ230" s="164"/>
      <c r="CR230" s="164"/>
      <c r="CS230" s="164"/>
      <c r="CT230" s="164"/>
      <c r="CU230" s="164"/>
      <c r="CV230" s="164"/>
      <c r="CW230" s="164"/>
      <c r="CX230" s="164"/>
      <c r="CY230" s="164"/>
      <c r="DA230" s="164"/>
      <c r="DB230" s="164"/>
      <c r="DC230" s="164"/>
      <c r="DD230" s="164"/>
      <c r="QQ230" s="165"/>
      <c r="QR230" s="166"/>
    </row>
    <row r="231" spans="3:460" ht="5.15" customHeight="1" x14ac:dyDescent="0.35">
      <c r="C231" s="161"/>
      <c r="D231" s="162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  <c r="AD231" s="164"/>
      <c r="AE231" s="164"/>
      <c r="AF231" s="164"/>
      <c r="AG231" s="164"/>
      <c r="AH231" s="164"/>
      <c r="AI231" s="164"/>
      <c r="AJ231" s="164"/>
      <c r="AK231" s="164"/>
      <c r="AL231" s="164"/>
      <c r="AM231" s="164"/>
      <c r="AN231" s="164"/>
      <c r="AO231" s="164"/>
      <c r="AP231" s="164"/>
      <c r="AQ231" s="164"/>
      <c r="AR231" s="164"/>
      <c r="AS231" s="164"/>
      <c r="AT231" s="164"/>
      <c r="AU231" s="164"/>
      <c r="AV231" s="164"/>
      <c r="AW231" s="164">
        <v>10</v>
      </c>
      <c r="AX231" s="164"/>
      <c r="AY231" s="164"/>
      <c r="AZ231" s="164"/>
      <c r="BA231" s="164"/>
      <c r="BB231" s="164"/>
      <c r="BE231" s="164"/>
      <c r="BF231" s="164"/>
      <c r="BG231" s="164"/>
      <c r="BH231" s="164"/>
      <c r="BI231" s="164"/>
      <c r="BJ231" s="164"/>
      <c r="BK231" s="164"/>
      <c r="BL231" s="164"/>
      <c r="BM231" s="164"/>
      <c r="BN231" s="164"/>
      <c r="BO231" s="164"/>
      <c r="BP231" s="164"/>
      <c r="BQ231" s="164"/>
      <c r="BR231" s="164"/>
      <c r="BS231" s="164"/>
      <c r="BT231" s="164"/>
      <c r="BU231" s="164"/>
      <c r="BV231" s="164"/>
      <c r="BW231" s="164"/>
      <c r="BX231" s="164"/>
      <c r="BY231" s="164"/>
      <c r="BZ231" s="164"/>
      <c r="CA231" s="164"/>
      <c r="CB231" s="164"/>
      <c r="CC231" s="164"/>
      <c r="CD231" s="164"/>
      <c r="CE231" s="164"/>
      <c r="CF231" s="164"/>
      <c r="CG231" s="164"/>
      <c r="CH231" s="164"/>
      <c r="CI231" s="164"/>
      <c r="CJ231" s="164"/>
      <c r="CK231" s="164"/>
      <c r="CL231" s="164"/>
      <c r="CM231" s="164"/>
      <c r="CN231" s="164"/>
      <c r="CO231" s="164"/>
      <c r="CP231" s="164"/>
      <c r="CQ231" s="164"/>
      <c r="CR231" s="164"/>
      <c r="CS231" s="164"/>
      <c r="CT231" s="164"/>
      <c r="CU231" s="164"/>
      <c r="CV231" s="164"/>
      <c r="CW231" s="164"/>
      <c r="CX231" s="164"/>
      <c r="CY231" s="164"/>
      <c r="DA231" s="164"/>
      <c r="DB231" s="164"/>
      <c r="DC231" s="164"/>
      <c r="DD231" s="164"/>
      <c r="QQ231" s="165"/>
      <c r="QR231" s="166"/>
    </row>
    <row r="232" spans="3:460" ht="5.15" customHeight="1" x14ac:dyDescent="0.35">
      <c r="C232" s="161"/>
      <c r="D232" s="162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  <c r="AD232" s="164"/>
      <c r="AE232" s="164"/>
      <c r="AF232" s="164"/>
      <c r="AG232" s="164"/>
      <c r="AH232" s="164"/>
      <c r="AI232" s="164"/>
      <c r="AJ232" s="164"/>
      <c r="AK232" s="164"/>
      <c r="AL232" s="164"/>
      <c r="AM232" s="164"/>
      <c r="AN232" s="164"/>
      <c r="AO232" s="164"/>
      <c r="AP232" s="164"/>
      <c r="AQ232" s="164"/>
      <c r="AR232" s="164"/>
      <c r="AS232" s="164"/>
      <c r="AT232" s="164"/>
      <c r="AU232" s="164"/>
      <c r="AV232" s="164"/>
      <c r="AW232" s="164"/>
      <c r="AX232" s="164"/>
      <c r="AY232" s="164"/>
      <c r="AZ232" s="164"/>
      <c r="BA232" s="164"/>
      <c r="BB232" s="164"/>
      <c r="BE232" s="164"/>
      <c r="BF232" s="164"/>
      <c r="BG232" s="164"/>
      <c r="BH232" s="164"/>
      <c r="BI232" s="164"/>
      <c r="BJ232" s="164"/>
      <c r="BK232" s="164"/>
      <c r="BL232" s="164"/>
      <c r="BM232" s="164"/>
      <c r="BN232" s="164"/>
      <c r="BO232" s="164"/>
      <c r="BP232" s="164"/>
      <c r="BQ232" s="164"/>
      <c r="BR232" s="164"/>
      <c r="BS232" s="164"/>
      <c r="BT232" s="164"/>
      <c r="BU232" s="164"/>
      <c r="BV232" s="164"/>
      <c r="BW232" s="164"/>
      <c r="BX232" s="164"/>
      <c r="BY232" s="164"/>
      <c r="BZ232" s="164"/>
      <c r="CA232" s="164"/>
      <c r="CB232" s="164"/>
      <c r="CC232" s="164"/>
      <c r="CD232" s="164"/>
      <c r="CE232" s="164"/>
      <c r="CF232" s="164"/>
      <c r="CG232" s="164"/>
      <c r="CH232" s="164"/>
      <c r="CI232" s="164"/>
      <c r="CJ232" s="164"/>
      <c r="CK232" s="164"/>
      <c r="CL232" s="164"/>
      <c r="CM232" s="164"/>
      <c r="CN232" s="164"/>
      <c r="CO232" s="164"/>
      <c r="CP232" s="164"/>
      <c r="CQ232" s="164"/>
      <c r="CR232" s="164"/>
      <c r="CS232" s="164"/>
      <c r="CT232" s="164"/>
      <c r="CU232" s="164"/>
      <c r="CV232" s="164"/>
      <c r="CW232" s="164"/>
      <c r="CX232" s="164"/>
      <c r="CY232" s="164"/>
      <c r="DA232" s="164"/>
      <c r="DB232" s="164"/>
      <c r="DC232" s="164"/>
      <c r="DD232" s="164"/>
      <c r="QQ232" s="165"/>
      <c r="QR232" s="166"/>
    </row>
    <row r="233" spans="3:460" ht="5.15" customHeight="1" x14ac:dyDescent="0.35">
      <c r="C233" s="161"/>
      <c r="D233" s="162"/>
      <c r="QQ233" s="165"/>
      <c r="QR233" s="166"/>
    </row>
    <row r="234" spans="3:460" ht="5.15" customHeight="1" x14ac:dyDescent="0.35">
      <c r="C234" s="161"/>
      <c r="D234" s="162"/>
      <c r="QQ234" s="165"/>
      <c r="QR234" s="166"/>
    </row>
    <row r="235" spans="3:460" ht="5.15" customHeight="1" x14ac:dyDescent="0.35">
      <c r="C235" s="161"/>
      <c r="D235" s="162"/>
      <c r="QQ235" s="165"/>
      <c r="QR235" s="166"/>
    </row>
    <row r="236" spans="3:460" ht="5.15" customHeight="1" x14ac:dyDescent="0.35">
      <c r="C236" s="161"/>
      <c r="D236" s="162"/>
      <c r="QQ236" s="165"/>
      <c r="QR236" s="166"/>
    </row>
    <row r="237" spans="3:460" ht="5.15" customHeight="1" x14ac:dyDescent="0.35">
      <c r="C237" s="161"/>
      <c r="D237" s="162"/>
      <c r="QQ237" s="165"/>
      <c r="QR237" s="166"/>
    </row>
    <row r="238" spans="3:460" ht="5.15" customHeight="1" x14ac:dyDescent="0.35">
      <c r="C238" s="161"/>
      <c r="D238" s="162"/>
      <c r="QQ238" s="165"/>
      <c r="QR238" s="166"/>
    </row>
    <row r="239" spans="3:460" ht="5.15" customHeight="1" x14ac:dyDescent="0.35">
      <c r="C239" s="161"/>
      <c r="D239" s="162"/>
      <c r="QQ239" s="165"/>
      <c r="QR239" s="166"/>
    </row>
    <row r="240" spans="3:460" ht="5.15" customHeight="1" x14ac:dyDescent="0.35">
      <c r="C240" s="161"/>
      <c r="D240" s="162"/>
      <c r="MG240" s="164"/>
      <c r="MH240" s="164"/>
      <c r="MI240" s="164"/>
      <c r="MJ240" s="164"/>
      <c r="MK240" s="164"/>
      <c r="ML240" s="164"/>
      <c r="MM240" s="164"/>
      <c r="MN240" s="164"/>
      <c r="MO240" s="164"/>
      <c r="MP240" s="164"/>
      <c r="MQ240" s="164"/>
      <c r="MR240" s="164"/>
      <c r="MS240" s="164"/>
      <c r="MT240" s="164"/>
      <c r="MU240" s="164"/>
      <c r="MV240" s="164"/>
      <c r="MW240" s="164"/>
      <c r="MX240" s="164"/>
      <c r="MY240" s="164"/>
      <c r="MZ240" s="164"/>
      <c r="NA240" s="164"/>
      <c r="NB240" s="164"/>
      <c r="NC240" s="164"/>
      <c r="ND240" s="164"/>
      <c r="NE240" s="164"/>
      <c r="NF240" s="164"/>
      <c r="NG240" s="164"/>
      <c r="NH240" s="164"/>
      <c r="NI240" s="164"/>
      <c r="NJ240" s="164"/>
      <c r="NK240" s="164"/>
      <c r="NL240" s="164"/>
      <c r="NM240" s="164"/>
      <c r="NN240" s="164"/>
      <c r="NO240" s="164"/>
      <c r="NP240" s="164"/>
      <c r="QQ240" s="165"/>
      <c r="QR240" s="166"/>
    </row>
    <row r="241" spans="3:460" ht="5.15" customHeight="1" thickBot="1" x14ac:dyDescent="0.4">
      <c r="C241" s="161"/>
      <c r="D241" s="162"/>
      <c r="MG241" s="164"/>
      <c r="MH241" s="164"/>
      <c r="MI241" s="164"/>
      <c r="MJ241" s="164"/>
      <c r="MK241" s="164"/>
      <c r="ML241" s="164"/>
      <c r="MM241" s="164"/>
      <c r="MN241" s="164"/>
      <c r="MO241" s="164"/>
      <c r="MP241" s="164"/>
      <c r="MQ241" s="164"/>
      <c r="MR241" s="164"/>
      <c r="MS241" s="164"/>
      <c r="MT241" s="164"/>
      <c r="MU241" s="164"/>
      <c r="MV241" s="164"/>
      <c r="MW241" s="164"/>
      <c r="MX241" s="164"/>
      <c r="MY241" s="164"/>
      <c r="MZ241" s="164"/>
      <c r="NA241" s="164"/>
      <c r="NB241" s="164"/>
      <c r="NC241" s="164"/>
      <c r="ND241" s="164"/>
      <c r="NE241" s="164"/>
      <c r="NF241" s="164"/>
      <c r="NG241" s="164"/>
      <c r="NH241" s="164"/>
      <c r="NI241" s="164"/>
      <c r="NJ241" s="164"/>
      <c r="NK241" s="164"/>
      <c r="NL241" s="164"/>
      <c r="NM241" s="164"/>
      <c r="NN241" s="164"/>
      <c r="NO241" s="164"/>
      <c r="NP241" s="164"/>
      <c r="QQ241" s="165"/>
      <c r="QR241" s="166"/>
    </row>
    <row r="242" spans="3:460" ht="5.15" customHeight="1" thickBot="1" x14ac:dyDescent="0.4">
      <c r="C242" s="161"/>
      <c r="D242" s="162"/>
      <c r="MG242" s="164"/>
      <c r="MH242" s="164"/>
      <c r="MI242" s="164"/>
      <c r="MJ242" s="164"/>
      <c r="MK242" s="164"/>
      <c r="ML242" s="164"/>
      <c r="MM242" s="164"/>
      <c r="MN242" s="164"/>
      <c r="MO242" s="164"/>
      <c r="MP242" s="164"/>
      <c r="MQ242" s="164"/>
      <c r="MR242" s="164"/>
      <c r="MS242" s="164"/>
      <c r="MT242" s="164"/>
      <c r="MU242" s="164"/>
      <c r="MV242" s="164"/>
      <c r="MW242" s="164"/>
      <c r="MX242" s="164"/>
      <c r="MY242" s="164"/>
      <c r="MZ242" s="164"/>
      <c r="NA242" s="164"/>
      <c r="NB242" s="164"/>
      <c r="NC242" s="164"/>
      <c r="ND242" s="164">
        <v>100</v>
      </c>
      <c r="NE242" s="164"/>
      <c r="NF242" s="164"/>
      <c r="NG242" s="164"/>
      <c r="NH242" s="164"/>
      <c r="NI242" s="164"/>
      <c r="NJ242" s="164"/>
      <c r="NK242" s="164"/>
      <c r="NL242" s="164"/>
      <c r="NM242" s="164"/>
      <c r="NN242" s="164"/>
      <c r="NO242" s="164"/>
      <c r="NP242" s="164"/>
      <c r="OD242" s="388" t="s">
        <v>305</v>
      </c>
      <c r="OE242" s="389"/>
      <c r="OF242" s="389"/>
      <c r="OG242" s="389"/>
      <c r="OH242" s="389"/>
      <c r="OI242" s="389"/>
      <c r="OJ242" s="389"/>
      <c r="OK242" s="389"/>
      <c r="OL242" s="389"/>
      <c r="OM242" s="389"/>
      <c r="ON242" s="389"/>
      <c r="OO242" s="389"/>
      <c r="OP242" s="389"/>
      <c r="OQ242" s="389"/>
      <c r="OR242" s="389"/>
      <c r="OS242" s="389"/>
      <c r="OT242" s="389"/>
      <c r="OU242" s="389"/>
      <c r="OV242" s="389"/>
      <c r="OW242" s="389"/>
      <c r="OX242" s="389"/>
      <c r="OY242" s="389"/>
      <c r="OZ242" s="389"/>
      <c r="PA242" s="389"/>
      <c r="PB242" s="389"/>
      <c r="PC242" s="389"/>
      <c r="PD242" s="389"/>
      <c r="PE242" s="389"/>
      <c r="PF242" s="389"/>
      <c r="PG242" s="389"/>
      <c r="PH242" s="389"/>
      <c r="PI242" s="389"/>
      <c r="PJ242" s="389"/>
      <c r="PK242" s="389"/>
      <c r="PL242" s="389"/>
      <c r="PM242" s="389"/>
      <c r="PN242" s="389"/>
      <c r="PO242" s="389"/>
      <c r="PP242" s="389"/>
      <c r="PQ242" s="389"/>
      <c r="PR242" s="389"/>
      <c r="PS242" s="389"/>
      <c r="PT242" s="389"/>
      <c r="PU242" s="389"/>
      <c r="PV242" s="389"/>
      <c r="PW242" s="389"/>
      <c r="PX242" s="389"/>
      <c r="PY242" s="389"/>
      <c r="PZ242" s="389"/>
      <c r="QA242" s="390"/>
      <c r="QB242" s="397">
        <v>100</v>
      </c>
      <c r="QC242" s="398"/>
      <c r="QD242" s="398"/>
      <c r="QE242" s="398"/>
      <c r="QF242" s="398"/>
      <c r="QG242" s="398"/>
      <c r="QH242" s="398"/>
      <c r="QI242" s="398"/>
      <c r="QJ242" s="398"/>
      <c r="QK242" s="398"/>
      <c r="QL242" s="398"/>
      <c r="QM242" s="399"/>
      <c r="QQ242" s="165"/>
      <c r="QR242" s="166"/>
    </row>
    <row r="243" spans="3:460" ht="5.15" customHeight="1" x14ac:dyDescent="0.35">
      <c r="C243" s="161"/>
      <c r="D243" s="162"/>
      <c r="F243" s="406" t="s">
        <v>306</v>
      </c>
      <c r="G243" s="407"/>
      <c r="H243" s="407"/>
      <c r="I243" s="407"/>
      <c r="J243" s="407"/>
      <c r="K243" s="407"/>
      <c r="L243" s="407"/>
      <c r="M243" s="407"/>
      <c r="N243" s="407"/>
      <c r="O243" s="407"/>
      <c r="P243" s="407"/>
      <c r="Q243" s="407"/>
      <c r="R243" s="407"/>
      <c r="S243" s="407"/>
      <c r="T243" s="407"/>
      <c r="U243" s="407"/>
      <c r="V243" s="407"/>
      <c r="W243" s="407"/>
      <c r="X243" s="407"/>
      <c r="Y243" s="407"/>
      <c r="Z243" s="407"/>
      <c r="AA243" s="407"/>
      <c r="AB243" s="407"/>
      <c r="AC243" s="407"/>
      <c r="AD243" s="407"/>
      <c r="AE243" s="407"/>
      <c r="AF243" s="407"/>
      <c r="AG243" s="408"/>
      <c r="AH243" s="406" t="s">
        <v>307</v>
      </c>
      <c r="AI243" s="407"/>
      <c r="AJ243" s="407"/>
      <c r="AK243" s="407"/>
      <c r="AL243" s="407"/>
      <c r="AM243" s="407"/>
      <c r="AN243" s="407"/>
      <c r="AO243" s="407"/>
      <c r="AP243" s="407"/>
      <c r="AQ243" s="407"/>
      <c r="AR243" s="407"/>
      <c r="AS243" s="407"/>
      <c r="AT243" s="407"/>
      <c r="AU243" s="407"/>
      <c r="AV243" s="407"/>
      <c r="AW243" s="407"/>
      <c r="AX243" s="407"/>
      <c r="AY243" s="407"/>
      <c r="AZ243" s="407"/>
      <c r="BA243" s="407"/>
      <c r="BB243" s="407"/>
      <c r="BC243" s="407"/>
      <c r="BD243" s="407"/>
      <c r="BE243" s="407"/>
      <c r="BF243" s="407"/>
      <c r="BG243" s="407"/>
      <c r="BH243" s="407"/>
      <c r="BI243" s="408"/>
      <c r="BJ243" s="406" t="s">
        <v>308</v>
      </c>
      <c r="BK243" s="407"/>
      <c r="BL243" s="407"/>
      <c r="BM243" s="407"/>
      <c r="BN243" s="407"/>
      <c r="BO243" s="407"/>
      <c r="BP243" s="407"/>
      <c r="BQ243" s="407"/>
      <c r="BR243" s="407"/>
      <c r="BS243" s="407"/>
      <c r="BT243" s="407"/>
      <c r="BU243" s="407"/>
      <c r="BV243" s="407"/>
      <c r="BW243" s="407"/>
      <c r="BX243" s="407"/>
      <c r="BY243" s="407"/>
      <c r="BZ243" s="407"/>
      <c r="CA243" s="407"/>
      <c r="CB243" s="407"/>
      <c r="CC243" s="407"/>
      <c r="CD243" s="407"/>
      <c r="CE243" s="407"/>
      <c r="CF243" s="407"/>
      <c r="CG243" s="407"/>
      <c r="CH243" s="407"/>
      <c r="CI243" s="407"/>
      <c r="CJ243" s="407"/>
      <c r="CK243" s="408"/>
      <c r="HE243" s="164"/>
      <c r="HF243" s="164"/>
      <c r="HG243" s="164"/>
      <c r="HH243" s="164"/>
      <c r="HI243" s="164"/>
      <c r="HJ243" s="164"/>
      <c r="HK243" s="164"/>
      <c r="HL243" s="164"/>
      <c r="HM243" s="164"/>
      <c r="HN243" s="164"/>
      <c r="HO243" s="164"/>
      <c r="HP243" s="164"/>
      <c r="HQ243" s="164"/>
      <c r="HR243" s="164"/>
      <c r="HS243" s="164"/>
      <c r="HT243" s="164"/>
      <c r="HU243" s="164"/>
      <c r="HV243" s="164"/>
      <c r="HW243" s="164"/>
      <c r="HX243" s="164"/>
      <c r="HY243" s="164"/>
      <c r="HZ243" s="164"/>
      <c r="IA243" s="164"/>
      <c r="MG243" s="164"/>
      <c r="MH243" s="164"/>
      <c r="MI243" s="164"/>
      <c r="MJ243" s="164"/>
      <c r="MK243" s="164"/>
      <c r="ML243" s="164"/>
      <c r="MM243" s="164"/>
      <c r="MN243" s="164"/>
      <c r="MO243" s="164"/>
      <c r="MP243" s="164"/>
      <c r="MQ243" s="164"/>
      <c r="MR243" s="164"/>
      <c r="MS243" s="164"/>
      <c r="MT243" s="164"/>
      <c r="MU243" s="164"/>
      <c r="MV243" s="164"/>
      <c r="MW243" s="164"/>
      <c r="MX243" s="164"/>
      <c r="MY243" s="164"/>
      <c r="MZ243" s="164"/>
      <c r="NA243" s="164"/>
      <c r="NB243" s="164"/>
      <c r="NC243" s="164"/>
      <c r="ND243" s="164"/>
      <c r="NE243" s="164"/>
      <c r="NF243" s="164"/>
      <c r="NG243" s="164"/>
      <c r="NH243" s="164"/>
      <c r="NI243" s="164"/>
      <c r="NJ243" s="164"/>
      <c r="NK243" s="164"/>
      <c r="NL243" s="164"/>
      <c r="NM243" s="164"/>
      <c r="NN243" s="164"/>
      <c r="NO243" s="164"/>
      <c r="NP243" s="164"/>
      <c r="OD243" s="391"/>
      <c r="OE243" s="392"/>
      <c r="OF243" s="392"/>
      <c r="OG243" s="392"/>
      <c r="OH243" s="392"/>
      <c r="OI243" s="392"/>
      <c r="OJ243" s="392"/>
      <c r="OK243" s="392"/>
      <c r="OL243" s="392"/>
      <c r="OM243" s="392"/>
      <c r="ON243" s="392"/>
      <c r="OO243" s="392"/>
      <c r="OP243" s="392"/>
      <c r="OQ243" s="392"/>
      <c r="OR243" s="392"/>
      <c r="OS243" s="392"/>
      <c r="OT243" s="392"/>
      <c r="OU243" s="392"/>
      <c r="OV243" s="392"/>
      <c r="OW243" s="392"/>
      <c r="OX243" s="392"/>
      <c r="OY243" s="392"/>
      <c r="OZ243" s="392"/>
      <c r="PA243" s="392"/>
      <c r="PB243" s="392"/>
      <c r="PC243" s="392"/>
      <c r="PD243" s="392"/>
      <c r="PE243" s="392"/>
      <c r="PF243" s="392"/>
      <c r="PG243" s="392"/>
      <c r="PH243" s="392"/>
      <c r="PI243" s="392"/>
      <c r="PJ243" s="392"/>
      <c r="PK243" s="392"/>
      <c r="PL243" s="392"/>
      <c r="PM243" s="392"/>
      <c r="PN243" s="392"/>
      <c r="PO243" s="392"/>
      <c r="PP243" s="392"/>
      <c r="PQ243" s="392"/>
      <c r="PR243" s="392"/>
      <c r="PS243" s="392"/>
      <c r="PT243" s="392"/>
      <c r="PU243" s="392"/>
      <c r="PV243" s="392"/>
      <c r="PW243" s="392"/>
      <c r="PX243" s="392"/>
      <c r="PY243" s="392"/>
      <c r="PZ243" s="392"/>
      <c r="QA243" s="393"/>
      <c r="QB243" s="400"/>
      <c r="QC243" s="401"/>
      <c r="QD243" s="401"/>
      <c r="QE243" s="401"/>
      <c r="QF243" s="401"/>
      <c r="QG243" s="401"/>
      <c r="QH243" s="401"/>
      <c r="QI243" s="401"/>
      <c r="QJ243" s="401"/>
      <c r="QK243" s="401"/>
      <c r="QL243" s="401"/>
      <c r="QM243" s="402"/>
      <c r="QQ243" s="165"/>
      <c r="QR243" s="166"/>
    </row>
    <row r="244" spans="3:460" ht="5.15" customHeight="1" x14ac:dyDescent="0.35">
      <c r="C244" s="161"/>
      <c r="D244" s="162"/>
      <c r="F244" s="409"/>
      <c r="G244" s="378"/>
      <c r="H244" s="378"/>
      <c r="I244" s="378"/>
      <c r="J244" s="378"/>
      <c r="K244" s="378"/>
      <c r="L244" s="378"/>
      <c r="M244" s="378"/>
      <c r="N244" s="378"/>
      <c r="O244" s="378"/>
      <c r="P244" s="378"/>
      <c r="Q244" s="378"/>
      <c r="R244" s="378"/>
      <c r="S244" s="378"/>
      <c r="T244" s="378"/>
      <c r="U244" s="378"/>
      <c r="V244" s="378"/>
      <c r="W244" s="378"/>
      <c r="X244" s="378"/>
      <c r="Y244" s="378"/>
      <c r="Z244" s="378"/>
      <c r="AA244" s="378"/>
      <c r="AB244" s="378"/>
      <c r="AC244" s="378"/>
      <c r="AD244" s="378"/>
      <c r="AE244" s="378"/>
      <c r="AF244" s="378"/>
      <c r="AG244" s="410"/>
      <c r="AH244" s="409"/>
      <c r="AI244" s="378"/>
      <c r="AJ244" s="378"/>
      <c r="AK244" s="378"/>
      <c r="AL244" s="378"/>
      <c r="AM244" s="378"/>
      <c r="AN244" s="378"/>
      <c r="AO244" s="378"/>
      <c r="AP244" s="378"/>
      <c r="AQ244" s="378"/>
      <c r="AR244" s="378"/>
      <c r="AS244" s="378"/>
      <c r="AT244" s="378"/>
      <c r="AU244" s="378"/>
      <c r="AV244" s="378"/>
      <c r="AW244" s="378"/>
      <c r="AX244" s="378"/>
      <c r="AY244" s="378"/>
      <c r="AZ244" s="378"/>
      <c r="BA244" s="378"/>
      <c r="BB244" s="378"/>
      <c r="BC244" s="378"/>
      <c r="BD244" s="378"/>
      <c r="BE244" s="378"/>
      <c r="BF244" s="378"/>
      <c r="BG244" s="378"/>
      <c r="BH244" s="378"/>
      <c r="BI244" s="410"/>
      <c r="BJ244" s="409"/>
      <c r="BK244" s="378"/>
      <c r="BL244" s="378"/>
      <c r="BM244" s="378"/>
      <c r="BN244" s="378"/>
      <c r="BO244" s="378"/>
      <c r="BP244" s="378"/>
      <c r="BQ244" s="378"/>
      <c r="BR244" s="378"/>
      <c r="BS244" s="378"/>
      <c r="BT244" s="378"/>
      <c r="BU244" s="378"/>
      <c r="BV244" s="378"/>
      <c r="BW244" s="378"/>
      <c r="BX244" s="378"/>
      <c r="BY244" s="378"/>
      <c r="BZ244" s="378"/>
      <c r="CA244" s="378"/>
      <c r="CB244" s="378"/>
      <c r="CC244" s="378"/>
      <c r="CD244" s="378"/>
      <c r="CE244" s="378"/>
      <c r="CF244" s="378"/>
      <c r="CG244" s="378"/>
      <c r="CH244" s="378"/>
      <c r="CI244" s="378"/>
      <c r="CJ244" s="378"/>
      <c r="CK244" s="410"/>
      <c r="HE244" s="164"/>
      <c r="HF244" s="164"/>
      <c r="HG244" s="164"/>
      <c r="HH244" s="164"/>
      <c r="HI244" s="164"/>
      <c r="HJ244" s="164"/>
      <c r="HK244" s="164"/>
      <c r="HL244" s="164"/>
      <c r="HM244" s="164"/>
      <c r="HN244" s="164"/>
      <c r="HO244" s="164"/>
      <c r="HP244" s="164"/>
      <c r="HQ244" s="164"/>
      <c r="HR244" s="164"/>
      <c r="HS244" s="164"/>
      <c r="HT244" s="164"/>
      <c r="HU244" s="164"/>
      <c r="HV244" s="164"/>
      <c r="HW244" s="164"/>
      <c r="HX244" s="164"/>
      <c r="HY244" s="164"/>
      <c r="HZ244" s="164"/>
      <c r="IA244" s="164"/>
      <c r="MG244" s="164"/>
      <c r="MH244" s="164"/>
      <c r="MI244" s="164"/>
      <c r="MJ244" s="164"/>
      <c r="MK244" s="164"/>
      <c r="ML244" s="164"/>
      <c r="MM244" s="164"/>
      <c r="MN244" s="164"/>
      <c r="MO244" s="164"/>
      <c r="MP244" s="164"/>
      <c r="MQ244" s="164"/>
      <c r="MR244" s="164"/>
      <c r="MS244" s="164"/>
      <c r="MT244" s="164"/>
      <c r="MU244" s="164"/>
      <c r="MV244" s="164"/>
      <c r="MW244" s="164"/>
      <c r="MX244" s="164"/>
      <c r="MY244" s="164"/>
      <c r="MZ244" s="164"/>
      <c r="NA244" s="164"/>
      <c r="NB244" s="164"/>
      <c r="NC244" s="164"/>
      <c r="ND244" s="164"/>
      <c r="NE244" s="164"/>
      <c r="NF244" s="164"/>
      <c r="NG244" s="164"/>
      <c r="NH244" s="164"/>
      <c r="NI244" s="164"/>
      <c r="NJ244" s="164"/>
      <c r="NK244" s="164"/>
      <c r="NL244" s="164"/>
      <c r="NM244" s="164"/>
      <c r="NN244" s="164"/>
      <c r="NO244" s="164"/>
      <c r="NP244" s="164"/>
      <c r="OD244" s="391"/>
      <c r="OE244" s="392"/>
      <c r="OF244" s="392"/>
      <c r="OG244" s="392"/>
      <c r="OH244" s="392"/>
      <c r="OI244" s="392"/>
      <c r="OJ244" s="392"/>
      <c r="OK244" s="392"/>
      <c r="OL244" s="392"/>
      <c r="OM244" s="392"/>
      <c r="ON244" s="392"/>
      <c r="OO244" s="392"/>
      <c r="OP244" s="392"/>
      <c r="OQ244" s="392"/>
      <c r="OR244" s="392"/>
      <c r="OS244" s="392"/>
      <c r="OT244" s="392"/>
      <c r="OU244" s="392"/>
      <c r="OV244" s="392"/>
      <c r="OW244" s="392"/>
      <c r="OX244" s="392"/>
      <c r="OY244" s="392"/>
      <c r="OZ244" s="392"/>
      <c r="PA244" s="392"/>
      <c r="PB244" s="392"/>
      <c r="PC244" s="392"/>
      <c r="PD244" s="392"/>
      <c r="PE244" s="392"/>
      <c r="PF244" s="392"/>
      <c r="PG244" s="392"/>
      <c r="PH244" s="392"/>
      <c r="PI244" s="392"/>
      <c r="PJ244" s="392"/>
      <c r="PK244" s="392"/>
      <c r="PL244" s="392"/>
      <c r="PM244" s="392"/>
      <c r="PN244" s="392"/>
      <c r="PO244" s="392"/>
      <c r="PP244" s="392"/>
      <c r="PQ244" s="392"/>
      <c r="PR244" s="392"/>
      <c r="PS244" s="392"/>
      <c r="PT244" s="392"/>
      <c r="PU244" s="392"/>
      <c r="PV244" s="392"/>
      <c r="PW244" s="392"/>
      <c r="PX244" s="392"/>
      <c r="PY244" s="392"/>
      <c r="PZ244" s="392"/>
      <c r="QA244" s="393"/>
      <c r="QB244" s="400"/>
      <c r="QC244" s="401"/>
      <c r="QD244" s="401"/>
      <c r="QE244" s="401"/>
      <c r="QF244" s="401"/>
      <c r="QG244" s="401"/>
      <c r="QH244" s="401"/>
      <c r="QI244" s="401"/>
      <c r="QJ244" s="401"/>
      <c r="QK244" s="401"/>
      <c r="QL244" s="401"/>
      <c r="QM244" s="402"/>
      <c r="QQ244" s="165"/>
      <c r="QR244" s="166"/>
    </row>
    <row r="245" spans="3:460" ht="5.15" customHeight="1" x14ac:dyDescent="0.35">
      <c r="C245" s="161"/>
      <c r="D245" s="162"/>
      <c r="F245" s="409"/>
      <c r="G245" s="378"/>
      <c r="H245" s="378"/>
      <c r="I245" s="378"/>
      <c r="J245" s="378"/>
      <c r="K245" s="378"/>
      <c r="L245" s="378"/>
      <c r="M245" s="378"/>
      <c r="N245" s="378"/>
      <c r="O245" s="378"/>
      <c r="P245" s="378"/>
      <c r="Q245" s="378"/>
      <c r="R245" s="378"/>
      <c r="S245" s="378"/>
      <c r="T245" s="378"/>
      <c r="U245" s="378"/>
      <c r="V245" s="378"/>
      <c r="W245" s="378"/>
      <c r="X245" s="378"/>
      <c r="Y245" s="378"/>
      <c r="Z245" s="378"/>
      <c r="AA245" s="378"/>
      <c r="AB245" s="378"/>
      <c r="AC245" s="378"/>
      <c r="AD245" s="378"/>
      <c r="AE245" s="378"/>
      <c r="AF245" s="378"/>
      <c r="AG245" s="410"/>
      <c r="AH245" s="409"/>
      <c r="AI245" s="378"/>
      <c r="AJ245" s="378"/>
      <c r="AK245" s="378"/>
      <c r="AL245" s="378"/>
      <c r="AM245" s="378"/>
      <c r="AN245" s="378"/>
      <c r="AO245" s="378"/>
      <c r="AP245" s="378"/>
      <c r="AQ245" s="378"/>
      <c r="AR245" s="378"/>
      <c r="AS245" s="378"/>
      <c r="AT245" s="378"/>
      <c r="AU245" s="378"/>
      <c r="AV245" s="378"/>
      <c r="AW245" s="378"/>
      <c r="AX245" s="378"/>
      <c r="AY245" s="378"/>
      <c r="AZ245" s="378"/>
      <c r="BA245" s="378"/>
      <c r="BB245" s="378"/>
      <c r="BC245" s="378"/>
      <c r="BD245" s="378"/>
      <c r="BE245" s="378"/>
      <c r="BF245" s="378"/>
      <c r="BG245" s="378"/>
      <c r="BH245" s="378"/>
      <c r="BI245" s="410"/>
      <c r="BJ245" s="409"/>
      <c r="BK245" s="378"/>
      <c r="BL245" s="378"/>
      <c r="BM245" s="378"/>
      <c r="BN245" s="378"/>
      <c r="BO245" s="378"/>
      <c r="BP245" s="378"/>
      <c r="BQ245" s="378"/>
      <c r="BR245" s="378"/>
      <c r="BS245" s="378"/>
      <c r="BT245" s="378"/>
      <c r="BU245" s="378"/>
      <c r="BV245" s="378"/>
      <c r="BW245" s="378"/>
      <c r="BX245" s="378"/>
      <c r="BY245" s="378"/>
      <c r="BZ245" s="378"/>
      <c r="CA245" s="378"/>
      <c r="CB245" s="378"/>
      <c r="CC245" s="378"/>
      <c r="CD245" s="378"/>
      <c r="CE245" s="378"/>
      <c r="CF245" s="378"/>
      <c r="CG245" s="378"/>
      <c r="CH245" s="378"/>
      <c r="CI245" s="378"/>
      <c r="CJ245" s="378"/>
      <c r="CK245" s="410"/>
      <c r="HE245" s="164"/>
      <c r="HF245" s="164"/>
      <c r="HG245" s="164"/>
      <c r="HH245" s="164"/>
      <c r="HI245" s="164"/>
      <c r="HJ245" s="164"/>
      <c r="HK245" s="164"/>
      <c r="HL245" s="164"/>
      <c r="HM245" s="164"/>
      <c r="HN245" s="164"/>
      <c r="HO245" s="164"/>
      <c r="HP245" s="164"/>
      <c r="HQ245" s="164"/>
      <c r="HR245" s="164"/>
      <c r="HS245" s="164"/>
      <c r="HT245" s="164"/>
      <c r="HU245" s="164"/>
      <c r="HV245" s="164"/>
      <c r="HW245" s="164"/>
      <c r="HX245" s="164"/>
      <c r="HY245" s="164"/>
      <c r="HZ245" s="164"/>
      <c r="IA245" s="164"/>
      <c r="MG245" s="164"/>
      <c r="MH245" s="164"/>
      <c r="MI245" s="164"/>
      <c r="MJ245" s="164"/>
      <c r="MK245" s="164"/>
      <c r="ML245" s="164"/>
      <c r="MM245" s="164"/>
      <c r="MN245" s="164"/>
      <c r="MO245" s="164"/>
      <c r="MP245" s="164"/>
      <c r="MQ245" s="164"/>
      <c r="MR245" s="164"/>
      <c r="MS245" s="164"/>
      <c r="MT245" s="164"/>
      <c r="MU245" s="164"/>
      <c r="MV245" s="164"/>
      <c r="MW245" s="164"/>
      <c r="MX245" s="164"/>
      <c r="MY245" s="164"/>
      <c r="MZ245" s="164"/>
      <c r="NA245" s="164"/>
      <c r="NB245" s="164"/>
      <c r="NC245" s="164"/>
      <c r="ND245" s="164"/>
      <c r="NE245" s="164"/>
      <c r="NF245" s="164"/>
      <c r="NG245" s="164"/>
      <c r="NH245" s="164"/>
      <c r="NI245" s="164"/>
      <c r="NJ245" s="164"/>
      <c r="NK245" s="164"/>
      <c r="NL245" s="164"/>
      <c r="NM245" s="164"/>
      <c r="NN245" s="164"/>
      <c r="NO245" s="164"/>
      <c r="NP245" s="164"/>
      <c r="OD245" s="391"/>
      <c r="OE245" s="392"/>
      <c r="OF245" s="392"/>
      <c r="OG245" s="392"/>
      <c r="OH245" s="392"/>
      <c r="OI245" s="392"/>
      <c r="OJ245" s="392"/>
      <c r="OK245" s="392"/>
      <c r="OL245" s="392"/>
      <c r="OM245" s="392"/>
      <c r="ON245" s="392"/>
      <c r="OO245" s="392"/>
      <c r="OP245" s="392"/>
      <c r="OQ245" s="392"/>
      <c r="OR245" s="392"/>
      <c r="OS245" s="392"/>
      <c r="OT245" s="392"/>
      <c r="OU245" s="392"/>
      <c r="OV245" s="392"/>
      <c r="OW245" s="392"/>
      <c r="OX245" s="392"/>
      <c r="OY245" s="392"/>
      <c r="OZ245" s="392"/>
      <c r="PA245" s="392"/>
      <c r="PB245" s="392"/>
      <c r="PC245" s="392"/>
      <c r="PD245" s="392"/>
      <c r="PE245" s="392"/>
      <c r="PF245" s="392"/>
      <c r="PG245" s="392"/>
      <c r="PH245" s="392"/>
      <c r="PI245" s="392"/>
      <c r="PJ245" s="392"/>
      <c r="PK245" s="392"/>
      <c r="PL245" s="392"/>
      <c r="PM245" s="392"/>
      <c r="PN245" s="392"/>
      <c r="PO245" s="392"/>
      <c r="PP245" s="392"/>
      <c r="PQ245" s="392"/>
      <c r="PR245" s="392"/>
      <c r="PS245" s="392"/>
      <c r="PT245" s="392"/>
      <c r="PU245" s="392"/>
      <c r="PV245" s="392"/>
      <c r="PW245" s="392"/>
      <c r="PX245" s="392"/>
      <c r="PY245" s="392"/>
      <c r="PZ245" s="392"/>
      <c r="QA245" s="393"/>
      <c r="QB245" s="400"/>
      <c r="QC245" s="401"/>
      <c r="QD245" s="401"/>
      <c r="QE245" s="401"/>
      <c r="QF245" s="401"/>
      <c r="QG245" s="401"/>
      <c r="QH245" s="401"/>
      <c r="QI245" s="401"/>
      <c r="QJ245" s="401"/>
      <c r="QK245" s="401"/>
      <c r="QL245" s="401"/>
      <c r="QM245" s="402"/>
      <c r="QQ245" s="165"/>
      <c r="QR245" s="166"/>
    </row>
    <row r="246" spans="3:460" ht="5.15" customHeight="1" x14ac:dyDescent="0.35">
      <c r="C246" s="161"/>
      <c r="D246" s="162"/>
      <c r="F246" s="409"/>
      <c r="G246" s="378"/>
      <c r="H246" s="378"/>
      <c r="I246" s="378"/>
      <c r="J246" s="378"/>
      <c r="K246" s="378"/>
      <c r="L246" s="378"/>
      <c r="M246" s="378"/>
      <c r="N246" s="378"/>
      <c r="O246" s="378"/>
      <c r="P246" s="378"/>
      <c r="Q246" s="378"/>
      <c r="R246" s="378"/>
      <c r="S246" s="378"/>
      <c r="T246" s="378"/>
      <c r="U246" s="378"/>
      <c r="V246" s="378"/>
      <c r="W246" s="378"/>
      <c r="X246" s="378"/>
      <c r="Y246" s="378"/>
      <c r="Z246" s="378"/>
      <c r="AA246" s="378"/>
      <c r="AB246" s="378"/>
      <c r="AC246" s="378"/>
      <c r="AD246" s="378"/>
      <c r="AE246" s="378"/>
      <c r="AF246" s="378"/>
      <c r="AG246" s="410"/>
      <c r="AH246" s="409"/>
      <c r="AI246" s="378"/>
      <c r="AJ246" s="378"/>
      <c r="AK246" s="378"/>
      <c r="AL246" s="378"/>
      <c r="AM246" s="378"/>
      <c r="AN246" s="378"/>
      <c r="AO246" s="378"/>
      <c r="AP246" s="378"/>
      <c r="AQ246" s="378"/>
      <c r="AR246" s="378"/>
      <c r="AS246" s="378"/>
      <c r="AT246" s="378"/>
      <c r="AU246" s="378"/>
      <c r="AV246" s="378"/>
      <c r="AW246" s="378"/>
      <c r="AX246" s="378"/>
      <c r="AY246" s="378"/>
      <c r="AZ246" s="378"/>
      <c r="BA246" s="378"/>
      <c r="BB246" s="378"/>
      <c r="BC246" s="378"/>
      <c r="BD246" s="378"/>
      <c r="BE246" s="378"/>
      <c r="BF246" s="378"/>
      <c r="BG246" s="378"/>
      <c r="BH246" s="378"/>
      <c r="BI246" s="410"/>
      <c r="BJ246" s="409"/>
      <c r="BK246" s="378"/>
      <c r="BL246" s="378"/>
      <c r="BM246" s="378"/>
      <c r="BN246" s="378"/>
      <c r="BO246" s="378"/>
      <c r="BP246" s="378"/>
      <c r="BQ246" s="378"/>
      <c r="BR246" s="378"/>
      <c r="BS246" s="378"/>
      <c r="BT246" s="378"/>
      <c r="BU246" s="378"/>
      <c r="BV246" s="378"/>
      <c r="BW246" s="378"/>
      <c r="BX246" s="378"/>
      <c r="BY246" s="378"/>
      <c r="BZ246" s="378"/>
      <c r="CA246" s="378"/>
      <c r="CB246" s="378"/>
      <c r="CC246" s="378"/>
      <c r="CD246" s="378"/>
      <c r="CE246" s="378"/>
      <c r="CF246" s="378"/>
      <c r="CG246" s="378"/>
      <c r="CH246" s="378"/>
      <c r="CI246" s="378"/>
      <c r="CJ246" s="378"/>
      <c r="CK246" s="410"/>
      <c r="HE246" s="164"/>
      <c r="HF246" s="164"/>
      <c r="HG246" s="164"/>
      <c r="HH246" s="164"/>
      <c r="HI246" s="164"/>
      <c r="HJ246" s="164"/>
      <c r="HK246" s="164"/>
      <c r="HL246" s="164"/>
      <c r="HM246" s="164"/>
      <c r="HN246" s="164"/>
      <c r="HO246" s="164"/>
      <c r="HP246" s="164"/>
      <c r="HQ246" s="164"/>
      <c r="HR246" s="164"/>
      <c r="HS246" s="164"/>
      <c r="HT246" s="164"/>
      <c r="HU246" s="164"/>
      <c r="HV246" s="164"/>
      <c r="HW246" s="164"/>
      <c r="HX246" s="164"/>
      <c r="HY246" s="164"/>
      <c r="HZ246" s="164"/>
      <c r="IA246" s="164"/>
      <c r="MG246" s="164"/>
      <c r="MH246" s="164"/>
      <c r="MI246" s="164"/>
      <c r="MJ246" s="164"/>
      <c r="MK246" s="164"/>
      <c r="ML246" s="164"/>
      <c r="MM246" s="164"/>
      <c r="MN246" s="164"/>
      <c r="MO246" s="164"/>
      <c r="MP246" s="164"/>
      <c r="MQ246" s="164"/>
      <c r="MR246" s="164"/>
      <c r="MS246" s="164"/>
      <c r="MT246" s="164"/>
      <c r="MU246" s="164"/>
      <c r="MV246" s="164"/>
      <c r="MW246" s="164"/>
      <c r="MX246" s="164"/>
      <c r="MY246" s="164"/>
      <c r="MZ246" s="164"/>
      <c r="NA246" s="164"/>
      <c r="NB246" s="164"/>
      <c r="NC246" s="164"/>
      <c r="ND246" s="164"/>
      <c r="NE246" s="164"/>
      <c r="NF246" s="164"/>
      <c r="NG246" s="164"/>
      <c r="NH246" s="164"/>
      <c r="NI246" s="164"/>
      <c r="NJ246" s="164"/>
      <c r="NK246" s="164"/>
      <c r="NL246" s="164"/>
      <c r="NM246" s="164"/>
      <c r="NN246" s="164"/>
      <c r="NO246" s="164"/>
      <c r="NP246" s="164"/>
      <c r="OD246" s="391"/>
      <c r="OE246" s="392"/>
      <c r="OF246" s="392"/>
      <c r="OG246" s="392"/>
      <c r="OH246" s="392"/>
      <c r="OI246" s="392"/>
      <c r="OJ246" s="392"/>
      <c r="OK246" s="392"/>
      <c r="OL246" s="392"/>
      <c r="OM246" s="392"/>
      <c r="ON246" s="392"/>
      <c r="OO246" s="392"/>
      <c r="OP246" s="392"/>
      <c r="OQ246" s="392"/>
      <c r="OR246" s="392"/>
      <c r="OS246" s="392"/>
      <c r="OT246" s="392"/>
      <c r="OU246" s="392"/>
      <c r="OV246" s="392"/>
      <c r="OW246" s="392"/>
      <c r="OX246" s="392"/>
      <c r="OY246" s="392"/>
      <c r="OZ246" s="392"/>
      <c r="PA246" s="392"/>
      <c r="PB246" s="392"/>
      <c r="PC246" s="392"/>
      <c r="PD246" s="392"/>
      <c r="PE246" s="392"/>
      <c r="PF246" s="392"/>
      <c r="PG246" s="392"/>
      <c r="PH246" s="392"/>
      <c r="PI246" s="392"/>
      <c r="PJ246" s="392"/>
      <c r="PK246" s="392"/>
      <c r="PL246" s="392"/>
      <c r="PM246" s="392"/>
      <c r="PN246" s="392"/>
      <c r="PO246" s="392"/>
      <c r="PP246" s="392"/>
      <c r="PQ246" s="392"/>
      <c r="PR246" s="392"/>
      <c r="PS246" s="392"/>
      <c r="PT246" s="392"/>
      <c r="PU246" s="392"/>
      <c r="PV246" s="392"/>
      <c r="PW246" s="392"/>
      <c r="PX246" s="392"/>
      <c r="PY246" s="392"/>
      <c r="PZ246" s="392"/>
      <c r="QA246" s="393"/>
      <c r="QB246" s="400"/>
      <c r="QC246" s="401"/>
      <c r="QD246" s="401"/>
      <c r="QE246" s="401"/>
      <c r="QF246" s="401"/>
      <c r="QG246" s="401"/>
      <c r="QH246" s="401"/>
      <c r="QI246" s="401"/>
      <c r="QJ246" s="401"/>
      <c r="QK246" s="401"/>
      <c r="QL246" s="401"/>
      <c r="QM246" s="402"/>
      <c r="QQ246" s="165"/>
      <c r="QR246" s="166"/>
    </row>
    <row r="247" spans="3:460" ht="5.15" customHeight="1" thickBot="1" x14ac:dyDescent="0.4">
      <c r="C247" s="161"/>
      <c r="D247" s="162"/>
      <c r="F247" s="411"/>
      <c r="G247" s="412"/>
      <c r="H247" s="412"/>
      <c r="I247" s="412"/>
      <c r="J247" s="412"/>
      <c r="K247" s="412"/>
      <c r="L247" s="412"/>
      <c r="M247" s="412"/>
      <c r="N247" s="412"/>
      <c r="O247" s="412"/>
      <c r="P247" s="412"/>
      <c r="Q247" s="412"/>
      <c r="R247" s="412"/>
      <c r="S247" s="412"/>
      <c r="T247" s="412"/>
      <c r="U247" s="412"/>
      <c r="V247" s="412"/>
      <c r="W247" s="412"/>
      <c r="X247" s="412"/>
      <c r="Y247" s="412"/>
      <c r="Z247" s="412"/>
      <c r="AA247" s="412"/>
      <c r="AB247" s="412"/>
      <c r="AC247" s="412"/>
      <c r="AD247" s="412"/>
      <c r="AE247" s="412"/>
      <c r="AF247" s="412"/>
      <c r="AG247" s="413"/>
      <c r="AH247" s="411"/>
      <c r="AI247" s="412"/>
      <c r="AJ247" s="412"/>
      <c r="AK247" s="412"/>
      <c r="AL247" s="412"/>
      <c r="AM247" s="412"/>
      <c r="AN247" s="412"/>
      <c r="AO247" s="412"/>
      <c r="AP247" s="412"/>
      <c r="AQ247" s="412"/>
      <c r="AR247" s="412"/>
      <c r="AS247" s="412"/>
      <c r="AT247" s="412"/>
      <c r="AU247" s="412"/>
      <c r="AV247" s="412"/>
      <c r="AW247" s="412"/>
      <c r="AX247" s="412"/>
      <c r="AY247" s="412"/>
      <c r="AZ247" s="412"/>
      <c r="BA247" s="412"/>
      <c r="BB247" s="412"/>
      <c r="BC247" s="412"/>
      <c r="BD247" s="412"/>
      <c r="BE247" s="412"/>
      <c r="BF247" s="412"/>
      <c r="BG247" s="412"/>
      <c r="BH247" s="412"/>
      <c r="BI247" s="413"/>
      <c r="BJ247" s="411"/>
      <c r="BK247" s="412"/>
      <c r="BL247" s="412"/>
      <c r="BM247" s="412"/>
      <c r="BN247" s="412"/>
      <c r="BO247" s="412"/>
      <c r="BP247" s="412"/>
      <c r="BQ247" s="412"/>
      <c r="BR247" s="412"/>
      <c r="BS247" s="412"/>
      <c r="BT247" s="412"/>
      <c r="BU247" s="412"/>
      <c r="BV247" s="412"/>
      <c r="BW247" s="412"/>
      <c r="BX247" s="412"/>
      <c r="BY247" s="412"/>
      <c r="BZ247" s="412"/>
      <c r="CA247" s="412"/>
      <c r="CB247" s="412"/>
      <c r="CC247" s="412"/>
      <c r="CD247" s="412"/>
      <c r="CE247" s="412"/>
      <c r="CF247" s="412"/>
      <c r="CG247" s="412"/>
      <c r="CH247" s="412"/>
      <c r="CI247" s="412"/>
      <c r="CJ247" s="412"/>
      <c r="CK247" s="413"/>
      <c r="HE247" s="164"/>
      <c r="HF247" s="164"/>
      <c r="HG247" s="164"/>
      <c r="HH247" s="164"/>
      <c r="HI247" s="164"/>
      <c r="HJ247" s="164"/>
      <c r="HK247" s="164"/>
      <c r="HL247" s="164"/>
      <c r="HM247" s="164"/>
      <c r="HN247" s="164"/>
      <c r="HO247" s="164"/>
      <c r="HP247" s="164"/>
      <c r="HQ247" s="164"/>
      <c r="HR247" s="164"/>
      <c r="HS247" s="164"/>
      <c r="HT247" s="164"/>
      <c r="HU247" s="164"/>
      <c r="HV247" s="164"/>
      <c r="HW247" s="164"/>
      <c r="HX247" s="164"/>
      <c r="HY247" s="164"/>
      <c r="HZ247" s="164"/>
      <c r="IA247" s="164"/>
      <c r="MG247" s="164"/>
      <c r="MH247" s="164"/>
      <c r="MI247" s="164"/>
      <c r="MJ247" s="164"/>
      <c r="MK247" s="164"/>
      <c r="ML247" s="164"/>
      <c r="MM247" s="164"/>
      <c r="MN247" s="164"/>
      <c r="MO247" s="164"/>
      <c r="MP247" s="164"/>
      <c r="MQ247" s="164"/>
      <c r="MR247" s="164"/>
      <c r="MS247" s="164"/>
      <c r="MT247" s="164"/>
      <c r="MU247" s="164"/>
      <c r="MV247" s="164"/>
      <c r="MW247" s="164"/>
      <c r="MX247" s="164"/>
      <c r="MY247" s="164"/>
      <c r="MZ247" s="164"/>
      <c r="NA247" s="164"/>
      <c r="NB247" s="164"/>
      <c r="NC247" s="164"/>
      <c r="ND247" s="164"/>
      <c r="NE247" s="164"/>
      <c r="NF247" s="164"/>
      <c r="NG247" s="164"/>
      <c r="NH247" s="164"/>
      <c r="NI247" s="164"/>
      <c r="NJ247" s="164"/>
      <c r="NK247" s="164"/>
      <c r="NL247" s="164"/>
      <c r="NM247" s="164"/>
      <c r="NN247" s="164"/>
      <c r="NO247" s="164"/>
      <c r="NP247" s="164"/>
      <c r="OD247" s="391"/>
      <c r="OE247" s="392"/>
      <c r="OF247" s="392"/>
      <c r="OG247" s="392"/>
      <c r="OH247" s="392"/>
      <c r="OI247" s="392"/>
      <c r="OJ247" s="392"/>
      <c r="OK247" s="392"/>
      <c r="OL247" s="392"/>
      <c r="OM247" s="392"/>
      <c r="ON247" s="392"/>
      <c r="OO247" s="392"/>
      <c r="OP247" s="392"/>
      <c r="OQ247" s="392"/>
      <c r="OR247" s="392"/>
      <c r="OS247" s="392"/>
      <c r="OT247" s="392"/>
      <c r="OU247" s="392"/>
      <c r="OV247" s="392"/>
      <c r="OW247" s="392"/>
      <c r="OX247" s="392"/>
      <c r="OY247" s="392"/>
      <c r="OZ247" s="392"/>
      <c r="PA247" s="392"/>
      <c r="PB247" s="392"/>
      <c r="PC247" s="392"/>
      <c r="PD247" s="392"/>
      <c r="PE247" s="392"/>
      <c r="PF247" s="392"/>
      <c r="PG247" s="392"/>
      <c r="PH247" s="392"/>
      <c r="PI247" s="392"/>
      <c r="PJ247" s="392"/>
      <c r="PK247" s="392"/>
      <c r="PL247" s="392"/>
      <c r="PM247" s="392"/>
      <c r="PN247" s="392"/>
      <c r="PO247" s="392"/>
      <c r="PP247" s="392"/>
      <c r="PQ247" s="392"/>
      <c r="PR247" s="392"/>
      <c r="PS247" s="392"/>
      <c r="PT247" s="392"/>
      <c r="PU247" s="392"/>
      <c r="PV247" s="392"/>
      <c r="PW247" s="392"/>
      <c r="PX247" s="392"/>
      <c r="PY247" s="392"/>
      <c r="PZ247" s="392"/>
      <c r="QA247" s="393"/>
      <c r="QB247" s="400"/>
      <c r="QC247" s="401"/>
      <c r="QD247" s="401"/>
      <c r="QE247" s="401"/>
      <c r="QF247" s="401"/>
      <c r="QG247" s="401"/>
      <c r="QH247" s="401"/>
      <c r="QI247" s="401"/>
      <c r="QJ247" s="401"/>
      <c r="QK247" s="401"/>
      <c r="QL247" s="401"/>
      <c r="QM247" s="402"/>
      <c r="QQ247" s="165"/>
      <c r="QR247" s="166"/>
    </row>
    <row r="248" spans="3:460" ht="5.15" customHeight="1" x14ac:dyDescent="0.35">
      <c r="C248" s="161"/>
      <c r="D248" s="162"/>
      <c r="F248" s="406" t="s">
        <v>309</v>
      </c>
      <c r="G248" s="407"/>
      <c r="H248" s="407"/>
      <c r="I248" s="407"/>
      <c r="J248" s="407"/>
      <c r="K248" s="407"/>
      <c r="L248" s="407"/>
      <c r="M248" s="407"/>
      <c r="N248" s="407"/>
      <c r="O248" s="407"/>
      <c r="P248" s="407"/>
      <c r="Q248" s="407"/>
      <c r="R248" s="407"/>
      <c r="S248" s="407"/>
      <c r="T248" s="407"/>
      <c r="U248" s="407"/>
      <c r="V248" s="407"/>
      <c r="W248" s="407"/>
      <c r="X248" s="407"/>
      <c r="Y248" s="407"/>
      <c r="Z248" s="407"/>
      <c r="AA248" s="407"/>
      <c r="AB248" s="407"/>
      <c r="AC248" s="407"/>
      <c r="AD248" s="407"/>
      <c r="AE248" s="407"/>
      <c r="AF248" s="407"/>
      <c r="AG248" s="408"/>
      <c r="AH248" s="406"/>
      <c r="AI248" s="407"/>
      <c r="AJ248" s="407"/>
      <c r="AK248" s="407"/>
      <c r="AL248" s="407"/>
      <c r="AM248" s="407"/>
      <c r="AN248" s="407"/>
      <c r="AO248" s="407"/>
      <c r="AP248" s="407"/>
      <c r="AQ248" s="407"/>
      <c r="AR248" s="407"/>
      <c r="AS248" s="407"/>
      <c r="AT248" s="407"/>
      <c r="AU248" s="407"/>
      <c r="AV248" s="407"/>
      <c r="AW248" s="407"/>
      <c r="AX248" s="407"/>
      <c r="AY248" s="407"/>
      <c r="AZ248" s="407"/>
      <c r="BA248" s="407"/>
      <c r="BB248" s="407"/>
      <c r="BC248" s="407"/>
      <c r="BD248" s="407"/>
      <c r="BE248" s="407"/>
      <c r="BF248" s="407"/>
      <c r="BG248" s="407"/>
      <c r="BH248" s="407"/>
      <c r="BI248" s="408"/>
      <c r="BJ248" s="406" t="s">
        <v>310</v>
      </c>
      <c r="BK248" s="407"/>
      <c r="BL248" s="407"/>
      <c r="BM248" s="407"/>
      <c r="BN248" s="407"/>
      <c r="BO248" s="407"/>
      <c r="BP248" s="407"/>
      <c r="BQ248" s="407"/>
      <c r="BR248" s="407"/>
      <c r="BS248" s="407"/>
      <c r="BT248" s="407"/>
      <c r="BU248" s="407"/>
      <c r="BV248" s="407"/>
      <c r="BW248" s="407"/>
      <c r="BX248" s="407"/>
      <c r="BY248" s="407"/>
      <c r="BZ248" s="407"/>
      <c r="CA248" s="407"/>
      <c r="CB248" s="407"/>
      <c r="CC248" s="407"/>
      <c r="CD248" s="407"/>
      <c r="CE248" s="407"/>
      <c r="CF248" s="407"/>
      <c r="CG248" s="407"/>
      <c r="CH248" s="407"/>
      <c r="CI248" s="407"/>
      <c r="CJ248" s="407"/>
      <c r="CK248" s="408"/>
      <c r="HE248" s="164"/>
      <c r="HF248" s="164"/>
      <c r="HG248" s="164"/>
      <c r="HH248" s="164"/>
      <c r="HI248" s="164"/>
      <c r="HJ248" s="164"/>
      <c r="HK248" s="164"/>
      <c r="HL248" s="164"/>
      <c r="HM248" s="164"/>
      <c r="HN248" s="164"/>
      <c r="HO248" s="164"/>
      <c r="HP248" s="164"/>
      <c r="HQ248" s="164"/>
      <c r="HR248" s="164"/>
      <c r="HS248" s="164"/>
      <c r="HT248" s="164"/>
      <c r="HU248" s="164"/>
      <c r="HV248" s="164"/>
      <c r="HW248" s="164"/>
      <c r="HX248" s="164"/>
      <c r="HY248" s="164"/>
      <c r="HZ248" s="164"/>
      <c r="IA248" s="164"/>
      <c r="MG248" s="164"/>
      <c r="MH248" s="164"/>
      <c r="MI248" s="164"/>
      <c r="MJ248" s="164"/>
      <c r="MK248" s="164"/>
      <c r="ML248" s="164"/>
      <c r="MM248" s="164"/>
      <c r="MN248" s="164"/>
      <c r="MO248" s="164"/>
      <c r="MP248" s="164"/>
      <c r="MQ248" s="164"/>
      <c r="MR248" s="164"/>
      <c r="MS248" s="164"/>
      <c r="MT248" s="164"/>
      <c r="MU248" s="164"/>
      <c r="MV248" s="164"/>
      <c r="MW248" s="164"/>
      <c r="MX248" s="164"/>
      <c r="MY248" s="164"/>
      <c r="MZ248" s="164"/>
      <c r="NA248" s="164"/>
      <c r="NB248" s="164"/>
      <c r="NC248" s="164"/>
      <c r="ND248" s="164"/>
      <c r="NE248" s="164"/>
      <c r="NF248" s="164"/>
      <c r="NG248" s="164"/>
      <c r="NH248" s="164"/>
      <c r="NI248" s="164"/>
      <c r="NJ248" s="164"/>
      <c r="NK248" s="164"/>
      <c r="NL248" s="164"/>
      <c r="NM248" s="164"/>
      <c r="NN248" s="164"/>
      <c r="NO248" s="164"/>
      <c r="NP248" s="164"/>
      <c r="OD248" s="391"/>
      <c r="OE248" s="392"/>
      <c r="OF248" s="392"/>
      <c r="OG248" s="392"/>
      <c r="OH248" s="392"/>
      <c r="OI248" s="392"/>
      <c r="OJ248" s="392"/>
      <c r="OK248" s="392"/>
      <c r="OL248" s="392"/>
      <c r="OM248" s="392"/>
      <c r="ON248" s="392"/>
      <c r="OO248" s="392"/>
      <c r="OP248" s="392"/>
      <c r="OQ248" s="392"/>
      <c r="OR248" s="392"/>
      <c r="OS248" s="392"/>
      <c r="OT248" s="392"/>
      <c r="OU248" s="392"/>
      <c r="OV248" s="392"/>
      <c r="OW248" s="392"/>
      <c r="OX248" s="392"/>
      <c r="OY248" s="392"/>
      <c r="OZ248" s="392"/>
      <c r="PA248" s="392"/>
      <c r="PB248" s="392"/>
      <c r="PC248" s="392"/>
      <c r="PD248" s="392"/>
      <c r="PE248" s="392"/>
      <c r="PF248" s="392"/>
      <c r="PG248" s="392"/>
      <c r="PH248" s="392"/>
      <c r="PI248" s="392"/>
      <c r="PJ248" s="392"/>
      <c r="PK248" s="392"/>
      <c r="PL248" s="392"/>
      <c r="PM248" s="392"/>
      <c r="PN248" s="392"/>
      <c r="PO248" s="392"/>
      <c r="PP248" s="392"/>
      <c r="PQ248" s="392"/>
      <c r="PR248" s="392"/>
      <c r="PS248" s="392"/>
      <c r="PT248" s="392"/>
      <c r="PU248" s="392"/>
      <c r="PV248" s="392"/>
      <c r="PW248" s="392"/>
      <c r="PX248" s="392"/>
      <c r="PY248" s="392"/>
      <c r="PZ248" s="392"/>
      <c r="QA248" s="393"/>
      <c r="QB248" s="400"/>
      <c r="QC248" s="401"/>
      <c r="QD248" s="401"/>
      <c r="QE248" s="401"/>
      <c r="QF248" s="401"/>
      <c r="QG248" s="401"/>
      <c r="QH248" s="401"/>
      <c r="QI248" s="401"/>
      <c r="QJ248" s="401"/>
      <c r="QK248" s="401"/>
      <c r="QL248" s="401"/>
      <c r="QM248" s="402"/>
      <c r="QQ248" s="165"/>
      <c r="QR248" s="166"/>
    </row>
    <row r="249" spans="3:460" ht="5.15" customHeight="1" x14ac:dyDescent="0.35">
      <c r="C249" s="161"/>
      <c r="D249" s="162"/>
      <c r="F249" s="409"/>
      <c r="G249" s="378"/>
      <c r="H249" s="378"/>
      <c r="I249" s="378"/>
      <c r="J249" s="378"/>
      <c r="K249" s="378"/>
      <c r="L249" s="378"/>
      <c r="M249" s="378"/>
      <c r="N249" s="378"/>
      <c r="O249" s="378"/>
      <c r="P249" s="378"/>
      <c r="Q249" s="378"/>
      <c r="R249" s="378"/>
      <c r="S249" s="378"/>
      <c r="T249" s="378"/>
      <c r="U249" s="378"/>
      <c r="V249" s="378"/>
      <c r="W249" s="378"/>
      <c r="X249" s="378"/>
      <c r="Y249" s="378"/>
      <c r="Z249" s="378"/>
      <c r="AA249" s="378"/>
      <c r="AB249" s="378"/>
      <c r="AC249" s="378"/>
      <c r="AD249" s="378"/>
      <c r="AE249" s="378"/>
      <c r="AF249" s="378"/>
      <c r="AG249" s="410"/>
      <c r="AH249" s="409"/>
      <c r="AI249" s="378"/>
      <c r="AJ249" s="378"/>
      <c r="AK249" s="378"/>
      <c r="AL249" s="378"/>
      <c r="AM249" s="378"/>
      <c r="AN249" s="378"/>
      <c r="AO249" s="378"/>
      <c r="AP249" s="378"/>
      <c r="AQ249" s="378"/>
      <c r="AR249" s="378"/>
      <c r="AS249" s="378"/>
      <c r="AT249" s="378"/>
      <c r="AU249" s="378"/>
      <c r="AV249" s="378"/>
      <c r="AW249" s="378"/>
      <c r="AX249" s="378"/>
      <c r="AY249" s="378"/>
      <c r="AZ249" s="378"/>
      <c r="BA249" s="378"/>
      <c r="BB249" s="378"/>
      <c r="BC249" s="378"/>
      <c r="BD249" s="378"/>
      <c r="BE249" s="378"/>
      <c r="BF249" s="378"/>
      <c r="BG249" s="378"/>
      <c r="BH249" s="378"/>
      <c r="BI249" s="410"/>
      <c r="BJ249" s="409"/>
      <c r="BK249" s="378"/>
      <c r="BL249" s="378"/>
      <c r="BM249" s="378"/>
      <c r="BN249" s="378"/>
      <c r="BO249" s="378"/>
      <c r="BP249" s="378"/>
      <c r="BQ249" s="378"/>
      <c r="BR249" s="378"/>
      <c r="BS249" s="378"/>
      <c r="BT249" s="378"/>
      <c r="BU249" s="378"/>
      <c r="BV249" s="378"/>
      <c r="BW249" s="378"/>
      <c r="BX249" s="378"/>
      <c r="BY249" s="378"/>
      <c r="BZ249" s="378"/>
      <c r="CA249" s="378"/>
      <c r="CB249" s="378"/>
      <c r="CC249" s="378"/>
      <c r="CD249" s="378"/>
      <c r="CE249" s="378"/>
      <c r="CF249" s="378"/>
      <c r="CG249" s="378"/>
      <c r="CH249" s="378"/>
      <c r="CI249" s="378"/>
      <c r="CJ249" s="378"/>
      <c r="CK249" s="410"/>
      <c r="HE249" s="164"/>
      <c r="HF249" s="164"/>
      <c r="HG249" s="164"/>
      <c r="HH249" s="164"/>
      <c r="HI249" s="164"/>
      <c r="HJ249" s="164"/>
      <c r="HK249" s="164"/>
      <c r="HL249" s="164"/>
      <c r="HM249" s="164"/>
      <c r="HN249" s="164"/>
      <c r="HO249" s="164"/>
      <c r="HP249" s="164"/>
      <c r="HQ249" s="164"/>
      <c r="HR249" s="164"/>
      <c r="HS249" s="164"/>
      <c r="HT249" s="164"/>
      <c r="HU249" s="164"/>
      <c r="HV249" s="164"/>
      <c r="HW249" s="164"/>
      <c r="HX249" s="164"/>
      <c r="HY249" s="164"/>
      <c r="HZ249" s="164"/>
      <c r="IA249" s="164"/>
      <c r="MG249" s="164"/>
      <c r="MH249" s="164"/>
      <c r="MI249" s="164"/>
      <c r="MJ249" s="164"/>
      <c r="MK249" s="164"/>
      <c r="ML249" s="164"/>
      <c r="MM249" s="164"/>
      <c r="MN249" s="164"/>
      <c r="MO249" s="164"/>
      <c r="MP249" s="164"/>
      <c r="MQ249" s="164"/>
      <c r="MR249" s="164"/>
      <c r="MS249" s="164"/>
      <c r="MT249" s="164"/>
      <c r="MU249" s="164"/>
      <c r="MV249" s="164"/>
      <c r="MW249" s="164"/>
      <c r="MX249" s="164"/>
      <c r="MY249" s="164"/>
      <c r="MZ249" s="164"/>
      <c r="NA249" s="164"/>
      <c r="NB249" s="164"/>
      <c r="NC249" s="164"/>
      <c r="ND249" s="164"/>
      <c r="NE249" s="164"/>
      <c r="NF249" s="164"/>
      <c r="NG249" s="164"/>
      <c r="NH249" s="164"/>
      <c r="NI249" s="164"/>
      <c r="NJ249" s="164"/>
      <c r="NK249" s="164"/>
      <c r="NL249" s="164"/>
      <c r="NM249" s="164"/>
      <c r="NN249" s="164"/>
      <c r="NO249" s="164"/>
      <c r="NP249" s="164"/>
      <c r="OD249" s="391"/>
      <c r="OE249" s="392"/>
      <c r="OF249" s="392"/>
      <c r="OG249" s="392"/>
      <c r="OH249" s="392"/>
      <c r="OI249" s="392"/>
      <c r="OJ249" s="392"/>
      <c r="OK249" s="392"/>
      <c r="OL249" s="392"/>
      <c r="OM249" s="392"/>
      <c r="ON249" s="392"/>
      <c r="OO249" s="392"/>
      <c r="OP249" s="392"/>
      <c r="OQ249" s="392"/>
      <c r="OR249" s="392"/>
      <c r="OS249" s="392"/>
      <c r="OT249" s="392"/>
      <c r="OU249" s="392"/>
      <c r="OV249" s="392"/>
      <c r="OW249" s="392"/>
      <c r="OX249" s="392"/>
      <c r="OY249" s="392"/>
      <c r="OZ249" s="392"/>
      <c r="PA249" s="392"/>
      <c r="PB249" s="392"/>
      <c r="PC249" s="392"/>
      <c r="PD249" s="392"/>
      <c r="PE249" s="392"/>
      <c r="PF249" s="392"/>
      <c r="PG249" s="392"/>
      <c r="PH249" s="392"/>
      <c r="PI249" s="392"/>
      <c r="PJ249" s="392"/>
      <c r="PK249" s="392"/>
      <c r="PL249" s="392"/>
      <c r="PM249" s="392"/>
      <c r="PN249" s="392"/>
      <c r="PO249" s="392"/>
      <c r="PP249" s="392"/>
      <c r="PQ249" s="392"/>
      <c r="PR249" s="392"/>
      <c r="PS249" s="392"/>
      <c r="PT249" s="392"/>
      <c r="PU249" s="392"/>
      <c r="PV249" s="392"/>
      <c r="PW249" s="392"/>
      <c r="PX249" s="392"/>
      <c r="PY249" s="392"/>
      <c r="PZ249" s="392"/>
      <c r="QA249" s="393"/>
      <c r="QB249" s="400"/>
      <c r="QC249" s="401"/>
      <c r="QD249" s="401"/>
      <c r="QE249" s="401"/>
      <c r="QF249" s="401"/>
      <c r="QG249" s="401"/>
      <c r="QH249" s="401"/>
      <c r="QI249" s="401"/>
      <c r="QJ249" s="401"/>
      <c r="QK249" s="401"/>
      <c r="QL249" s="401"/>
      <c r="QM249" s="402"/>
      <c r="QQ249" s="165"/>
      <c r="QR249" s="166"/>
    </row>
    <row r="250" spans="3:460" ht="5.15" customHeight="1" thickBot="1" x14ac:dyDescent="0.4">
      <c r="C250" s="161"/>
      <c r="D250" s="162"/>
      <c r="F250" s="409"/>
      <c r="G250" s="378"/>
      <c r="H250" s="378"/>
      <c r="I250" s="378"/>
      <c r="J250" s="378"/>
      <c r="K250" s="378"/>
      <c r="L250" s="378"/>
      <c r="M250" s="378"/>
      <c r="N250" s="378"/>
      <c r="O250" s="378"/>
      <c r="P250" s="378"/>
      <c r="Q250" s="378"/>
      <c r="R250" s="378"/>
      <c r="S250" s="378"/>
      <c r="T250" s="378"/>
      <c r="U250" s="378"/>
      <c r="V250" s="378"/>
      <c r="W250" s="378"/>
      <c r="X250" s="378"/>
      <c r="Y250" s="378"/>
      <c r="Z250" s="378"/>
      <c r="AA250" s="378"/>
      <c r="AB250" s="378"/>
      <c r="AC250" s="378"/>
      <c r="AD250" s="378"/>
      <c r="AE250" s="378"/>
      <c r="AF250" s="378"/>
      <c r="AG250" s="410"/>
      <c r="AH250" s="409"/>
      <c r="AI250" s="378"/>
      <c r="AJ250" s="378"/>
      <c r="AK250" s="378"/>
      <c r="AL250" s="378"/>
      <c r="AM250" s="378"/>
      <c r="AN250" s="378"/>
      <c r="AO250" s="378"/>
      <c r="AP250" s="378"/>
      <c r="AQ250" s="378"/>
      <c r="AR250" s="378"/>
      <c r="AS250" s="378"/>
      <c r="AT250" s="378"/>
      <c r="AU250" s="378"/>
      <c r="AV250" s="378"/>
      <c r="AW250" s="378"/>
      <c r="AX250" s="378"/>
      <c r="AY250" s="378"/>
      <c r="AZ250" s="378"/>
      <c r="BA250" s="378"/>
      <c r="BB250" s="378"/>
      <c r="BC250" s="378"/>
      <c r="BD250" s="378"/>
      <c r="BE250" s="378"/>
      <c r="BF250" s="378"/>
      <c r="BG250" s="378"/>
      <c r="BH250" s="378"/>
      <c r="BI250" s="410"/>
      <c r="BJ250" s="409"/>
      <c r="BK250" s="378"/>
      <c r="BL250" s="378"/>
      <c r="BM250" s="378"/>
      <c r="BN250" s="378"/>
      <c r="BO250" s="378"/>
      <c r="BP250" s="378"/>
      <c r="BQ250" s="378"/>
      <c r="BR250" s="378"/>
      <c r="BS250" s="378"/>
      <c r="BT250" s="378"/>
      <c r="BU250" s="378"/>
      <c r="BV250" s="378"/>
      <c r="BW250" s="378"/>
      <c r="BX250" s="378"/>
      <c r="BY250" s="378"/>
      <c r="BZ250" s="378"/>
      <c r="CA250" s="378"/>
      <c r="CB250" s="378"/>
      <c r="CC250" s="378"/>
      <c r="CD250" s="378"/>
      <c r="CE250" s="378"/>
      <c r="CF250" s="378"/>
      <c r="CG250" s="378"/>
      <c r="CH250" s="378"/>
      <c r="CI250" s="378"/>
      <c r="CJ250" s="378"/>
      <c r="CK250" s="410"/>
      <c r="HE250" s="164"/>
      <c r="HF250" s="164"/>
      <c r="HG250" s="164"/>
      <c r="HH250" s="164"/>
      <c r="HI250" s="164"/>
      <c r="HJ250" s="164"/>
      <c r="HK250" s="164"/>
      <c r="HL250" s="164"/>
      <c r="HM250" s="164"/>
      <c r="HN250" s="164"/>
      <c r="HO250" s="164"/>
      <c r="HP250" s="164"/>
      <c r="HQ250" s="164"/>
      <c r="HR250" s="164"/>
      <c r="HS250" s="164"/>
      <c r="HT250" s="164"/>
      <c r="HU250" s="164"/>
      <c r="HV250" s="164"/>
      <c r="HW250" s="164"/>
      <c r="HX250" s="164"/>
      <c r="HY250" s="164"/>
      <c r="HZ250" s="164"/>
      <c r="IA250" s="164"/>
      <c r="MG250" s="164"/>
      <c r="MH250" s="164"/>
      <c r="MI250" s="164"/>
      <c r="MJ250" s="164"/>
      <c r="MK250" s="164"/>
      <c r="ML250" s="164"/>
      <c r="MM250" s="164"/>
      <c r="MN250" s="164"/>
      <c r="MO250" s="164"/>
      <c r="MP250" s="164"/>
      <c r="MQ250" s="164"/>
      <c r="MR250" s="164"/>
      <c r="MS250" s="164"/>
      <c r="MT250" s="164"/>
      <c r="MU250" s="164"/>
      <c r="MV250" s="164"/>
      <c r="MW250" s="164"/>
      <c r="MX250" s="164"/>
      <c r="MY250" s="164"/>
      <c r="MZ250" s="164"/>
      <c r="NA250" s="164"/>
      <c r="NB250" s="164"/>
      <c r="NC250" s="164"/>
      <c r="ND250" s="164"/>
      <c r="NE250" s="164"/>
      <c r="NF250" s="164"/>
      <c r="NG250" s="164"/>
      <c r="NH250" s="164"/>
      <c r="NI250" s="164"/>
      <c r="NJ250" s="164"/>
      <c r="NK250" s="164"/>
      <c r="NL250" s="164"/>
      <c r="NM250" s="164"/>
      <c r="NN250" s="164"/>
      <c r="NO250" s="164"/>
      <c r="NP250" s="164"/>
      <c r="OD250" s="394"/>
      <c r="OE250" s="395"/>
      <c r="OF250" s="395"/>
      <c r="OG250" s="395"/>
      <c r="OH250" s="395"/>
      <c r="OI250" s="395"/>
      <c r="OJ250" s="395"/>
      <c r="OK250" s="395"/>
      <c r="OL250" s="395"/>
      <c r="OM250" s="395"/>
      <c r="ON250" s="395"/>
      <c r="OO250" s="395"/>
      <c r="OP250" s="395"/>
      <c r="OQ250" s="395"/>
      <c r="OR250" s="395"/>
      <c r="OS250" s="395"/>
      <c r="OT250" s="395"/>
      <c r="OU250" s="395"/>
      <c r="OV250" s="395"/>
      <c r="OW250" s="395"/>
      <c r="OX250" s="395"/>
      <c r="OY250" s="395"/>
      <c r="OZ250" s="395"/>
      <c r="PA250" s="395"/>
      <c r="PB250" s="395"/>
      <c r="PC250" s="395"/>
      <c r="PD250" s="395"/>
      <c r="PE250" s="395"/>
      <c r="PF250" s="395"/>
      <c r="PG250" s="395"/>
      <c r="PH250" s="395"/>
      <c r="PI250" s="395"/>
      <c r="PJ250" s="395"/>
      <c r="PK250" s="395"/>
      <c r="PL250" s="395"/>
      <c r="PM250" s="395"/>
      <c r="PN250" s="395"/>
      <c r="PO250" s="395"/>
      <c r="PP250" s="395"/>
      <c r="PQ250" s="395"/>
      <c r="PR250" s="395"/>
      <c r="PS250" s="395"/>
      <c r="PT250" s="395"/>
      <c r="PU250" s="395"/>
      <c r="PV250" s="395"/>
      <c r="PW250" s="395"/>
      <c r="PX250" s="395"/>
      <c r="PY250" s="395"/>
      <c r="PZ250" s="395"/>
      <c r="QA250" s="396"/>
      <c r="QB250" s="403"/>
      <c r="QC250" s="404"/>
      <c r="QD250" s="404"/>
      <c r="QE250" s="404"/>
      <c r="QF250" s="404"/>
      <c r="QG250" s="404"/>
      <c r="QH250" s="404"/>
      <c r="QI250" s="404"/>
      <c r="QJ250" s="404"/>
      <c r="QK250" s="404"/>
      <c r="QL250" s="404"/>
      <c r="QM250" s="405"/>
      <c r="QQ250" s="165"/>
      <c r="QR250" s="166"/>
    </row>
    <row r="251" spans="3:460" ht="5.15" customHeight="1" x14ac:dyDescent="0.35">
      <c r="C251" s="161"/>
      <c r="D251" s="162"/>
      <c r="F251" s="409"/>
      <c r="G251" s="378"/>
      <c r="H251" s="378"/>
      <c r="I251" s="378"/>
      <c r="J251" s="378"/>
      <c r="K251" s="378"/>
      <c r="L251" s="378"/>
      <c r="M251" s="378"/>
      <c r="N251" s="378"/>
      <c r="O251" s="378"/>
      <c r="P251" s="378"/>
      <c r="Q251" s="378"/>
      <c r="R251" s="378"/>
      <c r="S251" s="378"/>
      <c r="T251" s="378"/>
      <c r="U251" s="378"/>
      <c r="V251" s="378"/>
      <c r="W251" s="378"/>
      <c r="X251" s="378"/>
      <c r="Y251" s="378"/>
      <c r="Z251" s="378"/>
      <c r="AA251" s="378"/>
      <c r="AB251" s="378"/>
      <c r="AC251" s="378"/>
      <c r="AD251" s="378"/>
      <c r="AE251" s="378"/>
      <c r="AF251" s="378"/>
      <c r="AG251" s="410"/>
      <c r="AH251" s="409"/>
      <c r="AI251" s="378"/>
      <c r="AJ251" s="378"/>
      <c r="AK251" s="378"/>
      <c r="AL251" s="378"/>
      <c r="AM251" s="378"/>
      <c r="AN251" s="378"/>
      <c r="AO251" s="378"/>
      <c r="AP251" s="378"/>
      <c r="AQ251" s="378"/>
      <c r="AR251" s="378"/>
      <c r="AS251" s="378"/>
      <c r="AT251" s="378"/>
      <c r="AU251" s="378"/>
      <c r="AV251" s="378"/>
      <c r="AW251" s="378"/>
      <c r="AX251" s="378"/>
      <c r="AY251" s="378"/>
      <c r="AZ251" s="378"/>
      <c r="BA251" s="378"/>
      <c r="BB251" s="378"/>
      <c r="BC251" s="378"/>
      <c r="BD251" s="378"/>
      <c r="BE251" s="378"/>
      <c r="BF251" s="378"/>
      <c r="BG251" s="378"/>
      <c r="BH251" s="378"/>
      <c r="BI251" s="410"/>
      <c r="BJ251" s="409"/>
      <c r="BK251" s="378"/>
      <c r="BL251" s="378"/>
      <c r="BM251" s="378"/>
      <c r="BN251" s="378"/>
      <c r="BO251" s="378"/>
      <c r="BP251" s="378"/>
      <c r="BQ251" s="378"/>
      <c r="BR251" s="378"/>
      <c r="BS251" s="378"/>
      <c r="BT251" s="378"/>
      <c r="BU251" s="378"/>
      <c r="BV251" s="378"/>
      <c r="BW251" s="378"/>
      <c r="BX251" s="378"/>
      <c r="BY251" s="378"/>
      <c r="BZ251" s="378"/>
      <c r="CA251" s="378"/>
      <c r="CB251" s="378"/>
      <c r="CC251" s="378"/>
      <c r="CD251" s="378"/>
      <c r="CE251" s="378"/>
      <c r="CF251" s="378"/>
      <c r="CG251" s="378"/>
      <c r="CH251" s="378"/>
      <c r="CI251" s="378"/>
      <c r="CJ251" s="378"/>
      <c r="CK251" s="410"/>
      <c r="QQ251" s="165"/>
      <c r="QR251" s="166"/>
    </row>
    <row r="252" spans="3:460" ht="5.15" customHeight="1" thickBot="1" x14ac:dyDescent="0.4">
      <c r="C252" s="161"/>
      <c r="D252" s="162"/>
      <c r="E252" s="164"/>
      <c r="F252" s="411"/>
      <c r="G252" s="412"/>
      <c r="H252" s="412"/>
      <c r="I252" s="412"/>
      <c r="J252" s="412"/>
      <c r="K252" s="412"/>
      <c r="L252" s="412"/>
      <c r="M252" s="412"/>
      <c r="N252" s="412"/>
      <c r="O252" s="412"/>
      <c r="P252" s="412"/>
      <c r="Q252" s="412"/>
      <c r="R252" s="412"/>
      <c r="S252" s="412"/>
      <c r="T252" s="412"/>
      <c r="U252" s="412"/>
      <c r="V252" s="412"/>
      <c r="W252" s="412"/>
      <c r="X252" s="412"/>
      <c r="Y252" s="412"/>
      <c r="Z252" s="412"/>
      <c r="AA252" s="412"/>
      <c r="AB252" s="412"/>
      <c r="AC252" s="412"/>
      <c r="AD252" s="412"/>
      <c r="AE252" s="412"/>
      <c r="AF252" s="412"/>
      <c r="AG252" s="413"/>
      <c r="AH252" s="411"/>
      <c r="AI252" s="412"/>
      <c r="AJ252" s="412"/>
      <c r="AK252" s="412"/>
      <c r="AL252" s="412"/>
      <c r="AM252" s="412"/>
      <c r="AN252" s="412"/>
      <c r="AO252" s="412"/>
      <c r="AP252" s="412"/>
      <c r="AQ252" s="412"/>
      <c r="AR252" s="412"/>
      <c r="AS252" s="412"/>
      <c r="AT252" s="412"/>
      <c r="AU252" s="412"/>
      <c r="AV252" s="412"/>
      <c r="AW252" s="412"/>
      <c r="AX252" s="412"/>
      <c r="AY252" s="412"/>
      <c r="AZ252" s="412"/>
      <c r="BA252" s="412"/>
      <c r="BB252" s="412"/>
      <c r="BC252" s="412"/>
      <c r="BD252" s="412"/>
      <c r="BE252" s="412"/>
      <c r="BF252" s="412"/>
      <c r="BG252" s="412"/>
      <c r="BH252" s="412"/>
      <c r="BI252" s="413"/>
      <c r="BJ252" s="411"/>
      <c r="BK252" s="412"/>
      <c r="BL252" s="412"/>
      <c r="BM252" s="412"/>
      <c r="BN252" s="412"/>
      <c r="BO252" s="412"/>
      <c r="BP252" s="412"/>
      <c r="BQ252" s="412"/>
      <c r="BR252" s="412"/>
      <c r="BS252" s="412"/>
      <c r="BT252" s="412"/>
      <c r="BU252" s="412"/>
      <c r="BV252" s="412"/>
      <c r="BW252" s="412"/>
      <c r="BX252" s="412"/>
      <c r="BY252" s="412"/>
      <c r="BZ252" s="412"/>
      <c r="CA252" s="412"/>
      <c r="CB252" s="412"/>
      <c r="CC252" s="412"/>
      <c r="CD252" s="412"/>
      <c r="CE252" s="412"/>
      <c r="CF252" s="412"/>
      <c r="CG252" s="412"/>
      <c r="CH252" s="412"/>
      <c r="CI252" s="412"/>
      <c r="CJ252" s="412"/>
      <c r="CK252" s="413"/>
      <c r="II252" s="164"/>
      <c r="IJ252" s="164"/>
      <c r="IK252" s="164"/>
      <c r="IL252" s="164"/>
      <c r="IM252" s="164"/>
      <c r="IN252" s="164"/>
      <c r="IO252" s="164"/>
      <c r="IP252" s="164"/>
      <c r="IQ252" s="164"/>
      <c r="IR252" s="164"/>
      <c r="IS252" s="164"/>
      <c r="IT252" s="164"/>
      <c r="IU252" s="164"/>
      <c r="IV252" s="164"/>
      <c r="IW252" s="164"/>
      <c r="QQ252" s="165"/>
      <c r="QR252" s="166"/>
    </row>
    <row r="253" spans="3:460" ht="5.15" customHeight="1" thickBot="1" x14ac:dyDescent="0.4">
      <c r="C253" s="161"/>
      <c r="D253" s="162"/>
      <c r="E253" s="164"/>
      <c r="F253" s="406"/>
      <c r="G253" s="407"/>
      <c r="H253" s="407"/>
      <c r="I253" s="407"/>
      <c r="J253" s="407"/>
      <c r="K253" s="407"/>
      <c r="L253" s="407"/>
      <c r="M253" s="407"/>
      <c r="N253" s="407"/>
      <c r="O253" s="407"/>
      <c r="P253" s="407"/>
      <c r="Q253" s="407"/>
      <c r="R253" s="407"/>
      <c r="S253" s="407"/>
      <c r="T253" s="407"/>
      <c r="U253" s="407"/>
      <c r="V253" s="407"/>
      <c r="W253" s="407"/>
      <c r="X253" s="407"/>
      <c r="Y253" s="407"/>
      <c r="Z253" s="407"/>
      <c r="AA253" s="407"/>
      <c r="AB253" s="407"/>
      <c r="AC253" s="407"/>
      <c r="AD253" s="407"/>
      <c r="AE253" s="407"/>
      <c r="AF253" s="407"/>
      <c r="AG253" s="408"/>
      <c r="AH253" s="406"/>
      <c r="AI253" s="407"/>
      <c r="AJ253" s="407"/>
      <c r="AK253" s="407"/>
      <c r="AL253" s="407"/>
      <c r="AM253" s="407"/>
      <c r="AN253" s="407"/>
      <c r="AO253" s="407"/>
      <c r="AP253" s="407"/>
      <c r="AQ253" s="407"/>
      <c r="AR253" s="407"/>
      <c r="AS253" s="407"/>
      <c r="AT253" s="407"/>
      <c r="AU253" s="407"/>
      <c r="AV253" s="407"/>
      <c r="AW253" s="407"/>
      <c r="AX253" s="407"/>
      <c r="AY253" s="407"/>
      <c r="AZ253" s="407"/>
      <c r="BA253" s="407"/>
      <c r="BB253" s="407"/>
      <c r="BC253" s="407"/>
      <c r="BD253" s="407"/>
      <c r="BE253" s="407"/>
      <c r="BF253" s="407"/>
      <c r="BG253" s="407"/>
      <c r="BH253" s="407"/>
      <c r="BI253" s="408"/>
      <c r="BJ253" s="406"/>
      <c r="BK253" s="407"/>
      <c r="BL253" s="407"/>
      <c r="BM253" s="407"/>
      <c r="BN253" s="407"/>
      <c r="BO253" s="407"/>
      <c r="BP253" s="407"/>
      <c r="BQ253" s="407"/>
      <c r="BR253" s="407"/>
      <c r="BS253" s="407"/>
      <c r="BT253" s="407"/>
      <c r="BU253" s="407"/>
      <c r="BV253" s="407"/>
      <c r="BW253" s="407"/>
      <c r="BX253" s="407"/>
      <c r="BY253" s="407"/>
      <c r="BZ253" s="407"/>
      <c r="CA253" s="407"/>
      <c r="CB253" s="407"/>
      <c r="CC253" s="407"/>
      <c r="CD253" s="407"/>
      <c r="CE253" s="407"/>
      <c r="CF253" s="407"/>
      <c r="CG253" s="407"/>
      <c r="CH253" s="407"/>
      <c r="CI253" s="407"/>
      <c r="CJ253" s="407"/>
      <c r="CK253" s="408"/>
      <c r="II253" s="164"/>
      <c r="IJ253" s="164"/>
      <c r="IK253" s="164"/>
      <c r="IL253" s="164"/>
      <c r="IM253" s="164"/>
      <c r="IN253" s="164"/>
      <c r="IO253" s="164"/>
      <c r="IP253" s="164"/>
      <c r="IQ253" s="164"/>
      <c r="IR253" s="164"/>
      <c r="IS253" s="164"/>
      <c r="IT253" s="164"/>
      <c r="IU253" s="164"/>
      <c r="IV253" s="164"/>
      <c r="IW253" s="164"/>
      <c r="QQ253" s="165"/>
      <c r="QR253" s="166"/>
    </row>
    <row r="254" spans="3:460" ht="5.15" customHeight="1" x14ac:dyDescent="0.35">
      <c r="C254" s="161"/>
      <c r="D254" s="162"/>
      <c r="E254" s="164"/>
      <c r="F254" s="409"/>
      <c r="G254" s="378"/>
      <c r="H254" s="378"/>
      <c r="I254" s="378"/>
      <c r="J254" s="378"/>
      <c r="K254" s="378"/>
      <c r="L254" s="378"/>
      <c r="M254" s="378"/>
      <c r="N254" s="378"/>
      <c r="O254" s="378"/>
      <c r="P254" s="378"/>
      <c r="Q254" s="378"/>
      <c r="R254" s="378"/>
      <c r="S254" s="378"/>
      <c r="T254" s="378"/>
      <c r="U254" s="378"/>
      <c r="V254" s="378"/>
      <c r="W254" s="378"/>
      <c r="X254" s="378"/>
      <c r="Y254" s="378"/>
      <c r="Z254" s="378"/>
      <c r="AA254" s="378"/>
      <c r="AB254" s="378"/>
      <c r="AC254" s="378"/>
      <c r="AD254" s="378"/>
      <c r="AE254" s="378"/>
      <c r="AF254" s="378"/>
      <c r="AG254" s="410"/>
      <c r="AH254" s="409"/>
      <c r="AI254" s="378"/>
      <c r="AJ254" s="378"/>
      <c r="AK254" s="378"/>
      <c r="AL254" s="378"/>
      <c r="AM254" s="378"/>
      <c r="AN254" s="378"/>
      <c r="AO254" s="378"/>
      <c r="AP254" s="378"/>
      <c r="AQ254" s="378"/>
      <c r="AR254" s="378"/>
      <c r="AS254" s="378"/>
      <c r="AT254" s="378"/>
      <c r="AU254" s="378"/>
      <c r="AV254" s="378"/>
      <c r="AW254" s="378"/>
      <c r="AX254" s="378"/>
      <c r="AY254" s="378"/>
      <c r="AZ254" s="378"/>
      <c r="BA254" s="378"/>
      <c r="BB254" s="378"/>
      <c r="BC254" s="378"/>
      <c r="BD254" s="378"/>
      <c r="BE254" s="378"/>
      <c r="BF254" s="378"/>
      <c r="BG254" s="378"/>
      <c r="BH254" s="378"/>
      <c r="BI254" s="410"/>
      <c r="BJ254" s="409"/>
      <c r="BK254" s="378"/>
      <c r="BL254" s="378"/>
      <c r="BM254" s="378"/>
      <c r="BN254" s="378"/>
      <c r="BO254" s="378"/>
      <c r="BP254" s="378"/>
      <c r="BQ254" s="378"/>
      <c r="BR254" s="378"/>
      <c r="BS254" s="378"/>
      <c r="BT254" s="378"/>
      <c r="BU254" s="378"/>
      <c r="BV254" s="378"/>
      <c r="BW254" s="378"/>
      <c r="BX254" s="378"/>
      <c r="BY254" s="378"/>
      <c r="BZ254" s="378"/>
      <c r="CA254" s="378"/>
      <c r="CB254" s="378"/>
      <c r="CC254" s="378"/>
      <c r="CD254" s="378"/>
      <c r="CE254" s="378"/>
      <c r="CF254" s="378"/>
      <c r="CG254" s="378"/>
      <c r="CH254" s="378"/>
      <c r="CI254" s="378"/>
      <c r="CJ254" s="378"/>
      <c r="CK254" s="410"/>
      <c r="II254" s="164"/>
      <c r="IJ254" s="164"/>
      <c r="IK254" s="164"/>
      <c r="IL254" s="164"/>
      <c r="IM254" s="164"/>
      <c r="IN254" s="164"/>
      <c r="IO254" s="164"/>
      <c r="IP254" s="164"/>
      <c r="IQ254" s="164"/>
      <c r="IR254" s="164"/>
      <c r="IS254" s="164"/>
      <c r="IT254" s="164"/>
      <c r="IU254" s="164"/>
      <c r="IV254" s="164"/>
      <c r="IW254" s="164"/>
      <c r="NK254" s="406" t="s">
        <v>311</v>
      </c>
      <c r="NL254" s="407"/>
      <c r="NM254" s="407"/>
      <c r="NN254" s="407"/>
      <c r="NO254" s="407"/>
      <c r="NP254" s="407"/>
      <c r="NQ254" s="407"/>
      <c r="NR254" s="407"/>
      <c r="NS254" s="407"/>
      <c r="NT254" s="407"/>
      <c r="NU254" s="407"/>
      <c r="NV254" s="407"/>
      <c r="NW254" s="407"/>
      <c r="NX254" s="407"/>
      <c r="NY254" s="407"/>
      <c r="NZ254" s="407"/>
      <c r="OA254" s="407"/>
      <c r="OB254" s="407"/>
      <c r="OC254" s="407"/>
      <c r="OD254" s="407"/>
      <c r="OE254" s="407"/>
      <c r="OF254" s="407"/>
      <c r="OG254" s="407"/>
      <c r="OH254" s="407"/>
      <c r="OI254" s="407"/>
      <c r="OJ254" s="407"/>
      <c r="OK254" s="407"/>
      <c r="OL254" s="408"/>
      <c r="OM254" s="406" t="s">
        <v>312</v>
      </c>
      <c r="ON254" s="407"/>
      <c r="OO254" s="407"/>
      <c r="OP254" s="407"/>
      <c r="OQ254" s="407"/>
      <c r="OR254" s="407"/>
      <c r="OS254" s="407"/>
      <c r="OT254" s="407"/>
      <c r="OU254" s="407"/>
      <c r="OV254" s="407"/>
      <c r="OW254" s="407"/>
      <c r="OX254" s="407"/>
      <c r="OY254" s="407"/>
      <c r="OZ254" s="407"/>
      <c r="PA254" s="407"/>
      <c r="PB254" s="407"/>
      <c r="PC254" s="407"/>
      <c r="PD254" s="407"/>
      <c r="PE254" s="407"/>
      <c r="PF254" s="407"/>
      <c r="PG254" s="407"/>
      <c r="PH254" s="407"/>
      <c r="PI254" s="407"/>
      <c r="PJ254" s="407"/>
      <c r="PK254" s="407"/>
      <c r="PL254" s="407"/>
      <c r="PM254" s="407"/>
      <c r="PN254" s="408"/>
      <c r="PO254" s="406" t="s">
        <v>425</v>
      </c>
      <c r="PP254" s="407"/>
      <c r="PQ254" s="407"/>
      <c r="PR254" s="407"/>
      <c r="PS254" s="407"/>
      <c r="PT254" s="407"/>
      <c r="PU254" s="407"/>
      <c r="PV254" s="407"/>
      <c r="PW254" s="407"/>
      <c r="PX254" s="407"/>
      <c r="PY254" s="407"/>
      <c r="PZ254" s="407"/>
      <c r="QA254" s="407"/>
      <c r="QB254" s="407"/>
      <c r="QC254" s="407"/>
      <c r="QD254" s="407"/>
      <c r="QE254" s="407"/>
      <c r="QF254" s="407"/>
      <c r="QG254" s="407"/>
      <c r="QH254" s="407"/>
      <c r="QI254" s="407"/>
      <c r="QJ254" s="407"/>
      <c r="QK254" s="407"/>
      <c r="QL254" s="407"/>
      <c r="QM254" s="407"/>
      <c r="QN254" s="407"/>
      <c r="QO254" s="407"/>
      <c r="QP254" s="408"/>
      <c r="QQ254" s="165"/>
      <c r="QR254" s="166"/>
    </row>
    <row r="255" spans="3:460" ht="5.15" customHeight="1" x14ac:dyDescent="0.35">
      <c r="C255" s="161"/>
      <c r="D255" s="162"/>
      <c r="E255" s="164"/>
      <c r="F255" s="409"/>
      <c r="G255" s="378"/>
      <c r="H255" s="378"/>
      <c r="I255" s="378"/>
      <c r="J255" s="378"/>
      <c r="K255" s="378"/>
      <c r="L255" s="378"/>
      <c r="M255" s="378"/>
      <c r="N255" s="378"/>
      <c r="O255" s="378"/>
      <c r="P255" s="378"/>
      <c r="Q255" s="378"/>
      <c r="R255" s="378"/>
      <c r="S255" s="378"/>
      <c r="T255" s="378"/>
      <c r="U255" s="378"/>
      <c r="V255" s="378"/>
      <c r="W255" s="378"/>
      <c r="X255" s="378"/>
      <c r="Y255" s="378"/>
      <c r="Z255" s="378"/>
      <c r="AA255" s="378"/>
      <c r="AB255" s="378"/>
      <c r="AC255" s="378"/>
      <c r="AD255" s="378"/>
      <c r="AE255" s="378"/>
      <c r="AF255" s="378"/>
      <c r="AG255" s="410"/>
      <c r="AH255" s="409"/>
      <c r="AI255" s="378"/>
      <c r="AJ255" s="378"/>
      <c r="AK255" s="378"/>
      <c r="AL255" s="378"/>
      <c r="AM255" s="378"/>
      <c r="AN255" s="378"/>
      <c r="AO255" s="378"/>
      <c r="AP255" s="378"/>
      <c r="AQ255" s="378"/>
      <c r="AR255" s="378"/>
      <c r="AS255" s="378"/>
      <c r="AT255" s="378"/>
      <c r="AU255" s="378"/>
      <c r="AV255" s="378"/>
      <c r="AW255" s="378"/>
      <c r="AX255" s="378"/>
      <c r="AY255" s="378"/>
      <c r="AZ255" s="378"/>
      <c r="BA255" s="378"/>
      <c r="BB255" s="378"/>
      <c r="BC255" s="378"/>
      <c r="BD255" s="378"/>
      <c r="BE255" s="378"/>
      <c r="BF255" s="378"/>
      <c r="BG255" s="378"/>
      <c r="BH255" s="378"/>
      <c r="BI255" s="410"/>
      <c r="BJ255" s="409"/>
      <c r="BK255" s="378"/>
      <c r="BL255" s="378"/>
      <c r="BM255" s="378"/>
      <c r="BN255" s="378"/>
      <c r="BO255" s="378"/>
      <c r="BP255" s="378"/>
      <c r="BQ255" s="378"/>
      <c r="BR255" s="378"/>
      <c r="BS255" s="378"/>
      <c r="BT255" s="378"/>
      <c r="BU255" s="378"/>
      <c r="BV255" s="378"/>
      <c r="BW255" s="378"/>
      <c r="BX255" s="378"/>
      <c r="BY255" s="378"/>
      <c r="BZ255" s="378"/>
      <c r="CA255" s="378"/>
      <c r="CB255" s="378"/>
      <c r="CC255" s="378"/>
      <c r="CD255" s="378"/>
      <c r="CE255" s="378"/>
      <c r="CF255" s="378"/>
      <c r="CG255" s="378"/>
      <c r="CH255" s="378"/>
      <c r="CI255" s="378"/>
      <c r="CJ255" s="378"/>
      <c r="CK255" s="410"/>
      <c r="II255" s="164"/>
      <c r="IJ255" s="164"/>
      <c r="IK255" s="164"/>
      <c r="IL255" s="164"/>
      <c r="IM255" s="164"/>
      <c r="IN255" s="164"/>
      <c r="IO255" s="164"/>
      <c r="IP255" s="164"/>
      <c r="IQ255" s="164"/>
      <c r="IR255" s="164"/>
      <c r="IS255" s="164"/>
      <c r="IT255" s="164"/>
      <c r="IU255" s="164"/>
      <c r="IV255" s="164"/>
      <c r="IW255" s="164"/>
      <c r="NK255" s="409"/>
      <c r="NL255" s="378"/>
      <c r="NM255" s="378"/>
      <c r="NN255" s="378"/>
      <c r="NO255" s="378"/>
      <c r="NP255" s="378"/>
      <c r="NQ255" s="378"/>
      <c r="NR255" s="378"/>
      <c r="NS255" s="378"/>
      <c r="NT255" s="378"/>
      <c r="NU255" s="378"/>
      <c r="NV255" s="378"/>
      <c r="NW255" s="378"/>
      <c r="NX255" s="378"/>
      <c r="NY255" s="378"/>
      <c r="NZ255" s="378"/>
      <c r="OA255" s="378"/>
      <c r="OB255" s="378"/>
      <c r="OC255" s="378"/>
      <c r="OD255" s="378"/>
      <c r="OE255" s="378"/>
      <c r="OF255" s="378"/>
      <c r="OG255" s="378"/>
      <c r="OH255" s="378"/>
      <c r="OI255" s="378"/>
      <c r="OJ255" s="378"/>
      <c r="OK255" s="378"/>
      <c r="OL255" s="410"/>
      <c r="OM255" s="409"/>
      <c r="ON255" s="378"/>
      <c r="OO255" s="378"/>
      <c r="OP255" s="378"/>
      <c r="OQ255" s="378"/>
      <c r="OR255" s="378"/>
      <c r="OS255" s="378"/>
      <c r="OT255" s="378"/>
      <c r="OU255" s="378"/>
      <c r="OV255" s="378"/>
      <c r="OW255" s="378"/>
      <c r="OX255" s="378"/>
      <c r="OY255" s="378"/>
      <c r="OZ255" s="378"/>
      <c r="PA255" s="378"/>
      <c r="PB255" s="378"/>
      <c r="PC255" s="378"/>
      <c r="PD255" s="378"/>
      <c r="PE255" s="378"/>
      <c r="PF255" s="378"/>
      <c r="PG255" s="378"/>
      <c r="PH255" s="378"/>
      <c r="PI255" s="378"/>
      <c r="PJ255" s="378"/>
      <c r="PK255" s="378"/>
      <c r="PL255" s="378"/>
      <c r="PM255" s="378"/>
      <c r="PN255" s="410"/>
      <c r="PO255" s="409"/>
      <c r="PP255" s="378"/>
      <c r="PQ255" s="378"/>
      <c r="PR255" s="378"/>
      <c r="PS255" s="378"/>
      <c r="PT255" s="378"/>
      <c r="PU255" s="378"/>
      <c r="PV255" s="378"/>
      <c r="PW255" s="378"/>
      <c r="PX255" s="378"/>
      <c r="PY255" s="378"/>
      <c r="PZ255" s="378"/>
      <c r="QA255" s="378"/>
      <c r="QB255" s="378"/>
      <c r="QC255" s="378"/>
      <c r="QD255" s="378"/>
      <c r="QE255" s="378"/>
      <c r="QF255" s="378"/>
      <c r="QG255" s="378"/>
      <c r="QH255" s="378"/>
      <c r="QI255" s="378"/>
      <c r="QJ255" s="378"/>
      <c r="QK255" s="378"/>
      <c r="QL255" s="378"/>
      <c r="QM255" s="378"/>
      <c r="QN255" s="378"/>
      <c r="QO255" s="378"/>
      <c r="QP255" s="410"/>
      <c r="QQ255" s="165"/>
      <c r="QR255" s="166"/>
    </row>
    <row r="256" spans="3:460" ht="5.15" customHeight="1" x14ac:dyDescent="0.35">
      <c r="C256" s="161"/>
      <c r="D256" s="162"/>
      <c r="E256" s="164"/>
      <c r="F256" s="409"/>
      <c r="G256" s="378"/>
      <c r="H256" s="378"/>
      <c r="I256" s="378"/>
      <c r="J256" s="378"/>
      <c r="K256" s="378"/>
      <c r="L256" s="378"/>
      <c r="M256" s="378"/>
      <c r="N256" s="378"/>
      <c r="O256" s="378"/>
      <c r="P256" s="378"/>
      <c r="Q256" s="378"/>
      <c r="R256" s="378"/>
      <c r="S256" s="378"/>
      <c r="T256" s="378"/>
      <c r="U256" s="378"/>
      <c r="V256" s="378"/>
      <c r="W256" s="378"/>
      <c r="X256" s="378"/>
      <c r="Y256" s="378"/>
      <c r="Z256" s="378"/>
      <c r="AA256" s="378"/>
      <c r="AB256" s="378"/>
      <c r="AC256" s="378"/>
      <c r="AD256" s="378"/>
      <c r="AE256" s="378"/>
      <c r="AF256" s="378"/>
      <c r="AG256" s="410"/>
      <c r="AH256" s="409"/>
      <c r="AI256" s="378"/>
      <c r="AJ256" s="378"/>
      <c r="AK256" s="378"/>
      <c r="AL256" s="378"/>
      <c r="AM256" s="378"/>
      <c r="AN256" s="378"/>
      <c r="AO256" s="378"/>
      <c r="AP256" s="378"/>
      <c r="AQ256" s="378"/>
      <c r="AR256" s="378"/>
      <c r="AS256" s="378"/>
      <c r="AT256" s="378"/>
      <c r="AU256" s="378"/>
      <c r="AV256" s="378"/>
      <c r="AW256" s="378"/>
      <c r="AX256" s="378"/>
      <c r="AY256" s="378"/>
      <c r="AZ256" s="378"/>
      <c r="BA256" s="378"/>
      <c r="BB256" s="378"/>
      <c r="BC256" s="378"/>
      <c r="BD256" s="378"/>
      <c r="BE256" s="378"/>
      <c r="BF256" s="378"/>
      <c r="BG256" s="378"/>
      <c r="BH256" s="378"/>
      <c r="BI256" s="410"/>
      <c r="BJ256" s="409"/>
      <c r="BK256" s="378"/>
      <c r="BL256" s="378"/>
      <c r="BM256" s="378"/>
      <c r="BN256" s="378"/>
      <c r="BO256" s="378"/>
      <c r="BP256" s="378"/>
      <c r="BQ256" s="378"/>
      <c r="BR256" s="378"/>
      <c r="BS256" s="378"/>
      <c r="BT256" s="378"/>
      <c r="BU256" s="378"/>
      <c r="BV256" s="378"/>
      <c r="BW256" s="378"/>
      <c r="BX256" s="378"/>
      <c r="BY256" s="378"/>
      <c r="BZ256" s="378"/>
      <c r="CA256" s="378"/>
      <c r="CB256" s="378"/>
      <c r="CC256" s="378"/>
      <c r="CD256" s="378"/>
      <c r="CE256" s="378"/>
      <c r="CF256" s="378"/>
      <c r="CG256" s="378"/>
      <c r="CH256" s="378"/>
      <c r="CI256" s="378"/>
      <c r="CJ256" s="378"/>
      <c r="CK256" s="410"/>
      <c r="NK256" s="409"/>
      <c r="NL256" s="378"/>
      <c r="NM256" s="378"/>
      <c r="NN256" s="378"/>
      <c r="NO256" s="378"/>
      <c r="NP256" s="378"/>
      <c r="NQ256" s="378"/>
      <c r="NR256" s="378"/>
      <c r="NS256" s="378"/>
      <c r="NT256" s="378"/>
      <c r="NU256" s="378"/>
      <c r="NV256" s="378"/>
      <c r="NW256" s="378"/>
      <c r="NX256" s="378"/>
      <c r="NY256" s="378"/>
      <c r="NZ256" s="378"/>
      <c r="OA256" s="378"/>
      <c r="OB256" s="378"/>
      <c r="OC256" s="378"/>
      <c r="OD256" s="378"/>
      <c r="OE256" s="378"/>
      <c r="OF256" s="378"/>
      <c r="OG256" s="378"/>
      <c r="OH256" s="378"/>
      <c r="OI256" s="378"/>
      <c r="OJ256" s="378"/>
      <c r="OK256" s="378"/>
      <c r="OL256" s="410"/>
      <c r="OM256" s="409"/>
      <c r="ON256" s="378"/>
      <c r="OO256" s="378"/>
      <c r="OP256" s="378"/>
      <c r="OQ256" s="378"/>
      <c r="OR256" s="378"/>
      <c r="OS256" s="378"/>
      <c r="OT256" s="378"/>
      <c r="OU256" s="378"/>
      <c r="OV256" s="378"/>
      <c r="OW256" s="378"/>
      <c r="OX256" s="378"/>
      <c r="OY256" s="378"/>
      <c r="OZ256" s="378"/>
      <c r="PA256" s="378"/>
      <c r="PB256" s="378"/>
      <c r="PC256" s="378"/>
      <c r="PD256" s="378"/>
      <c r="PE256" s="378"/>
      <c r="PF256" s="378"/>
      <c r="PG256" s="378"/>
      <c r="PH256" s="378"/>
      <c r="PI256" s="378"/>
      <c r="PJ256" s="378"/>
      <c r="PK256" s="378"/>
      <c r="PL256" s="378"/>
      <c r="PM256" s="378"/>
      <c r="PN256" s="410"/>
      <c r="PO256" s="409"/>
      <c r="PP256" s="378"/>
      <c r="PQ256" s="378"/>
      <c r="PR256" s="378"/>
      <c r="PS256" s="378"/>
      <c r="PT256" s="378"/>
      <c r="PU256" s="378"/>
      <c r="PV256" s="378"/>
      <c r="PW256" s="378"/>
      <c r="PX256" s="378"/>
      <c r="PY256" s="378"/>
      <c r="PZ256" s="378"/>
      <c r="QA256" s="378"/>
      <c r="QB256" s="378"/>
      <c r="QC256" s="378"/>
      <c r="QD256" s="378"/>
      <c r="QE256" s="378"/>
      <c r="QF256" s="378"/>
      <c r="QG256" s="378"/>
      <c r="QH256" s="378"/>
      <c r="QI256" s="378"/>
      <c r="QJ256" s="378"/>
      <c r="QK256" s="378"/>
      <c r="QL256" s="378"/>
      <c r="QM256" s="378"/>
      <c r="QN256" s="378"/>
      <c r="QO256" s="378"/>
      <c r="QP256" s="410"/>
      <c r="QQ256" s="165"/>
      <c r="QR256" s="166"/>
    </row>
    <row r="257" spans="3:483" ht="5.15" customHeight="1" thickBot="1" x14ac:dyDescent="0.4">
      <c r="C257" s="161"/>
      <c r="D257" s="162"/>
      <c r="E257" s="164"/>
      <c r="F257" s="411"/>
      <c r="G257" s="412"/>
      <c r="H257" s="412"/>
      <c r="I257" s="412"/>
      <c r="J257" s="412"/>
      <c r="K257" s="412"/>
      <c r="L257" s="412"/>
      <c r="M257" s="412"/>
      <c r="N257" s="412"/>
      <c r="O257" s="412"/>
      <c r="P257" s="412"/>
      <c r="Q257" s="412"/>
      <c r="R257" s="412"/>
      <c r="S257" s="412"/>
      <c r="T257" s="412"/>
      <c r="U257" s="412"/>
      <c r="V257" s="412"/>
      <c r="W257" s="412"/>
      <c r="X257" s="412"/>
      <c r="Y257" s="412"/>
      <c r="Z257" s="412"/>
      <c r="AA257" s="412"/>
      <c r="AB257" s="412"/>
      <c r="AC257" s="412"/>
      <c r="AD257" s="412"/>
      <c r="AE257" s="412"/>
      <c r="AF257" s="412"/>
      <c r="AG257" s="413"/>
      <c r="AH257" s="411"/>
      <c r="AI257" s="412"/>
      <c r="AJ257" s="412"/>
      <c r="AK257" s="412"/>
      <c r="AL257" s="412"/>
      <c r="AM257" s="412"/>
      <c r="AN257" s="412"/>
      <c r="AO257" s="412"/>
      <c r="AP257" s="412"/>
      <c r="AQ257" s="412"/>
      <c r="AR257" s="412"/>
      <c r="AS257" s="412"/>
      <c r="AT257" s="412"/>
      <c r="AU257" s="412"/>
      <c r="AV257" s="412"/>
      <c r="AW257" s="412"/>
      <c r="AX257" s="412"/>
      <c r="AY257" s="412"/>
      <c r="AZ257" s="412"/>
      <c r="BA257" s="412"/>
      <c r="BB257" s="412"/>
      <c r="BC257" s="412"/>
      <c r="BD257" s="412"/>
      <c r="BE257" s="412"/>
      <c r="BF257" s="412"/>
      <c r="BG257" s="412"/>
      <c r="BH257" s="412"/>
      <c r="BI257" s="413"/>
      <c r="BJ257" s="411"/>
      <c r="BK257" s="412"/>
      <c r="BL257" s="412"/>
      <c r="BM257" s="412"/>
      <c r="BN257" s="412"/>
      <c r="BO257" s="412"/>
      <c r="BP257" s="412"/>
      <c r="BQ257" s="412"/>
      <c r="BR257" s="412"/>
      <c r="BS257" s="412"/>
      <c r="BT257" s="412"/>
      <c r="BU257" s="412"/>
      <c r="BV257" s="412"/>
      <c r="BW257" s="412"/>
      <c r="BX257" s="412"/>
      <c r="BY257" s="412"/>
      <c r="BZ257" s="412"/>
      <c r="CA257" s="412"/>
      <c r="CB257" s="412"/>
      <c r="CC257" s="412"/>
      <c r="CD257" s="412"/>
      <c r="CE257" s="412"/>
      <c r="CF257" s="412"/>
      <c r="CG257" s="412"/>
      <c r="CH257" s="412"/>
      <c r="CI257" s="412"/>
      <c r="CJ257" s="412"/>
      <c r="CK257" s="413"/>
      <c r="NK257" s="409"/>
      <c r="NL257" s="378"/>
      <c r="NM257" s="378"/>
      <c r="NN257" s="378"/>
      <c r="NO257" s="378"/>
      <c r="NP257" s="378"/>
      <c r="NQ257" s="378"/>
      <c r="NR257" s="378"/>
      <c r="NS257" s="378"/>
      <c r="NT257" s="378"/>
      <c r="NU257" s="378"/>
      <c r="NV257" s="378"/>
      <c r="NW257" s="378"/>
      <c r="NX257" s="378"/>
      <c r="NY257" s="378"/>
      <c r="NZ257" s="378"/>
      <c r="OA257" s="378"/>
      <c r="OB257" s="378"/>
      <c r="OC257" s="378"/>
      <c r="OD257" s="378"/>
      <c r="OE257" s="378"/>
      <c r="OF257" s="378"/>
      <c r="OG257" s="378"/>
      <c r="OH257" s="378"/>
      <c r="OI257" s="378"/>
      <c r="OJ257" s="378"/>
      <c r="OK257" s="378"/>
      <c r="OL257" s="410"/>
      <c r="OM257" s="409"/>
      <c r="ON257" s="378"/>
      <c r="OO257" s="378"/>
      <c r="OP257" s="378"/>
      <c r="OQ257" s="378"/>
      <c r="OR257" s="378"/>
      <c r="OS257" s="378"/>
      <c r="OT257" s="378"/>
      <c r="OU257" s="378"/>
      <c r="OV257" s="378"/>
      <c r="OW257" s="378"/>
      <c r="OX257" s="378"/>
      <c r="OY257" s="378"/>
      <c r="OZ257" s="378"/>
      <c r="PA257" s="378"/>
      <c r="PB257" s="378"/>
      <c r="PC257" s="378"/>
      <c r="PD257" s="378"/>
      <c r="PE257" s="378"/>
      <c r="PF257" s="378"/>
      <c r="PG257" s="378"/>
      <c r="PH257" s="378"/>
      <c r="PI257" s="378"/>
      <c r="PJ257" s="378"/>
      <c r="PK257" s="378"/>
      <c r="PL257" s="378"/>
      <c r="PM257" s="378"/>
      <c r="PN257" s="410"/>
      <c r="PO257" s="409"/>
      <c r="PP257" s="378"/>
      <c r="PQ257" s="378"/>
      <c r="PR257" s="378"/>
      <c r="PS257" s="378"/>
      <c r="PT257" s="378"/>
      <c r="PU257" s="378"/>
      <c r="PV257" s="378"/>
      <c r="PW257" s="378"/>
      <c r="PX257" s="378"/>
      <c r="PY257" s="378"/>
      <c r="PZ257" s="378"/>
      <c r="QA257" s="378"/>
      <c r="QB257" s="378"/>
      <c r="QC257" s="378"/>
      <c r="QD257" s="378"/>
      <c r="QE257" s="378"/>
      <c r="QF257" s="378"/>
      <c r="QG257" s="378"/>
      <c r="QH257" s="378"/>
      <c r="QI257" s="378"/>
      <c r="QJ257" s="378"/>
      <c r="QK257" s="378"/>
      <c r="QL257" s="378"/>
      <c r="QM257" s="378"/>
      <c r="QN257" s="378"/>
      <c r="QO257" s="378"/>
      <c r="QP257" s="410"/>
      <c r="QQ257" s="165"/>
      <c r="QR257" s="166"/>
    </row>
    <row r="258" spans="3:483" ht="5.15" customHeight="1" thickBot="1" x14ac:dyDescent="0.4">
      <c r="C258" s="161"/>
      <c r="D258" s="162"/>
      <c r="E258" s="164"/>
      <c r="NK258" s="411"/>
      <c r="NL258" s="412"/>
      <c r="NM258" s="412"/>
      <c r="NN258" s="412"/>
      <c r="NO258" s="412"/>
      <c r="NP258" s="412"/>
      <c r="NQ258" s="412"/>
      <c r="NR258" s="412"/>
      <c r="NS258" s="412"/>
      <c r="NT258" s="412"/>
      <c r="NU258" s="412"/>
      <c r="NV258" s="412"/>
      <c r="NW258" s="412"/>
      <c r="NX258" s="412"/>
      <c r="NY258" s="412"/>
      <c r="NZ258" s="412"/>
      <c r="OA258" s="412"/>
      <c r="OB258" s="412"/>
      <c r="OC258" s="412"/>
      <c r="OD258" s="412"/>
      <c r="OE258" s="412"/>
      <c r="OF258" s="412"/>
      <c r="OG258" s="412"/>
      <c r="OH258" s="412"/>
      <c r="OI258" s="412"/>
      <c r="OJ258" s="412"/>
      <c r="OK258" s="412"/>
      <c r="OL258" s="413"/>
      <c r="OM258" s="411"/>
      <c r="ON258" s="412"/>
      <c r="OO258" s="412"/>
      <c r="OP258" s="412"/>
      <c r="OQ258" s="412"/>
      <c r="OR258" s="412"/>
      <c r="OS258" s="412"/>
      <c r="OT258" s="412"/>
      <c r="OU258" s="412"/>
      <c r="OV258" s="412"/>
      <c r="OW258" s="412"/>
      <c r="OX258" s="412"/>
      <c r="OY258" s="412"/>
      <c r="OZ258" s="412"/>
      <c r="PA258" s="412"/>
      <c r="PB258" s="412"/>
      <c r="PC258" s="412"/>
      <c r="PD258" s="412"/>
      <c r="PE258" s="412"/>
      <c r="PF258" s="412"/>
      <c r="PG258" s="412"/>
      <c r="PH258" s="412"/>
      <c r="PI258" s="412"/>
      <c r="PJ258" s="412"/>
      <c r="PK258" s="412"/>
      <c r="PL258" s="412"/>
      <c r="PM258" s="412"/>
      <c r="PN258" s="413"/>
      <c r="PO258" s="411"/>
      <c r="PP258" s="412"/>
      <c r="PQ258" s="412"/>
      <c r="PR258" s="412"/>
      <c r="PS258" s="412"/>
      <c r="PT258" s="412"/>
      <c r="PU258" s="412"/>
      <c r="PV258" s="412"/>
      <c r="PW258" s="412"/>
      <c r="PX258" s="412"/>
      <c r="PY258" s="412"/>
      <c r="PZ258" s="412"/>
      <c r="QA258" s="412"/>
      <c r="QB258" s="412"/>
      <c r="QC258" s="412"/>
      <c r="QD258" s="412"/>
      <c r="QE258" s="412"/>
      <c r="QF258" s="412"/>
      <c r="QG258" s="412"/>
      <c r="QH258" s="412"/>
      <c r="QI258" s="412"/>
      <c r="QJ258" s="412"/>
      <c r="QK258" s="412"/>
      <c r="QL258" s="412"/>
      <c r="QM258" s="412"/>
      <c r="QN258" s="412"/>
      <c r="QO258" s="412"/>
      <c r="QP258" s="413"/>
      <c r="QQ258" s="165"/>
      <c r="QR258" s="166"/>
    </row>
    <row r="259" spans="3:483" ht="5.15" customHeight="1" x14ac:dyDescent="0.35">
      <c r="C259" s="161"/>
      <c r="D259" s="162"/>
      <c r="E259" s="164"/>
      <c r="QQ259" s="165"/>
      <c r="QR259" s="166"/>
    </row>
    <row r="260" spans="3:483" ht="5.15" customHeight="1" x14ac:dyDescent="0.35">
      <c r="C260" s="161"/>
      <c r="D260" s="162"/>
      <c r="E260" s="164"/>
      <c r="QQ260" s="165"/>
      <c r="QR260" s="166"/>
    </row>
    <row r="261" spans="3:483" ht="5.15" customHeight="1" x14ac:dyDescent="0.35">
      <c r="C261" s="161"/>
      <c r="D261" s="203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81"/>
      <c r="AJ261" s="181"/>
      <c r="AK261" s="181"/>
      <c r="AL261" s="181"/>
      <c r="AM261" s="181"/>
      <c r="AN261" s="181"/>
      <c r="AO261" s="181"/>
      <c r="AP261" s="181"/>
      <c r="AQ261" s="181"/>
      <c r="AR261" s="181"/>
      <c r="AS261" s="181"/>
      <c r="AT261" s="181"/>
      <c r="AU261" s="181"/>
      <c r="AV261" s="181"/>
      <c r="AW261" s="181"/>
      <c r="AX261" s="181"/>
      <c r="AY261" s="181"/>
      <c r="AZ261" s="181"/>
      <c r="BA261" s="181"/>
      <c r="BB261" s="181"/>
      <c r="BC261" s="181"/>
      <c r="BD261" s="181"/>
      <c r="BE261" s="181"/>
      <c r="BF261" s="181"/>
      <c r="BG261" s="181"/>
      <c r="BH261" s="181"/>
      <c r="BI261" s="181"/>
      <c r="BJ261" s="181"/>
      <c r="BK261" s="181"/>
      <c r="BL261" s="181"/>
      <c r="BM261" s="181"/>
      <c r="BN261" s="181"/>
      <c r="BO261" s="181"/>
      <c r="BP261" s="181"/>
      <c r="BQ261" s="181"/>
      <c r="BR261" s="181"/>
      <c r="BS261" s="181"/>
      <c r="BT261" s="181"/>
      <c r="BU261" s="181"/>
      <c r="BV261" s="181"/>
      <c r="BW261" s="181"/>
      <c r="BX261" s="181"/>
      <c r="BY261" s="181"/>
      <c r="BZ261" s="181"/>
      <c r="CA261" s="181"/>
      <c r="CB261" s="181"/>
      <c r="CC261" s="181"/>
      <c r="CD261" s="181"/>
      <c r="CE261" s="181"/>
      <c r="CF261" s="181"/>
      <c r="CG261" s="181"/>
      <c r="CH261" s="181"/>
      <c r="CI261" s="181"/>
      <c r="CJ261" s="181"/>
      <c r="CK261" s="181"/>
      <c r="CL261" s="181"/>
      <c r="CM261" s="181"/>
      <c r="CN261" s="181"/>
      <c r="CO261" s="181"/>
      <c r="CP261" s="181"/>
      <c r="CQ261" s="181"/>
      <c r="CR261" s="181"/>
      <c r="CS261" s="181"/>
      <c r="CT261" s="181"/>
      <c r="CU261" s="181"/>
      <c r="CV261" s="181"/>
      <c r="CW261" s="181"/>
      <c r="CX261" s="181"/>
      <c r="CY261" s="181"/>
      <c r="CZ261" s="181"/>
      <c r="DA261" s="181"/>
      <c r="DB261" s="181"/>
      <c r="DC261" s="181"/>
      <c r="DD261" s="181"/>
      <c r="DE261" s="181"/>
      <c r="DF261" s="181"/>
      <c r="DG261" s="181"/>
      <c r="DH261" s="181"/>
      <c r="DI261" s="181"/>
      <c r="DJ261" s="181"/>
      <c r="DK261" s="181"/>
      <c r="DL261" s="181"/>
      <c r="DM261" s="181"/>
      <c r="DN261" s="181"/>
      <c r="DO261" s="181"/>
      <c r="DP261" s="181"/>
      <c r="DQ261" s="181"/>
      <c r="DR261" s="181"/>
      <c r="DS261" s="181"/>
      <c r="DT261" s="181"/>
      <c r="DU261" s="181"/>
      <c r="DV261" s="181"/>
      <c r="DW261" s="181"/>
      <c r="DX261" s="181"/>
      <c r="DY261" s="181"/>
      <c r="DZ261" s="181"/>
      <c r="EA261" s="181"/>
      <c r="EB261" s="181"/>
      <c r="EC261" s="181"/>
      <c r="ED261" s="181"/>
      <c r="EE261" s="181"/>
      <c r="EF261" s="181"/>
      <c r="EG261" s="181"/>
      <c r="EH261" s="181"/>
      <c r="EI261" s="181"/>
      <c r="EJ261" s="181"/>
      <c r="EK261" s="181"/>
      <c r="EL261" s="181"/>
      <c r="EM261" s="181"/>
      <c r="EN261" s="181"/>
      <c r="EO261" s="181"/>
      <c r="EP261" s="181"/>
      <c r="EQ261" s="181"/>
      <c r="ER261" s="181"/>
      <c r="ES261" s="181"/>
      <c r="ET261" s="181"/>
      <c r="EU261" s="181"/>
      <c r="EV261" s="181"/>
      <c r="EW261" s="181"/>
      <c r="EX261" s="181"/>
      <c r="EY261" s="181"/>
      <c r="EZ261" s="181"/>
      <c r="FA261" s="181"/>
      <c r="FB261" s="181"/>
      <c r="FC261" s="181"/>
      <c r="FD261" s="181"/>
      <c r="FE261" s="181"/>
      <c r="FF261" s="181"/>
      <c r="FG261" s="181"/>
      <c r="FH261" s="181"/>
      <c r="FI261" s="181"/>
      <c r="FJ261" s="181"/>
      <c r="FK261" s="181"/>
      <c r="FL261" s="181"/>
      <c r="FM261" s="181"/>
      <c r="FN261" s="181"/>
      <c r="FO261" s="181"/>
      <c r="FP261" s="181"/>
      <c r="FQ261" s="181"/>
      <c r="FR261" s="181"/>
      <c r="FS261" s="181"/>
      <c r="FT261" s="181"/>
      <c r="FU261" s="181"/>
      <c r="FV261" s="181"/>
      <c r="FW261" s="181"/>
      <c r="FX261" s="181"/>
      <c r="FY261" s="181"/>
      <c r="FZ261" s="181"/>
      <c r="GA261" s="181"/>
      <c r="GB261" s="181"/>
      <c r="GC261" s="181"/>
      <c r="GD261" s="181"/>
      <c r="GE261" s="181"/>
      <c r="GF261" s="181"/>
      <c r="GG261" s="181"/>
      <c r="GH261" s="181"/>
      <c r="GI261" s="181"/>
      <c r="GJ261" s="181"/>
      <c r="GK261" s="181"/>
      <c r="GL261" s="181"/>
      <c r="GM261" s="181"/>
      <c r="GN261" s="181"/>
      <c r="GO261" s="181"/>
      <c r="GP261" s="181"/>
      <c r="GQ261" s="181"/>
      <c r="GR261" s="181"/>
      <c r="GS261" s="181"/>
      <c r="GT261" s="181"/>
      <c r="GU261" s="181"/>
      <c r="GV261" s="181"/>
      <c r="GW261" s="181"/>
      <c r="GX261" s="181"/>
      <c r="GY261" s="181"/>
      <c r="GZ261" s="181"/>
      <c r="HA261" s="181"/>
      <c r="HB261" s="181"/>
      <c r="HC261" s="181"/>
      <c r="HD261" s="181"/>
      <c r="HE261" s="181"/>
      <c r="HF261" s="181"/>
      <c r="HG261" s="181"/>
      <c r="HH261" s="181"/>
      <c r="HI261" s="181"/>
      <c r="HJ261" s="181"/>
      <c r="HK261" s="181"/>
      <c r="HL261" s="181"/>
      <c r="HM261" s="181"/>
      <c r="HN261" s="181"/>
      <c r="HO261" s="181"/>
      <c r="HP261" s="181"/>
      <c r="HQ261" s="181"/>
      <c r="HR261" s="181"/>
      <c r="HS261" s="181"/>
      <c r="HT261" s="181"/>
      <c r="HU261" s="181"/>
      <c r="HV261" s="181"/>
      <c r="HW261" s="181"/>
      <c r="HX261" s="181"/>
      <c r="HY261" s="181"/>
      <c r="HZ261" s="181"/>
      <c r="IA261" s="181"/>
      <c r="IB261" s="181"/>
      <c r="IC261" s="181"/>
      <c r="ID261" s="181"/>
      <c r="IE261" s="181"/>
      <c r="IF261" s="181"/>
      <c r="IG261" s="181"/>
      <c r="IH261" s="181"/>
      <c r="II261" s="181"/>
      <c r="IJ261" s="181"/>
      <c r="IK261" s="181"/>
      <c r="IL261" s="181"/>
      <c r="IM261" s="181"/>
      <c r="IN261" s="181"/>
      <c r="IO261" s="181"/>
      <c r="IP261" s="181"/>
      <c r="IQ261" s="181"/>
      <c r="IR261" s="181"/>
      <c r="IS261" s="181"/>
      <c r="IT261" s="181"/>
      <c r="IU261" s="181"/>
      <c r="IV261" s="181"/>
      <c r="IW261" s="181"/>
      <c r="IX261" s="181"/>
      <c r="IY261" s="181"/>
      <c r="IZ261" s="181"/>
      <c r="JA261" s="181"/>
      <c r="JB261" s="181"/>
      <c r="JC261" s="181"/>
      <c r="JD261" s="181"/>
      <c r="JE261" s="181"/>
      <c r="JF261" s="181"/>
      <c r="JG261" s="181"/>
      <c r="JH261" s="181"/>
      <c r="JI261" s="181"/>
      <c r="JJ261" s="181"/>
      <c r="JK261" s="181"/>
      <c r="JL261" s="181"/>
      <c r="JM261" s="181"/>
      <c r="JN261" s="181"/>
      <c r="JO261" s="181"/>
      <c r="JP261" s="181"/>
      <c r="JQ261" s="181"/>
      <c r="JR261" s="181"/>
      <c r="JS261" s="181"/>
      <c r="JT261" s="181"/>
      <c r="JU261" s="181"/>
      <c r="JV261" s="181"/>
      <c r="JW261" s="181"/>
      <c r="JX261" s="181"/>
      <c r="JY261" s="181"/>
      <c r="JZ261" s="181"/>
      <c r="KA261" s="181"/>
      <c r="KB261" s="181"/>
      <c r="KC261" s="181"/>
      <c r="KD261" s="181"/>
      <c r="KE261" s="181"/>
      <c r="KF261" s="181"/>
      <c r="KG261" s="181"/>
      <c r="KH261" s="181"/>
      <c r="KI261" s="181"/>
      <c r="KJ261" s="181"/>
      <c r="KK261" s="181"/>
      <c r="KL261" s="181"/>
      <c r="KM261" s="181"/>
      <c r="KN261" s="181"/>
      <c r="KO261" s="181"/>
      <c r="KP261" s="181"/>
      <c r="KQ261" s="181"/>
      <c r="KR261" s="181"/>
      <c r="KS261" s="181"/>
      <c r="KT261" s="181"/>
      <c r="KU261" s="181"/>
      <c r="KV261" s="181"/>
      <c r="KW261" s="181"/>
      <c r="KX261" s="181"/>
      <c r="KY261" s="181"/>
      <c r="KZ261" s="181"/>
      <c r="LA261" s="181"/>
      <c r="LB261" s="181"/>
      <c r="LC261" s="181"/>
      <c r="LD261" s="181"/>
      <c r="LE261" s="181"/>
      <c r="LF261" s="181"/>
      <c r="LG261" s="181"/>
      <c r="LH261" s="181"/>
      <c r="LI261" s="181"/>
      <c r="LJ261" s="181"/>
      <c r="LK261" s="181"/>
      <c r="LL261" s="181"/>
      <c r="LM261" s="181"/>
      <c r="LN261" s="181"/>
      <c r="LO261" s="181"/>
      <c r="LP261" s="181"/>
      <c r="LQ261" s="181"/>
      <c r="LR261" s="181"/>
      <c r="LS261" s="181"/>
      <c r="LT261" s="181"/>
      <c r="LU261" s="181"/>
      <c r="LV261" s="181"/>
      <c r="LW261" s="181"/>
      <c r="LX261" s="181"/>
      <c r="LY261" s="181"/>
      <c r="LZ261" s="181"/>
      <c r="MA261" s="181"/>
      <c r="MB261" s="181"/>
      <c r="MC261" s="181"/>
      <c r="MD261" s="181"/>
      <c r="ME261" s="181"/>
      <c r="MF261" s="181"/>
      <c r="MG261" s="181"/>
      <c r="MH261" s="181"/>
      <c r="MI261" s="181"/>
      <c r="MJ261" s="181"/>
      <c r="MK261" s="181"/>
      <c r="ML261" s="181"/>
      <c r="MM261" s="181"/>
      <c r="MN261" s="181"/>
      <c r="MO261" s="181"/>
      <c r="MP261" s="181"/>
      <c r="MQ261" s="181"/>
      <c r="MR261" s="181"/>
      <c r="MS261" s="181"/>
      <c r="MT261" s="181"/>
      <c r="MU261" s="181"/>
      <c r="MV261" s="181"/>
      <c r="MW261" s="181"/>
      <c r="MX261" s="181"/>
      <c r="MY261" s="181"/>
      <c r="MZ261" s="181"/>
      <c r="NA261" s="181"/>
      <c r="NB261" s="181"/>
      <c r="NC261" s="181"/>
      <c r="ND261" s="181"/>
      <c r="NE261" s="181"/>
      <c r="NF261" s="181"/>
      <c r="NG261" s="181"/>
      <c r="NH261" s="181"/>
      <c r="NI261" s="181"/>
      <c r="NJ261" s="181"/>
      <c r="NK261" s="181"/>
      <c r="NL261" s="181"/>
      <c r="NM261" s="181"/>
      <c r="NN261" s="181"/>
      <c r="NO261" s="181"/>
      <c r="NP261" s="181"/>
      <c r="NQ261" s="181"/>
      <c r="NR261" s="181"/>
      <c r="NS261" s="181"/>
      <c r="NT261" s="181"/>
      <c r="NU261" s="181"/>
      <c r="NV261" s="181"/>
      <c r="NW261" s="181"/>
      <c r="NX261" s="181"/>
      <c r="NY261" s="181"/>
      <c r="NZ261" s="181"/>
      <c r="OA261" s="181"/>
      <c r="OB261" s="181"/>
      <c r="OC261" s="181"/>
      <c r="OD261" s="181"/>
      <c r="OE261" s="181"/>
      <c r="OF261" s="181"/>
      <c r="OG261" s="181"/>
      <c r="OH261" s="181"/>
      <c r="OI261" s="181"/>
      <c r="OJ261" s="181"/>
      <c r="OK261" s="181"/>
      <c r="OL261" s="181"/>
      <c r="OM261" s="181"/>
      <c r="ON261" s="181"/>
      <c r="OO261" s="181"/>
      <c r="OP261" s="181"/>
      <c r="OQ261" s="181"/>
      <c r="OR261" s="181"/>
      <c r="OS261" s="181"/>
      <c r="OT261" s="181"/>
      <c r="OU261" s="181"/>
      <c r="OV261" s="181"/>
      <c r="OW261" s="181"/>
      <c r="OX261" s="181"/>
      <c r="OY261" s="181"/>
      <c r="OZ261" s="181"/>
      <c r="PA261" s="181"/>
      <c r="PB261" s="181"/>
      <c r="PC261" s="181"/>
      <c r="PD261" s="181"/>
      <c r="PE261" s="181"/>
      <c r="PF261" s="181"/>
      <c r="PG261" s="181"/>
      <c r="PH261" s="181"/>
      <c r="PI261" s="181"/>
      <c r="PJ261" s="181"/>
      <c r="PK261" s="181"/>
      <c r="PL261" s="181"/>
      <c r="PM261" s="181"/>
      <c r="PN261" s="181"/>
      <c r="PO261" s="181"/>
      <c r="PP261" s="181"/>
      <c r="PQ261" s="181"/>
      <c r="PR261" s="181"/>
      <c r="PS261" s="181"/>
      <c r="PT261" s="181"/>
      <c r="PU261" s="181"/>
      <c r="PV261" s="181"/>
      <c r="PW261" s="181"/>
      <c r="PX261" s="181"/>
      <c r="PY261" s="181"/>
      <c r="PZ261" s="181"/>
      <c r="QA261" s="181"/>
      <c r="QB261" s="181"/>
      <c r="QC261" s="181"/>
      <c r="QD261" s="181"/>
      <c r="QE261" s="181"/>
      <c r="QF261" s="181"/>
      <c r="QG261" s="181"/>
      <c r="QH261" s="181"/>
      <c r="QI261" s="181"/>
      <c r="QJ261" s="181"/>
      <c r="QK261" s="181"/>
      <c r="QL261" s="181"/>
      <c r="QM261" s="181"/>
      <c r="QN261" s="181"/>
      <c r="QO261" s="181"/>
      <c r="QP261" s="181"/>
      <c r="QQ261" s="204"/>
      <c r="QR261" s="166"/>
    </row>
    <row r="262" spans="3:483" ht="5.15" customHeight="1" thickBot="1" x14ac:dyDescent="0.4">
      <c r="C262" s="205"/>
      <c r="D262" s="206"/>
      <c r="E262" s="206"/>
      <c r="F262" s="206"/>
      <c r="G262" s="206"/>
      <c r="H262" s="206"/>
      <c r="I262" s="206"/>
      <c r="J262" s="206"/>
      <c r="K262" s="206"/>
      <c r="L262" s="206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  <c r="AA262" s="206"/>
      <c r="AB262" s="206"/>
      <c r="AC262" s="206"/>
      <c r="AD262" s="206"/>
      <c r="AE262" s="206"/>
      <c r="AF262" s="206"/>
      <c r="AG262" s="206"/>
      <c r="AH262" s="206"/>
      <c r="AI262" s="206"/>
      <c r="AJ262" s="206"/>
      <c r="AK262" s="206"/>
      <c r="AL262" s="206"/>
      <c r="AM262" s="206"/>
      <c r="AN262" s="206"/>
      <c r="AO262" s="206"/>
      <c r="AP262" s="206"/>
      <c r="AQ262" s="206"/>
      <c r="AR262" s="206"/>
      <c r="AS262" s="206"/>
      <c r="AT262" s="206"/>
      <c r="AU262" s="206"/>
      <c r="AV262" s="206"/>
      <c r="AW262" s="206"/>
      <c r="AX262" s="206"/>
      <c r="AY262" s="206"/>
      <c r="AZ262" s="206"/>
      <c r="BA262" s="206"/>
      <c r="BB262" s="206"/>
      <c r="BC262" s="206"/>
      <c r="BD262" s="206"/>
      <c r="BE262" s="206"/>
      <c r="BF262" s="206"/>
      <c r="BG262" s="206"/>
      <c r="BH262" s="206"/>
      <c r="BI262" s="206"/>
      <c r="BJ262" s="206"/>
      <c r="BK262" s="206"/>
      <c r="BL262" s="206"/>
      <c r="BM262" s="206"/>
      <c r="BN262" s="206"/>
      <c r="BO262" s="206"/>
      <c r="BP262" s="206"/>
      <c r="BQ262" s="206"/>
      <c r="BR262" s="206"/>
      <c r="BS262" s="206"/>
      <c r="BT262" s="206"/>
      <c r="BU262" s="206"/>
      <c r="BV262" s="206"/>
      <c r="BW262" s="206"/>
      <c r="BX262" s="206"/>
      <c r="BY262" s="206"/>
      <c r="BZ262" s="206"/>
      <c r="CA262" s="206"/>
      <c r="CB262" s="206"/>
      <c r="CC262" s="206"/>
      <c r="CD262" s="206"/>
      <c r="CE262" s="206"/>
      <c r="CF262" s="206"/>
      <c r="CG262" s="206"/>
      <c r="CH262" s="206"/>
      <c r="CI262" s="206"/>
      <c r="CJ262" s="206"/>
      <c r="CK262" s="206"/>
      <c r="CL262" s="206"/>
      <c r="CM262" s="206"/>
      <c r="CN262" s="206"/>
      <c r="CO262" s="206"/>
      <c r="CP262" s="206"/>
      <c r="CQ262" s="206"/>
      <c r="CR262" s="206"/>
      <c r="CS262" s="206"/>
      <c r="CT262" s="206"/>
      <c r="CU262" s="206"/>
      <c r="CV262" s="206"/>
      <c r="CW262" s="206"/>
      <c r="CX262" s="206"/>
      <c r="CY262" s="206"/>
      <c r="CZ262" s="206"/>
      <c r="DA262" s="206"/>
      <c r="DB262" s="206"/>
      <c r="DC262" s="206"/>
      <c r="DD262" s="206"/>
      <c r="DE262" s="206"/>
      <c r="DF262" s="206"/>
      <c r="DG262" s="206"/>
      <c r="DH262" s="206"/>
      <c r="DI262" s="206"/>
      <c r="DJ262" s="206"/>
      <c r="DK262" s="206"/>
      <c r="DL262" s="206"/>
      <c r="DM262" s="206"/>
      <c r="DN262" s="206"/>
      <c r="DO262" s="206"/>
      <c r="DP262" s="206"/>
      <c r="DQ262" s="206"/>
      <c r="DR262" s="206"/>
      <c r="DS262" s="206"/>
      <c r="DT262" s="206"/>
      <c r="DU262" s="206"/>
      <c r="DV262" s="206"/>
      <c r="DW262" s="206"/>
      <c r="DX262" s="206"/>
      <c r="DY262" s="206"/>
      <c r="DZ262" s="206"/>
      <c r="EA262" s="206"/>
      <c r="EB262" s="206"/>
      <c r="EC262" s="206"/>
      <c r="ED262" s="206"/>
      <c r="EE262" s="206"/>
      <c r="EF262" s="206"/>
      <c r="EG262" s="206"/>
      <c r="EH262" s="206"/>
      <c r="EI262" s="206"/>
      <c r="EJ262" s="206"/>
      <c r="EK262" s="206"/>
      <c r="EL262" s="206"/>
      <c r="EM262" s="206"/>
      <c r="EN262" s="206"/>
      <c r="EO262" s="206"/>
      <c r="EP262" s="206"/>
      <c r="EQ262" s="206"/>
      <c r="ER262" s="206"/>
      <c r="ES262" s="206"/>
      <c r="ET262" s="206"/>
      <c r="EU262" s="206"/>
      <c r="EV262" s="206"/>
      <c r="EW262" s="206"/>
      <c r="EX262" s="206"/>
      <c r="EY262" s="206"/>
      <c r="EZ262" s="206"/>
      <c r="FA262" s="206"/>
      <c r="FB262" s="206"/>
      <c r="FC262" s="206"/>
      <c r="FD262" s="206"/>
      <c r="FE262" s="206"/>
      <c r="FF262" s="206"/>
      <c r="FG262" s="206"/>
      <c r="FH262" s="206"/>
      <c r="FI262" s="206"/>
      <c r="FJ262" s="206"/>
      <c r="FK262" s="206"/>
      <c r="FL262" s="206"/>
      <c r="FM262" s="206"/>
      <c r="FN262" s="206"/>
      <c r="FO262" s="206"/>
      <c r="FP262" s="206"/>
      <c r="FQ262" s="206"/>
      <c r="FR262" s="206"/>
      <c r="FS262" s="206"/>
      <c r="FT262" s="206"/>
      <c r="FU262" s="206"/>
      <c r="FV262" s="206"/>
      <c r="FW262" s="206"/>
      <c r="FX262" s="206"/>
      <c r="FY262" s="206"/>
      <c r="FZ262" s="206"/>
      <c r="GA262" s="206"/>
      <c r="GB262" s="206"/>
      <c r="GC262" s="206"/>
      <c r="GD262" s="206"/>
      <c r="GE262" s="206"/>
      <c r="GF262" s="206"/>
      <c r="GG262" s="206"/>
      <c r="GH262" s="206"/>
      <c r="GI262" s="206"/>
      <c r="GJ262" s="206"/>
      <c r="GK262" s="206"/>
      <c r="GL262" s="206"/>
      <c r="GM262" s="206"/>
      <c r="GN262" s="206"/>
      <c r="GO262" s="206"/>
      <c r="GP262" s="206"/>
      <c r="GQ262" s="206"/>
      <c r="GR262" s="206"/>
      <c r="GS262" s="206"/>
      <c r="GT262" s="206"/>
      <c r="GU262" s="206"/>
      <c r="GV262" s="206"/>
      <c r="GW262" s="206"/>
      <c r="GX262" s="206"/>
      <c r="GY262" s="206"/>
      <c r="GZ262" s="206"/>
      <c r="HA262" s="206"/>
      <c r="HB262" s="206"/>
      <c r="HC262" s="206"/>
      <c r="HD262" s="206"/>
      <c r="HE262" s="206"/>
      <c r="HF262" s="206"/>
      <c r="HG262" s="206"/>
      <c r="HH262" s="206"/>
      <c r="HI262" s="206"/>
      <c r="HJ262" s="206"/>
      <c r="HK262" s="206"/>
      <c r="HL262" s="206"/>
      <c r="HM262" s="206"/>
      <c r="HN262" s="206"/>
      <c r="HO262" s="206"/>
      <c r="HP262" s="206"/>
      <c r="HQ262" s="206"/>
      <c r="HR262" s="206"/>
      <c r="HS262" s="206"/>
      <c r="HT262" s="206"/>
      <c r="HU262" s="206"/>
      <c r="HV262" s="206"/>
      <c r="HW262" s="206"/>
      <c r="HX262" s="206"/>
      <c r="HY262" s="206"/>
      <c r="HZ262" s="206"/>
      <c r="IA262" s="206"/>
      <c r="IB262" s="206"/>
      <c r="IC262" s="206"/>
      <c r="ID262" s="206"/>
      <c r="IE262" s="206"/>
      <c r="IF262" s="206"/>
      <c r="IG262" s="206"/>
      <c r="IH262" s="206"/>
      <c r="II262" s="206"/>
      <c r="IJ262" s="206"/>
      <c r="IK262" s="206"/>
      <c r="IL262" s="206"/>
      <c r="IM262" s="206"/>
      <c r="IN262" s="206"/>
      <c r="IO262" s="206"/>
      <c r="IP262" s="206"/>
      <c r="IQ262" s="206"/>
      <c r="IR262" s="206"/>
      <c r="IS262" s="206"/>
      <c r="IT262" s="206"/>
      <c r="IU262" s="206"/>
      <c r="IV262" s="206"/>
      <c r="IW262" s="206"/>
      <c r="IX262" s="206"/>
      <c r="IY262" s="206"/>
      <c r="IZ262" s="206"/>
      <c r="JA262" s="206"/>
      <c r="JB262" s="206"/>
      <c r="JC262" s="206"/>
      <c r="JD262" s="206"/>
      <c r="JE262" s="206"/>
      <c r="JF262" s="206"/>
      <c r="JG262" s="206"/>
      <c r="JH262" s="206"/>
      <c r="JI262" s="206"/>
      <c r="JJ262" s="206"/>
      <c r="JK262" s="206"/>
      <c r="JL262" s="206"/>
      <c r="JM262" s="206"/>
      <c r="JN262" s="206"/>
      <c r="JO262" s="206"/>
      <c r="JP262" s="206"/>
      <c r="JQ262" s="206"/>
      <c r="JR262" s="206"/>
      <c r="JS262" s="206"/>
      <c r="JT262" s="206"/>
      <c r="JU262" s="206"/>
      <c r="JV262" s="206"/>
      <c r="JW262" s="206"/>
      <c r="JX262" s="206"/>
      <c r="JY262" s="206"/>
      <c r="JZ262" s="206"/>
      <c r="KA262" s="206"/>
      <c r="KB262" s="206"/>
      <c r="KC262" s="206"/>
      <c r="KD262" s="206"/>
      <c r="KE262" s="206"/>
      <c r="KF262" s="206"/>
      <c r="KG262" s="206"/>
      <c r="KH262" s="206"/>
      <c r="KI262" s="206"/>
      <c r="KJ262" s="206"/>
      <c r="KK262" s="206"/>
      <c r="KL262" s="206"/>
      <c r="KM262" s="206"/>
      <c r="KN262" s="206"/>
      <c r="KO262" s="206"/>
      <c r="KP262" s="206"/>
      <c r="KQ262" s="206"/>
      <c r="KR262" s="206"/>
      <c r="KS262" s="206"/>
      <c r="KT262" s="206"/>
      <c r="KU262" s="206"/>
      <c r="KV262" s="206"/>
      <c r="KW262" s="206"/>
      <c r="KX262" s="206"/>
      <c r="KY262" s="206"/>
      <c r="KZ262" s="206"/>
      <c r="LA262" s="206"/>
      <c r="LB262" s="206"/>
      <c r="LC262" s="206"/>
      <c r="LD262" s="206"/>
      <c r="LE262" s="206"/>
      <c r="LF262" s="206"/>
      <c r="LG262" s="206"/>
      <c r="LH262" s="206"/>
      <c r="LI262" s="206"/>
      <c r="LJ262" s="206"/>
      <c r="LK262" s="206"/>
      <c r="LL262" s="206"/>
      <c r="LM262" s="206"/>
      <c r="LN262" s="206"/>
      <c r="LO262" s="206"/>
      <c r="LP262" s="206"/>
      <c r="LQ262" s="206"/>
      <c r="LR262" s="206"/>
      <c r="LS262" s="206"/>
      <c r="LT262" s="206"/>
      <c r="LU262" s="206"/>
      <c r="LV262" s="206"/>
      <c r="LW262" s="206"/>
      <c r="LX262" s="206"/>
      <c r="LY262" s="206"/>
      <c r="LZ262" s="206"/>
      <c r="MA262" s="206"/>
      <c r="MB262" s="206"/>
      <c r="MC262" s="206"/>
      <c r="MD262" s="206"/>
      <c r="ME262" s="206"/>
      <c r="MF262" s="206"/>
      <c r="MG262" s="206"/>
      <c r="MH262" s="206"/>
      <c r="MI262" s="206"/>
      <c r="MJ262" s="206"/>
      <c r="MK262" s="206"/>
      <c r="ML262" s="206"/>
      <c r="MM262" s="206"/>
      <c r="MN262" s="206"/>
      <c r="MO262" s="206"/>
      <c r="MP262" s="206"/>
      <c r="MQ262" s="206"/>
      <c r="MR262" s="206"/>
      <c r="MS262" s="206"/>
      <c r="MT262" s="206"/>
      <c r="MU262" s="206"/>
      <c r="MV262" s="206"/>
      <c r="MW262" s="206"/>
      <c r="MX262" s="206"/>
      <c r="MY262" s="206"/>
      <c r="MZ262" s="206"/>
      <c r="NA262" s="206"/>
      <c r="NB262" s="206"/>
      <c r="NC262" s="206"/>
      <c r="ND262" s="206"/>
      <c r="NE262" s="206"/>
      <c r="NF262" s="206"/>
      <c r="NG262" s="206"/>
      <c r="NH262" s="206"/>
      <c r="NI262" s="206"/>
      <c r="NJ262" s="206"/>
      <c r="NK262" s="206"/>
      <c r="NL262" s="206"/>
      <c r="NM262" s="206"/>
      <c r="NN262" s="206"/>
      <c r="NO262" s="206"/>
      <c r="NP262" s="206"/>
      <c r="NQ262" s="206"/>
      <c r="NR262" s="206"/>
      <c r="NS262" s="206"/>
      <c r="NT262" s="206"/>
      <c r="NU262" s="206"/>
      <c r="NV262" s="206"/>
      <c r="NW262" s="206"/>
      <c r="NX262" s="206"/>
      <c r="NY262" s="206"/>
      <c r="NZ262" s="206"/>
      <c r="OA262" s="206"/>
      <c r="OB262" s="206"/>
      <c r="OC262" s="206"/>
      <c r="OD262" s="206"/>
      <c r="OE262" s="206"/>
      <c r="OF262" s="206"/>
      <c r="OG262" s="206"/>
      <c r="OH262" s="206"/>
      <c r="OI262" s="206"/>
      <c r="OJ262" s="206"/>
      <c r="OK262" s="206"/>
      <c r="OL262" s="206"/>
      <c r="OM262" s="206"/>
      <c r="ON262" s="206"/>
      <c r="OO262" s="206"/>
      <c r="OP262" s="206"/>
      <c r="OQ262" s="206"/>
      <c r="OR262" s="206"/>
      <c r="OS262" s="206"/>
      <c r="OT262" s="206"/>
      <c r="OU262" s="206"/>
      <c r="OV262" s="206"/>
      <c r="OW262" s="206"/>
      <c r="OX262" s="206"/>
      <c r="OY262" s="206"/>
      <c r="OZ262" s="206"/>
      <c r="PA262" s="206"/>
      <c r="PB262" s="206"/>
      <c r="PC262" s="206"/>
      <c r="PD262" s="206"/>
      <c r="PE262" s="206"/>
      <c r="PF262" s="206"/>
      <c r="PG262" s="206"/>
      <c r="PH262" s="206"/>
      <c r="PI262" s="206"/>
      <c r="PJ262" s="206"/>
      <c r="PK262" s="206"/>
      <c r="PL262" s="206"/>
      <c r="PM262" s="206"/>
      <c r="PN262" s="206"/>
      <c r="PO262" s="206"/>
      <c r="PP262" s="206"/>
      <c r="PQ262" s="206"/>
      <c r="PR262" s="206"/>
      <c r="PS262" s="206"/>
      <c r="PT262" s="206"/>
      <c r="PU262" s="206"/>
      <c r="PV262" s="206"/>
      <c r="PW262" s="206"/>
      <c r="PX262" s="206"/>
      <c r="PY262" s="206"/>
      <c r="PZ262" s="206"/>
      <c r="QA262" s="206"/>
      <c r="QB262" s="206"/>
      <c r="QC262" s="206"/>
      <c r="QD262" s="206"/>
      <c r="QE262" s="206"/>
      <c r="QF262" s="206"/>
      <c r="QG262" s="206"/>
      <c r="QH262" s="206"/>
      <c r="QI262" s="206"/>
      <c r="QJ262" s="206"/>
      <c r="QK262" s="206"/>
      <c r="QL262" s="206"/>
      <c r="QM262" s="206"/>
      <c r="QN262" s="206"/>
      <c r="QO262" s="206"/>
      <c r="QP262" s="206"/>
      <c r="QQ262" s="206"/>
      <c r="QR262" s="207"/>
    </row>
    <row r="263" spans="3:483" ht="5.15" customHeight="1" thickTop="1" x14ac:dyDescent="0.35"/>
    <row r="267" spans="3:483" ht="5.15" customHeight="1" x14ac:dyDescent="0.35">
      <c r="F267" s="189"/>
      <c r="G267" s="189"/>
      <c r="T267" s="189"/>
      <c r="U267" s="189"/>
      <c r="V267" s="189"/>
      <c r="W267" s="189"/>
      <c r="X267" s="189"/>
      <c r="Y267" s="189"/>
      <c r="Z267" s="189"/>
      <c r="AA267" s="189"/>
      <c r="AB267" s="189"/>
      <c r="AC267" s="189"/>
      <c r="AD267" s="189"/>
      <c r="AE267" s="189"/>
      <c r="AF267" s="189"/>
      <c r="AG267" s="189"/>
      <c r="AH267" s="189"/>
      <c r="AI267" s="189"/>
      <c r="AJ267" s="189"/>
      <c r="AK267" s="189"/>
      <c r="AL267" s="189"/>
      <c r="AM267" s="189"/>
      <c r="AN267" s="189"/>
      <c r="AO267" s="189"/>
      <c r="AP267" s="189"/>
      <c r="AQ267" s="189"/>
      <c r="AR267" s="189"/>
      <c r="AS267" s="189"/>
      <c r="AT267" s="189"/>
      <c r="AU267" s="189"/>
      <c r="AV267" s="189"/>
      <c r="AW267" s="189"/>
      <c r="AX267" s="189"/>
      <c r="AY267" s="189"/>
      <c r="AZ267" s="189"/>
      <c r="BA267" s="189"/>
      <c r="BB267" s="189"/>
      <c r="BC267" s="189"/>
      <c r="BD267" s="189"/>
      <c r="BE267" s="189"/>
      <c r="BF267" s="189"/>
      <c r="BG267" s="189"/>
      <c r="BH267" s="189"/>
      <c r="BI267" s="189"/>
      <c r="BJ267" s="189"/>
      <c r="BK267" s="189"/>
      <c r="BL267" s="189"/>
      <c r="BM267" s="189"/>
      <c r="BN267" s="189"/>
      <c r="BO267" s="189"/>
      <c r="BP267" s="189"/>
      <c r="BQ267" s="189"/>
      <c r="BR267" s="189"/>
      <c r="BS267" s="189"/>
      <c r="BT267" s="189"/>
      <c r="BU267" s="189"/>
      <c r="BV267" s="189"/>
      <c r="BW267" s="189"/>
      <c r="BX267" s="189"/>
      <c r="BY267" s="189"/>
      <c r="BZ267" s="189"/>
      <c r="CA267" s="189"/>
      <c r="CB267" s="189"/>
      <c r="CC267" s="189"/>
      <c r="CD267" s="189"/>
      <c r="CE267" s="189"/>
      <c r="CF267" s="189"/>
      <c r="CG267" s="189"/>
      <c r="CH267" s="189"/>
      <c r="CI267" s="189"/>
      <c r="CJ267" s="189"/>
      <c r="CK267" s="189"/>
      <c r="CL267" s="189"/>
      <c r="CM267" s="189"/>
      <c r="CN267" s="189"/>
      <c r="CO267" s="189"/>
      <c r="CP267" s="189"/>
      <c r="CQ267" s="189"/>
      <c r="CR267" s="189"/>
      <c r="CS267" s="189"/>
      <c r="CT267" s="189"/>
      <c r="CU267" s="189"/>
      <c r="CV267" s="189"/>
      <c r="CW267" s="189"/>
      <c r="CX267" s="189"/>
      <c r="CY267" s="189"/>
      <c r="CZ267" s="189"/>
      <c r="DA267" s="189"/>
      <c r="DB267" s="189"/>
      <c r="DC267" s="189"/>
      <c r="DD267" s="189"/>
      <c r="DE267" s="189"/>
      <c r="DF267" s="189"/>
      <c r="DG267" s="189"/>
      <c r="DH267" s="189"/>
      <c r="DI267" s="189"/>
      <c r="DJ267" s="189"/>
      <c r="DK267" s="189"/>
      <c r="DL267" s="189"/>
      <c r="DM267" s="189"/>
      <c r="DN267" s="189"/>
      <c r="DO267" s="189"/>
      <c r="DP267" s="189"/>
      <c r="DQ267" s="189"/>
      <c r="DR267" s="189"/>
      <c r="DS267" s="189"/>
      <c r="DT267" s="189"/>
      <c r="DU267" s="189"/>
      <c r="DV267" s="189"/>
      <c r="DW267" s="189"/>
      <c r="DX267" s="189"/>
      <c r="DY267" s="189"/>
      <c r="DZ267" s="189"/>
      <c r="EA267" s="189"/>
      <c r="EB267" s="189"/>
      <c r="EC267" s="189"/>
      <c r="ED267" s="189"/>
      <c r="EE267" s="189"/>
      <c r="EF267" s="189"/>
      <c r="EG267" s="189"/>
      <c r="EH267" s="189"/>
      <c r="EI267" s="189"/>
      <c r="EJ267" s="189"/>
      <c r="EK267" s="189"/>
      <c r="EL267" s="189"/>
      <c r="EM267" s="189"/>
      <c r="EN267" s="189"/>
      <c r="EO267" s="189"/>
      <c r="EP267" s="189"/>
      <c r="EQ267" s="189"/>
      <c r="ER267" s="189"/>
      <c r="ES267" s="189"/>
      <c r="ET267" s="189"/>
      <c r="EU267" s="189"/>
      <c r="EV267" s="189"/>
      <c r="EW267" s="189"/>
      <c r="EX267" s="189"/>
      <c r="EY267" s="189"/>
      <c r="EZ267" s="189"/>
      <c r="FA267" s="189"/>
      <c r="FB267" s="189"/>
      <c r="FC267" s="189"/>
      <c r="FD267" s="189"/>
      <c r="FE267" s="189"/>
      <c r="FF267" s="189"/>
      <c r="FG267" s="189"/>
      <c r="FH267" s="189"/>
      <c r="FI267" s="189"/>
      <c r="FJ267" s="189"/>
      <c r="FK267" s="189"/>
      <c r="FL267" s="189"/>
      <c r="FM267" s="189"/>
      <c r="FN267" s="189"/>
      <c r="FO267" s="189"/>
      <c r="FP267" s="189"/>
      <c r="FQ267" s="189"/>
      <c r="FR267" s="189"/>
      <c r="FS267" s="189"/>
      <c r="FT267" s="189"/>
      <c r="FU267" s="189"/>
      <c r="FV267" s="189"/>
      <c r="FW267" s="189"/>
      <c r="FX267" s="189"/>
      <c r="FY267" s="189"/>
      <c r="FZ267" s="189"/>
      <c r="GA267" s="189"/>
      <c r="GB267" s="189"/>
      <c r="GC267" s="189"/>
      <c r="GD267" s="189"/>
      <c r="GE267" s="189"/>
      <c r="GF267" s="189"/>
      <c r="GG267" s="189"/>
      <c r="GH267" s="189"/>
      <c r="GI267" s="189"/>
      <c r="GJ267" s="189"/>
      <c r="GK267" s="189"/>
      <c r="GL267" s="189"/>
      <c r="GM267" s="189"/>
      <c r="GN267" s="189"/>
      <c r="GO267" s="189"/>
      <c r="GP267" s="189"/>
      <c r="GQ267" s="189"/>
      <c r="GR267" s="189"/>
      <c r="GS267" s="189"/>
      <c r="GT267" s="189"/>
      <c r="GU267" s="189"/>
      <c r="GV267" s="189"/>
      <c r="GW267" s="189"/>
      <c r="GX267" s="189"/>
      <c r="GY267" s="189"/>
      <c r="GZ267" s="189"/>
      <c r="HA267" s="189"/>
      <c r="HB267" s="189"/>
      <c r="HC267" s="189"/>
      <c r="HD267" s="189"/>
      <c r="HE267" s="189"/>
      <c r="HF267" s="189"/>
      <c r="HG267" s="189"/>
      <c r="HH267" s="189"/>
      <c r="HI267" s="189"/>
      <c r="HJ267" s="189"/>
      <c r="HK267" s="189"/>
      <c r="HL267" s="189"/>
      <c r="HM267" s="189"/>
      <c r="HN267" s="189"/>
      <c r="HO267" s="189"/>
      <c r="HP267" s="189"/>
      <c r="HQ267" s="189"/>
      <c r="HR267" s="189"/>
      <c r="HS267" s="189"/>
      <c r="HT267" s="189"/>
      <c r="HU267" s="189"/>
      <c r="HV267" s="189"/>
      <c r="HW267" s="189"/>
      <c r="HX267" s="189"/>
      <c r="HY267" s="189"/>
      <c r="HZ267" s="189"/>
      <c r="IA267" s="189"/>
      <c r="IB267" s="189"/>
      <c r="IC267" s="189"/>
      <c r="ID267" s="189"/>
      <c r="IE267" s="189"/>
      <c r="IF267" s="189"/>
      <c r="IG267" s="189"/>
      <c r="IH267" s="189"/>
      <c r="II267" s="189"/>
      <c r="IJ267" s="189"/>
      <c r="IK267" s="189"/>
      <c r="IL267" s="189"/>
      <c r="IM267" s="189"/>
      <c r="IN267" s="189"/>
      <c r="IO267" s="189"/>
      <c r="IP267" s="189"/>
      <c r="IQ267" s="189"/>
      <c r="IR267" s="189"/>
      <c r="IS267" s="189"/>
      <c r="IT267" s="189"/>
      <c r="IU267" s="189"/>
      <c r="IV267" s="189"/>
      <c r="IW267" s="189"/>
      <c r="IX267" s="189"/>
      <c r="IY267" s="189"/>
      <c r="IZ267" s="189"/>
      <c r="JA267" s="189"/>
      <c r="JB267" s="189"/>
      <c r="JC267" s="189"/>
      <c r="JD267" s="189"/>
      <c r="JE267" s="189"/>
      <c r="JF267" s="189"/>
      <c r="JG267" s="189"/>
      <c r="JH267" s="189"/>
      <c r="JI267" s="189"/>
      <c r="JJ267" s="189"/>
      <c r="JK267" s="189"/>
      <c r="JL267" s="189"/>
      <c r="JM267" s="189"/>
      <c r="JN267" s="189"/>
      <c r="JO267" s="189"/>
      <c r="JP267" s="189"/>
      <c r="JQ267" s="189"/>
      <c r="JR267" s="189"/>
      <c r="JS267" s="189"/>
      <c r="JT267" s="189"/>
      <c r="JU267" s="189"/>
      <c r="JV267" s="189"/>
      <c r="JW267" s="189"/>
      <c r="JX267" s="189"/>
      <c r="JY267" s="189"/>
      <c r="JZ267" s="189"/>
      <c r="KA267" s="189"/>
      <c r="KB267" s="189"/>
      <c r="KC267" s="189"/>
      <c r="KD267" s="189"/>
      <c r="KE267" s="189"/>
      <c r="KF267" s="189"/>
      <c r="KG267" s="189"/>
      <c r="KH267" s="189"/>
      <c r="KI267" s="189"/>
      <c r="KJ267" s="189"/>
      <c r="KK267" s="189"/>
      <c r="KL267" s="189"/>
      <c r="KM267" s="189"/>
      <c r="KN267" s="189"/>
      <c r="KO267" s="189"/>
      <c r="KP267" s="189"/>
      <c r="KQ267" s="189"/>
      <c r="KR267" s="189"/>
      <c r="KS267" s="189"/>
      <c r="KT267" s="189"/>
      <c r="KU267" s="189"/>
      <c r="LQ267" s="189"/>
      <c r="LR267" s="189"/>
      <c r="LS267" s="189"/>
      <c r="LT267" s="189"/>
      <c r="LU267" s="189"/>
      <c r="LV267" s="189"/>
      <c r="LW267" s="189"/>
      <c r="LX267" s="189"/>
      <c r="MM267" s="189"/>
      <c r="MN267" s="189"/>
      <c r="MO267" s="189"/>
      <c r="MP267" s="189"/>
      <c r="MQ267" s="189"/>
      <c r="MR267" s="189"/>
      <c r="MS267" s="189"/>
      <c r="MT267" s="189"/>
      <c r="MU267" s="189"/>
      <c r="MV267" s="189"/>
      <c r="MW267" s="189"/>
      <c r="MX267" s="189"/>
      <c r="MY267" s="189"/>
      <c r="MZ267" s="189"/>
      <c r="NA267" s="189"/>
      <c r="NB267" s="189"/>
      <c r="NC267" s="189"/>
      <c r="ND267" s="189"/>
      <c r="NE267" s="189"/>
      <c r="NF267" s="189"/>
      <c r="NG267" s="189"/>
      <c r="NH267" s="189"/>
      <c r="NI267" s="189"/>
      <c r="NJ267" s="189"/>
      <c r="NK267" s="189"/>
      <c r="NL267" s="189"/>
      <c r="NM267" s="189"/>
      <c r="NN267" s="189"/>
      <c r="NO267" s="189"/>
      <c r="NP267" s="189"/>
      <c r="NQ267" s="189"/>
      <c r="NR267" s="189"/>
      <c r="NS267" s="189"/>
      <c r="NT267" s="189"/>
      <c r="NU267" s="189"/>
      <c r="NV267" s="189"/>
      <c r="NW267" s="189"/>
      <c r="NX267" s="189"/>
      <c r="QS267" s="189"/>
      <c r="QT267" s="189"/>
      <c r="QU267" s="189"/>
      <c r="QV267" s="189"/>
      <c r="RK267" s="189"/>
      <c r="RL267" s="189"/>
      <c r="RM267" s="189"/>
      <c r="RN267" s="189"/>
      <c r="RO267" s="189"/>
    </row>
    <row r="286" spans="69:166" ht="5.15" customHeight="1" x14ac:dyDescent="0.35">
      <c r="BQ286" s="164"/>
      <c r="BR286" s="164"/>
      <c r="DM286" s="164"/>
      <c r="DN286" s="164"/>
      <c r="FI286" s="164"/>
      <c r="FJ286" s="164"/>
    </row>
    <row r="287" spans="69:166" ht="5.15" customHeight="1" x14ac:dyDescent="0.35">
      <c r="BQ287" s="164"/>
      <c r="BR287" s="164"/>
      <c r="DM287" s="164"/>
      <c r="DN287" s="164"/>
      <c r="FI287" s="164"/>
      <c r="FJ287" s="164"/>
    </row>
    <row r="288" spans="69:166" ht="5.15" customHeight="1" x14ac:dyDescent="0.35">
      <c r="BQ288" s="164"/>
      <c r="BR288" s="164"/>
      <c r="DM288" s="164"/>
      <c r="DN288" s="164"/>
      <c r="FI288" s="164"/>
      <c r="FJ288" s="164"/>
    </row>
    <row r="289" spans="69:166" ht="5.15" customHeight="1" x14ac:dyDescent="0.35">
      <c r="BQ289" s="164"/>
      <c r="BR289" s="164"/>
      <c r="DM289" s="164"/>
      <c r="DN289" s="164"/>
      <c r="FI289" s="164"/>
      <c r="FJ289" s="164"/>
    </row>
    <row r="290" spans="69:166" ht="5.15" customHeight="1" x14ac:dyDescent="0.35">
      <c r="BQ290" s="164"/>
      <c r="BR290" s="164"/>
      <c r="DM290" s="164"/>
      <c r="DN290" s="164"/>
      <c r="FI290" s="164"/>
      <c r="FJ290" s="164"/>
    </row>
    <row r="291" spans="69:166" ht="5.15" customHeight="1" x14ac:dyDescent="0.35">
      <c r="BQ291" s="164"/>
      <c r="BR291" s="164"/>
      <c r="DM291" s="164"/>
      <c r="DN291" s="164"/>
      <c r="FI291" s="164"/>
      <c r="FJ291" s="164"/>
    </row>
    <row r="292" spans="69:166" ht="5.15" customHeight="1" x14ac:dyDescent="0.35">
      <c r="BQ292" s="164"/>
      <c r="BR292" s="164"/>
      <c r="DM292" s="164"/>
      <c r="DN292" s="164"/>
      <c r="FI292" s="164"/>
      <c r="FJ292" s="164"/>
    </row>
    <row r="293" spans="69:166" ht="5.15" customHeight="1" x14ac:dyDescent="0.35">
      <c r="BQ293" s="164"/>
      <c r="BR293" s="164"/>
      <c r="DM293" s="164"/>
      <c r="DN293" s="164"/>
      <c r="FI293" s="164"/>
      <c r="FJ293" s="164"/>
    </row>
    <row r="294" spans="69:166" ht="5.15" customHeight="1" x14ac:dyDescent="0.35">
      <c r="BQ294" s="164"/>
      <c r="BR294" s="164"/>
      <c r="DM294" s="164"/>
      <c r="DN294" s="164"/>
      <c r="FI294" s="164"/>
      <c r="FJ294" s="164"/>
    </row>
    <row r="295" spans="69:166" ht="5.15" customHeight="1" x14ac:dyDescent="0.35">
      <c r="BQ295" s="164"/>
      <c r="BR295" s="164"/>
      <c r="DM295" s="164"/>
      <c r="DN295" s="164"/>
      <c r="FI295" s="164"/>
      <c r="FJ295" s="164"/>
    </row>
    <row r="296" spans="69:166" ht="5.15" customHeight="1" x14ac:dyDescent="0.35">
      <c r="BQ296" s="164"/>
      <c r="BR296" s="164"/>
      <c r="DM296" s="164"/>
      <c r="DN296" s="164"/>
      <c r="FI296" s="164"/>
      <c r="FJ296" s="164"/>
    </row>
    <row r="297" spans="69:166" ht="5.15" customHeight="1" x14ac:dyDescent="0.35">
      <c r="BQ297" s="164"/>
      <c r="BR297" s="164"/>
      <c r="DM297" s="164"/>
      <c r="DN297" s="164"/>
      <c r="FI297" s="164"/>
      <c r="FJ297" s="164"/>
    </row>
    <row r="298" spans="69:166" ht="5.15" customHeight="1" x14ac:dyDescent="0.35">
      <c r="BQ298" s="164"/>
      <c r="BR298" s="164"/>
      <c r="DM298" s="164"/>
      <c r="DN298" s="164"/>
      <c r="FI298" s="164"/>
      <c r="FJ298" s="164"/>
    </row>
    <row r="299" spans="69:166" ht="5.15" customHeight="1" x14ac:dyDescent="0.35">
      <c r="BQ299" s="164"/>
      <c r="BR299" s="164"/>
      <c r="DM299" s="164"/>
      <c r="DN299" s="164"/>
      <c r="FI299" s="164"/>
      <c r="FJ299" s="164"/>
    </row>
    <row r="300" spans="69:166" ht="5.15" customHeight="1" x14ac:dyDescent="0.35">
      <c r="BQ300" s="164"/>
      <c r="BR300" s="164"/>
      <c r="DM300" s="164"/>
      <c r="DN300" s="164"/>
      <c r="FI300" s="164"/>
      <c r="FJ300" s="164"/>
    </row>
    <row r="301" spans="69:166" ht="5.15" customHeight="1" x14ac:dyDescent="0.35">
      <c r="BQ301" s="164"/>
      <c r="BR301" s="164"/>
      <c r="DM301" s="164"/>
      <c r="DN301" s="164"/>
      <c r="FI301" s="164"/>
      <c r="FJ301" s="164"/>
    </row>
    <row r="302" spans="69:166" ht="5.15" customHeight="1" x14ac:dyDescent="0.35">
      <c r="BQ302" s="164"/>
      <c r="BR302" s="164"/>
      <c r="DM302" s="164"/>
      <c r="DN302" s="164"/>
      <c r="FI302" s="164"/>
      <c r="FJ302" s="164"/>
    </row>
    <row r="303" spans="69:166" ht="5.15" customHeight="1" x14ac:dyDescent="0.35">
      <c r="BQ303" s="164"/>
      <c r="BR303" s="164"/>
      <c r="DM303" s="164"/>
      <c r="DN303" s="164"/>
      <c r="FI303" s="164"/>
      <c r="FJ303" s="164"/>
    </row>
    <row r="308" spans="23:260" ht="5.15" customHeight="1" x14ac:dyDescent="0.35">
      <c r="DO308" s="164"/>
      <c r="DP308" s="164"/>
      <c r="DQ308" s="164"/>
      <c r="DR308" s="164"/>
      <c r="DS308" s="164"/>
      <c r="DT308" s="164"/>
      <c r="DU308" s="164"/>
      <c r="DV308" s="164"/>
      <c r="DW308" s="164"/>
      <c r="DX308" s="164"/>
      <c r="DY308" s="164"/>
      <c r="DZ308" s="164"/>
      <c r="EA308" s="164"/>
      <c r="EB308" s="164"/>
      <c r="EC308" s="164"/>
      <c r="ED308" s="164"/>
      <c r="EE308" s="164"/>
      <c r="EF308" s="164"/>
      <c r="EG308" s="164"/>
      <c r="EH308" s="164"/>
      <c r="EI308" s="164"/>
      <c r="EJ308" s="164"/>
      <c r="EK308" s="164"/>
      <c r="EL308" s="164"/>
      <c r="EM308" s="164"/>
      <c r="EN308" s="164"/>
      <c r="EO308" s="164"/>
      <c r="EP308" s="164"/>
      <c r="EQ308" s="164"/>
      <c r="ER308" s="164"/>
      <c r="ES308" s="164"/>
      <c r="ET308" s="164"/>
      <c r="EU308" s="164"/>
      <c r="EV308" s="164"/>
      <c r="EW308" s="164"/>
      <c r="EX308" s="164"/>
      <c r="EY308" s="164"/>
      <c r="EZ308" s="164"/>
      <c r="FA308" s="164"/>
      <c r="FB308" s="164"/>
      <c r="FC308" s="164"/>
      <c r="FD308" s="164">
        <v>5</v>
      </c>
      <c r="FE308" s="164"/>
      <c r="FF308" s="164"/>
      <c r="FG308" s="164"/>
      <c r="FH308" s="164"/>
      <c r="FI308" s="164"/>
      <c r="FK308" s="164"/>
      <c r="FL308" s="164"/>
      <c r="FM308" s="164"/>
      <c r="FN308" s="164"/>
      <c r="FO308" s="164"/>
      <c r="FP308" s="164"/>
      <c r="FQ308" s="164"/>
      <c r="FR308" s="164"/>
      <c r="FS308" s="164"/>
      <c r="FT308" s="164"/>
      <c r="FU308" s="164"/>
      <c r="FV308" s="164"/>
      <c r="FW308" s="164"/>
      <c r="FX308" s="164"/>
      <c r="FY308" s="164"/>
      <c r="FZ308" s="164"/>
      <c r="GA308" s="164"/>
      <c r="GB308" s="164"/>
      <c r="GC308" s="164"/>
      <c r="GD308" s="164"/>
      <c r="GE308" s="164"/>
      <c r="GF308" s="164"/>
      <c r="GG308" s="164"/>
      <c r="GH308" s="164"/>
      <c r="GI308" s="164"/>
      <c r="GJ308" s="164"/>
      <c r="GK308" s="164"/>
      <c r="GL308" s="164"/>
      <c r="GM308" s="164"/>
      <c r="GN308" s="164"/>
      <c r="GO308" s="164"/>
      <c r="GP308" s="164"/>
      <c r="GQ308" s="164"/>
      <c r="GR308" s="164"/>
      <c r="GS308" s="164"/>
      <c r="GT308" s="164"/>
      <c r="GU308" s="164"/>
      <c r="GV308" s="164"/>
      <c r="GW308" s="164"/>
      <c r="GX308" s="164"/>
      <c r="GY308" s="164"/>
      <c r="GZ308" s="164"/>
      <c r="HA308" s="164"/>
      <c r="HB308" s="164"/>
      <c r="HC308" s="164"/>
      <c r="HD308" s="164"/>
      <c r="HE308" s="164"/>
      <c r="HG308" s="164"/>
      <c r="HH308" s="164"/>
      <c r="HI308" s="164"/>
      <c r="HJ308" s="164"/>
      <c r="HK308" s="164"/>
      <c r="HL308" s="164"/>
      <c r="HM308" s="164"/>
      <c r="HN308" s="164"/>
      <c r="HO308" s="164"/>
      <c r="HP308" s="164"/>
      <c r="HQ308" s="164"/>
      <c r="HR308" s="164"/>
      <c r="HS308" s="164"/>
      <c r="HT308" s="164"/>
      <c r="HU308" s="164"/>
      <c r="HV308" s="164"/>
      <c r="HW308" s="164"/>
      <c r="HX308" s="164"/>
      <c r="HY308" s="164"/>
      <c r="HZ308" s="164"/>
      <c r="IA308" s="164"/>
      <c r="IB308" s="164"/>
      <c r="IC308" s="164"/>
      <c r="ID308" s="164"/>
      <c r="IE308" s="164"/>
      <c r="IF308" s="164"/>
      <c r="IG308" s="164"/>
      <c r="IH308" s="164"/>
      <c r="II308" s="164"/>
      <c r="IJ308" s="164"/>
      <c r="IK308" s="164"/>
      <c r="IL308" s="164"/>
      <c r="IM308" s="164"/>
      <c r="IN308" s="164"/>
      <c r="IO308" s="164"/>
      <c r="IP308" s="164"/>
      <c r="IQ308" s="164"/>
      <c r="IR308" s="164"/>
      <c r="IS308" s="164"/>
      <c r="IT308" s="164"/>
      <c r="IU308" s="164"/>
      <c r="IV308" s="164"/>
      <c r="IW308" s="164"/>
      <c r="IX308" s="164"/>
      <c r="IY308" s="164"/>
      <c r="IZ308" s="164"/>
    </row>
    <row r="309" spans="23:260" ht="5.15" customHeight="1" x14ac:dyDescent="0.35">
      <c r="DO309" s="164"/>
      <c r="DP309" s="164"/>
      <c r="DQ309" s="164"/>
      <c r="DR309" s="164"/>
      <c r="DS309" s="164"/>
      <c r="DT309" s="164"/>
      <c r="DU309" s="164"/>
      <c r="DV309" s="164"/>
      <c r="DW309" s="164"/>
      <c r="DX309" s="164"/>
      <c r="DY309" s="164"/>
      <c r="DZ309" s="164"/>
      <c r="EA309" s="164"/>
      <c r="EB309" s="164"/>
      <c r="EC309" s="164"/>
      <c r="ED309" s="164"/>
      <c r="EE309" s="164"/>
      <c r="EF309" s="164"/>
      <c r="EG309" s="164"/>
      <c r="EH309" s="164"/>
      <c r="EI309" s="164"/>
      <c r="EJ309" s="164"/>
      <c r="EK309" s="164"/>
      <c r="EL309" s="164"/>
      <c r="EM309" s="164"/>
      <c r="EN309" s="164"/>
      <c r="EO309" s="164"/>
      <c r="EP309" s="164"/>
      <c r="EQ309" s="164"/>
      <c r="ER309" s="164"/>
      <c r="ES309" s="164"/>
      <c r="ET309" s="164"/>
      <c r="EU309" s="164"/>
      <c r="EV309" s="164"/>
      <c r="EW309" s="164"/>
      <c r="EX309" s="164"/>
      <c r="EY309" s="164"/>
      <c r="EZ309" s="164"/>
      <c r="FA309" s="164"/>
      <c r="FB309" s="164"/>
      <c r="FC309" s="164"/>
      <c r="FD309" s="164"/>
      <c r="FE309" s="164"/>
      <c r="FF309" s="164"/>
      <c r="FG309" s="164"/>
      <c r="FH309" s="164"/>
      <c r="FI309" s="164"/>
      <c r="FK309" s="164"/>
      <c r="FL309" s="164"/>
      <c r="FM309" s="164"/>
      <c r="FN309" s="164"/>
      <c r="FO309" s="164"/>
      <c r="FP309" s="164"/>
      <c r="FQ309" s="164"/>
      <c r="FR309" s="164"/>
      <c r="FS309" s="164"/>
      <c r="FT309" s="164"/>
      <c r="FU309" s="164"/>
      <c r="FV309" s="164"/>
      <c r="FW309" s="164"/>
      <c r="FX309" s="164"/>
      <c r="FY309" s="164"/>
      <c r="FZ309" s="164"/>
      <c r="GA309" s="164"/>
      <c r="GB309" s="164"/>
      <c r="GC309" s="164"/>
      <c r="GD309" s="164"/>
      <c r="GE309" s="164"/>
      <c r="GF309" s="164"/>
      <c r="GG309" s="164"/>
      <c r="GH309" s="164"/>
      <c r="GI309" s="164"/>
      <c r="GJ309" s="164"/>
      <c r="GK309" s="164"/>
      <c r="GL309" s="164"/>
      <c r="GM309" s="164"/>
      <c r="GN309" s="164"/>
      <c r="GO309" s="164"/>
      <c r="GP309" s="164"/>
      <c r="GQ309" s="164"/>
      <c r="GR309" s="164"/>
      <c r="GS309" s="164"/>
      <c r="GT309" s="164"/>
      <c r="GU309" s="164"/>
      <c r="GV309" s="164"/>
      <c r="GW309" s="164"/>
      <c r="GX309" s="164"/>
      <c r="GY309" s="164"/>
      <c r="GZ309" s="164"/>
      <c r="HA309" s="164"/>
      <c r="HB309" s="164"/>
      <c r="HC309" s="164"/>
      <c r="HD309" s="164"/>
      <c r="HE309" s="164"/>
      <c r="HF309" s="164"/>
      <c r="HG309" s="164"/>
      <c r="HH309" s="164"/>
      <c r="HI309" s="164"/>
      <c r="HJ309" s="164"/>
      <c r="HK309" s="164"/>
      <c r="HL309" s="164"/>
      <c r="HM309" s="164"/>
      <c r="HN309" s="164"/>
      <c r="HO309" s="164"/>
      <c r="HP309" s="164"/>
      <c r="HQ309" s="164"/>
      <c r="HR309" s="164"/>
      <c r="HS309" s="164"/>
      <c r="HT309" s="164"/>
      <c r="HU309" s="164"/>
      <c r="HV309" s="164"/>
      <c r="HW309" s="164"/>
      <c r="HX309" s="164"/>
      <c r="HY309" s="164"/>
      <c r="HZ309" s="164"/>
      <c r="IA309" s="164"/>
      <c r="IB309" s="164"/>
      <c r="IC309" s="164"/>
      <c r="ID309" s="164"/>
      <c r="IE309" s="164"/>
      <c r="IF309" s="164"/>
      <c r="IG309" s="164"/>
      <c r="IH309" s="164"/>
      <c r="II309" s="164"/>
      <c r="IJ309" s="164"/>
      <c r="IK309" s="164"/>
      <c r="IL309" s="164"/>
      <c r="IM309" s="164"/>
      <c r="IN309" s="164"/>
      <c r="IO309" s="164"/>
      <c r="IP309" s="164"/>
      <c r="IQ309" s="164"/>
      <c r="IR309" s="164"/>
      <c r="IS309" s="164"/>
      <c r="IT309" s="164"/>
      <c r="IU309" s="164"/>
      <c r="IV309" s="164"/>
      <c r="IW309" s="164"/>
      <c r="IX309" s="164"/>
      <c r="IY309" s="164"/>
      <c r="IZ309" s="164"/>
    </row>
    <row r="310" spans="23:260" ht="5.15" customHeight="1" x14ac:dyDescent="0.35">
      <c r="DO310" s="164"/>
      <c r="DP310" s="164"/>
      <c r="DQ310" s="164"/>
      <c r="DR310" s="164"/>
      <c r="DS310" s="164"/>
      <c r="DT310" s="164"/>
      <c r="DU310" s="164"/>
      <c r="DV310" s="164"/>
      <c r="DW310" s="164"/>
      <c r="DX310" s="164"/>
      <c r="DY310" s="164"/>
      <c r="DZ310" s="164"/>
      <c r="EA310" s="164"/>
      <c r="EB310" s="164"/>
      <c r="EC310" s="164"/>
      <c r="ED310" s="164"/>
      <c r="EE310" s="164"/>
      <c r="EF310" s="164"/>
      <c r="EG310" s="164"/>
      <c r="EH310" s="164"/>
      <c r="EI310" s="164"/>
      <c r="EJ310" s="164"/>
      <c r="EK310" s="164"/>
      <c r="EL310" s="164"/>
      <c r="EM310" s="164"/>
      <c r="EN310" s="164"/>
      <c r="EO310" s="164"/>
      <c r="EP310" s="164"/>
      <c r="EQ310" s="164"/>
      <c r="ER310" s="164"/>
      <c r="ES310" s="164"/>
      <c r="ET310" s="164"/>
      <c r="EU310" s="164"/>
      <c r="EV310" s="164"/>
      <c r="EW310" s="164"/>
      <c r="EX310" s="164"/>
      <c r="EY310" s="164"/>
      <c r="EZ310" s="164"/>
      <c r="FA310" s="164"/>
      <c r="FB310" s="164"/>
      <c r="FC310" s="164"/>
      <c r="FD310" s="164"/>
      <c r="FE310" s="164"/>
      <c r="FF310" s="164"/>
      <c r="FG310" s="164"/>
      <c r="FH310" s="164"/>
      <c r="FI310" s="164"/>
      <c r="FK310" s="164"/>
      <c r="FL310" s="164"/>
      <c r="FM310" s="164"/>
      <c r="FN310" s="164"/>
      <c r="FO310" s="164"/>
      <c r="FP310" s="164"/>
      <c r="FQ310" s="164"/>
      <c r="FR310" s="164"/>
      <c r="FS310" s="164"/>
      <c r="FT310" s="164"/>
      <c r="FU310" s="164"/>
      <c r="FV310" s="164"/>
      <c r="FW310" s="164"/>
      <c r="FX310" s="164"/>
      <c r="FY310" s="164"/>
      <c r="FZ310" s="164"/>
      <c r="GA310" s="164"/>
      <c r="GB310" s="164"/>
      <c r="GC310" s="164"/>
      <c r="GD310" s="164"/>
      <c r="GE310" s="164"/>
      <c r="GF310" s="164"/>
      <c r="GG310" s="164"/>
      <c r="GH310" s="164"/>
      <c r="GI310" s="164"/>
      <c r="GJ310" s="164"/>
      <c r="GK310" s="164"/>
      <c r="GL310" s="164"/>
      <c r="GM310" s="164"/>
      <c r="GN310" s="164"/>
      <c r="GO310" s="164"/>
      <c r="GP310" s="164"/>
      <c r="GQ310" s="164"/>
      <c r="GR310" s="164"/>
      <c r="GS310" s="164"/>
      <c r="GT310" s="164"/>
      <c r="GU310" s="164"/>
      <c r="GV310" s="164"/>
      <c r="GW310" s="164"/>
      <c r="GX310" s="164"/>
      <c r="GY310" s="164"/>
      <c r="GZ310" s="164"/>
      <c r="HA310" s="164"/>
      <c r="HB310" s="164"/>
      <c r="HC310" s="164"/>
      <c r="HD310" s="164"/>
      <c r="HE310" s="164"/>
      <c r="HF310" s="164"/>
      <c r="HG310" s="164"/>
      <c r="HH310" s="164"/>
      <c r="HI310" s="164"/>
      <c r="HJ310" s="164"/>
      <c r="HK310" s="164"/>
      <c r="HL310" s="164"/>
      <c r="HM310" s="164"/>
      <c r="HN310" s="164"/>
      <c r="HO310" s="164"/>
      <c r="HP310" s="164"/>
      <c r="HQ310" s="164"/>
      <c r="HR310" s="164"/>
      <c r="HS310" s="164"/>
      <c r="HT310" s="164"/>
      <c r="HU310" s="164"/>
      <c r="HV310" s="164"/>
      <c r="HW310" s="164"/>
      <c r="HX310" s="164"/>
      <c r="HY310" s="164"/>
      <c r="HZ310" s="164"/>
      <c r="IA310" s="164"/>
      <c r="IB310" s="164"/>
      <c r="IC310" s="164"/>
      <c r="ID310" s="164"/>
      <c r="IE310" s="164"/>
      <c r="IF310" s="164"/>
      <c r="IG310" s="164"/>
      <c r="IH310" s="164"/>
      <c r="II310" s="164"/>
      <c r="IJ310" s="164"/>
      <c r="IK310" s="164"/>
      <c r="IL310" s="164"/>
      <c r="IM310" s="164"/>
      <c r="IN310" s="164"/>
      <c r="IO310" s="164"/>
      <c r="IP310" s="164"/>
      <c r="IQ310" s="164"/>
      <c r="IR310" s="164"/>
      <c r="IS310" s="164"/>
      <c r="IT310" s="164"/>
      <c r="IU310" s="164"/>
      <c r="IV310" s="164"/>
      <c r="IW310" s="164"/>
      <c r="IX310" s="164"/>
      <c r="IY310" s="164"/>
      <c r="IZ310" s="164"/>
    </row>
    <row r="311" spans="23:260" ht="5.15" customHeight="1" x14ac:dyDescent="0.35">
      <c r="DO311" s="164"/>
      <c r="DP311" s="164"/>
      <c r="DQ311" s="164"/>
      <c r="DR311" s="164"/>
      <c r="DS311" s="164"/>
      <c r="DT311" s="164"/>
      <c r="DU311" s="164"/>
      <c r="DV311" s="164"/>
      <c r="DW311" s="164"/>
      <c r="DX311" s="164"/>
      <c r="DY311" s="164"/>
      <c r="DZ311" s="164"/>
      <c r="EA311" s="164"/>
      <c r="EB311" s="164"/>
      <c r="EC311" s="164"/>
      <c r="ED311" s="164"/>
      <c r="EE311" s="164"/>
      <c r="EF311" s="164"/>
      <c r="EG311" s="164"/>
      <c r="EH311" s="164"/>
      <c r="EI311" s="164"/>
      <c r="EJ311" s="164"/>
      <c r="EK311" s="164"/>
      <c r="EL311" s="164"/>
      <c r="EM311" s="164"/>
      <c r="EN311" s="164"/>
      <c r="EO311" s="164"/>
      <c r="EP311" s="164"/>
      <c r="EQ311" s="164"/>
      <c r="ER311" s="164"/>
      <c r="ES311" s="164"/>
      <c r="ET311" s="164"/>
      <c r="EU311" s="164"/>
      <c r="EV311" s="164"/>
      <c r="EW311" s="164"/>
      <c r="EX311" s="164"/>
      <c r="EY311" s="164"/>
      <c r="EZ311" s="164"/>
      <c r="FA311" s="164"/>
      <c r="FB311" s="164"/>
      <c r="FC311" s="164"/>
      <c r="FD311" s="164"/>
      <c r="FE311" s="164"/>
      <c r="FF311" s="164"/>
      <c r="FG311" s="164"/>
      <c r="FH311" s="164"/>
      <c r="FI311" s="164"/>
      <c r="FK311" s="164"/>
      <c r="FL311" s="164"/>
      <c r="FM311" s="164"/>
      <c r="FN311" s="164"/>
      <c r="FO311" s="164"/>
      <c r="FP311" s="164"/>
      <c r="FQ311" s="164"/>
      <c r="FR311" s="164"/>
      <c r="FS311" s="164"/>
      <c r="FT311" s="164"/>
      <c r="FU311" s="164"/>
      <c r="FV311" s="164"/>
      <c r="FW311" s="164"/>
      <c r="FX311" s="164"/>
      <c r="FY311" s="164"/>
      <c r="FZ311" s="164"/>
      <c r="GA311" s="164"/>
      <c r="GB311" s="164"/>
      <c r="GC311" s="164"/>
      <c r="GD311" s="164"/>
      <c r="GE311" s="164"/>
      <c r="GF311" s="164"/>
      <c r="GG311" s="164"/>
      <c r="GH311" s="164"/>
      <c r="GI311" s="164"/>
      <c r="GJ311" s="164"/>
      <c r="GK311" s="164"/>
      <c r="GL311" s="164"/>
      <c r="GM311" s="164"/>
      <c r="GN311" s="164"/>
      <c r="GO311" s="164"/>
      <c r="GP311" s="164"/>
      <c r="GQ311" s="164"/>
      <c r="GR311" s="164"/>
      <c r="GS311" s="164"/>
      <c r="GT311" s="164"/>
      <c r="GU311" s="164"/>
      <c r="GV311" s="164"/>
      <c r="GW311" s="164"/>
      <c r="GX311" s="164"/>
      <c r="GY311" s="164"/>
      <c r="GZ311" s="164"/>
      <c r="HA311" s="164"/>
      <c r="HB311" s="164"/>
      <c r="HC311" s="164"/>
      <c r="HD311" s="164"/>
      <c r="HE311" s="164"/>
      <c r="HF311" s="164"/>
      <c r="HG311" s="164"/>
      <c r="HH311" s="164"/>
      <c r="HI311" s="164"/>
      <c r="HJ311" s="164"/>
      <c r="HK311" s="164"/>
      <c r="HL311" s="164"/>
      <c r="HM311" s="164"/>
      <c r="HN311" s="164"/>
      <c r="HO311" s="164"/>
      <c r="HP311" s="164"/>
      <c r="HQ311" s="164"/>
      <c r="HR311" s="164"/>
      <c r="HS311" s="164"/>
      <c r="HT311" s="164"/>
      <c r="HU311" s="164"/>
      <c r="HV311" s="164"/>
      <c r="HW311" s="164"/>
      <c r="HX311" s="164"/>
      <c r="HY311" s="164"/>
      <c r="HZ311" s="164"/>
      <c r="IA311" s="164"/>
      <c r="IB311" s="164"/>
      <c r="IC311" s="164"/>
      <c r="ID311" s="164"/>
      <c r="IE311" s="164"/>
      <c r="IF311" s="164"/>
      <c r="IG311" s="164"/>
      <c r="IH311" s="164"/>
      <c r="II311" s="164"/>
      <c r="IJ311" s="164"/>
      <c r="IK311" s="164"/>
      <c r="IL311" s="164"/>
      <c r="IM311" s="164"/>
      <c r="IN311" s="164"/>
      <c r="IO311" s="164"/>
      <c r="IP311" s="164"/>
      <c r="IQ311" s="164"/>
      <c r="IR311" s="164"/>
      <c r="IS311" s="164"/>
      <c r="IT311" s="164"/>
      <c r="IU311" s="164"/>
      <c r="IV311" s="164"/>
      <c r="IW311" s="164"/>
      <c r="IX311" s="164"/>
      <c r="IY311" s="164"/>
      <c r="IZ311" s="164"/>
    </row>
    <row r="312" spans="23:260" ht="5.15" customHeight="1" x14ac:dyDescent="0.35">
      <c r="DO312" s="164"/>
      <c r="DP312" s="164"/>
      <c r="DQ312" s="164"/>
      <c r="DR312" s="164"/>
      <c r="DS312" s="164"/>
      <c r="DT312" s="164"/>
      <c r="DU312" s="164"/>
      <c r="DV312" s="164"/>
      <c r="DW312" s="164"/>
      <c r="DX312" s="164"/>
      <c r="DY312" s="164"/>
      <c r="DZ312" s="164"/>
      <c r="EA312" s="164"/>
      <c r="EB312" s="164"/>
      <c r="EC312" s="164"/>
      <c r="ED312" s="164"/>
      <c r="EE312" s="164"/>
      <c r="EF312" s="164"/>
      <c r="EG312" s="164"/>
      <c r="EH312" s="164"/>
      <c r="EI312" s="164"/>
      <c r="EJ312" s="164"/>
      <c r="EK312" s="164"/>
      <c r="EL312" s="164"/>
      <c r="EM312" s="164"/>
      <c r="EN312" s="164"/>
      <c r="EO312" s="164"/>
      <c r="EP312" s="164"/>
      <c r="EQ312" s="164"/>
      <c r="ER312" s="164"/>
      <c r="ES312" s="164"/>
      <c r="ET312" s="164"/>
      <c r="EU312" s="164"/>
      <c r="EV312" s="164"/>
      <c r="EW312" s="164"/>
      <c r="EX312" s="164"/>
      <c r="EY312" s="164"/>
      <c r="EZ312" s="164"/>
      <c r="FA312" s="164"/>
      <c r="FB312" s="164"/>
      <c r="FC312" s="164"/>
      <c r="FD312" s="164"/>
      <c r="FE312" s="164"/>
      <c r="FF312" s="164"/>
      <c r="FG312" s="164"/>
      <c r="FH312" s="164"/>
      <c r="FI312" s="164"/>
      <c r="FK312" s="164"/>
      <c r="FL312" s="164"/>
      <c r="FM312" s="164"/>
      <c r="FN312" s="164"/>
      <c r="FO312" s="164"/>
      <c r="FP312" s="164"/>
      <c r="FQ312" s="164"/>
      <c r="FR312" s="164"/>
      <c r="FS312" s="164"/>
      <c r="FT312" s="164"/>
      <c r="FU312" s="164"/>
      <c r="FV312" s="164"/>
      <c r="FW312" s="164"/>
      <c r="FX312" s="164"/>
      <c r="FY312" s="164"/>
      <c r="FZ312" s="164"/>
      <c r="GA312" s="164"/>
      <c r="GB312" s="164"/>
      <c r="GC312" s="164"/>
      <c r="GD312" s="164"/>
      <c r="GE312" s="164"/>
      <c r="GF312" s="164"/>
      <c r="GG312" s="164"/>
      <c r="GH312" s="164"/>
      <c r="GI312" s="164"/>
      <c r="GJ312" s="164"/>
      <c r="GK312" s="164"/>
      <c r="GL312" s="164"/>
      <c r="GM312" s="164"/>
      <c r="GN312" s="164"/>
      <c r="GO312" s="164"/>
      <c r="GP312" s="164"/>
      <c r="GQ312" s="164"/>
      <c r="GR312" s="164"/>
      <c r="GS312" s="164"/>
      <c r="GT312" s="164"/>
      <c r="GU312" s="164"/>
      <c r="GV312" s="164"/>
      <c r="GW312" s="164"/>
      <c r="GX312" s="164"/>
      <c r="GY312" s="164"/>
      <c r="GZ312" s="164"/>
      <c r="HA312" s="164"/>
      <c r="HB312" s="164"/>
      <c r="HC312" s="164"/>
      <c r="HD312" s="164"/>
      <c r="HE312" s="164"/>
      <c r="HF312" s="164"/>
      <c r="HG312" s="164"/>
      <c r="HH312" s="164"/>
      <c r="HI312" s="164"/>
      <c r="HJ312" s="164"/>
      <c r="HK312" s="164"/>
      <c r="HL312" s="164"/>
      <c r="HM312" s="164"/>
      <c r="HN312" s="164"/>
      <c r="HO312" s="164"/>
      <c r="HP312" s="164"/>
      <c r="HQ312" s="164"/>
      <c r="HR312" s="164"/>
      <c r="HS312" s="164"/>
      <c r="HT312" s="164"/>
      <c r="HU312" s="164"/>
      <c r="HV312" s="164"/>
      <c r="HW312" s="164"/>
      <c r="HX312" s="164"/>
      <c r="HY312" s="164"/>
      <c r="HZ312" s="164"/>
      <c r="IA312" s="164"/>
      <c r="IB312" s="164"/>
      <c r="IC312" s="164"/>
      <c r="ID312" s="164"/>
      <c r="IE312" s="164"/>
      <c r="IF312" s="164"/>
      <c r="IG312" s="164"/>
      <c r="IH312" s="164"/>
      <c r="II312" s="164"/>
      <c r="IJ312" s="164"/>
      <c r="IK312" s="164"/>
      <c r="IL312" s="164"/>
      <c r="IM312" s="164"/>
      <c r="IN312" s="164"/>
      <c r="IO312" s="164"/>
      <c r="IP312" s="164"/>
      <c r="IQ312" s="164"/>
      <c r="IR312" s="164"/>
      <c r="IS312" s="164"/>
      <c r="IT312" s="164"/>
      <c r="IU312" s="164"/>
      <c r="IV312" s="164"/>
      <c r="IW312" s="164"/>
      <c r="IX312" s="164"/>
      <c r="IY312" s="164"/>
      <c r="IZ312" s="164"/>
    </row>
    <row r="313" spans="23:260" ht="5.15" customHeight="1" x14ac:dyDescent="0.35">
      <c r="BQ313" s="164"/>
      <c r="BR313" s="164"/>
      <c r="DM313" s="164"/>
      <c r="DN313" s="164"/>
      <c r="DO313" s="164"/>
      <c r="DP313" s="164"/>
      <c r="DQ313" s="164"/>
      <c r="DR313" s="164"/>
      <c r="DS313" s="164"/>
      <c r="DT313" s="164"/>
      <c r="DU313" s="164"/>
      <c r="DV313" s="164"/>
      <c r="DW313" s="164"/>
      <c r="DX313" s="164"/>
      <c r="DY313" s="164"/>
      <c r="DZ313" s="164"/>
      <c r="EA313" s="164"/>
      <c r="EB313" s="164"/>
      <c r="EC313" s="164"/>
      <c r="ED313" s="164"/>
      <c r="EE313" s="164"/>
      <c r="EF313" s="164"/>
      <c r="EG313" s="164"/>
      <c r="EH313" s="164"/>
      <c r="EI313" s="164"/>
      <c r="EJ313" s="164"/>
      <c r="EK313" s="164"/>
      <c r="EL313" s="164"/>
      <c r="EM313" s="164"/>
      <c r="EN313" s="164"/>
      <c r="EO313" s="164"/>
      <c r="EP313" s="164"/>
      <c r="EQ313" s="164"/>
      <c r="ER313" s="164"/>
      <c r="ES313" s="164"/>
      <c r="ET313" s="164"/>
      <c r="EU313" s="164"/>
      <c r="EV313" s="164"/>
      <c r="EW313" s="164"/>
      <c r="EX313" s="164"/>
      <c r="EY313" s="164"/>
      <c r="EZ313" s="164"/>
      <c r="FA313" s="164"/>
      <c r="FB313" s="164"/>
      <c r="FC313" s="164"/>
      <c r="FD313" s="164"/>
      <c r="FE313" s="164"/>
      <c r="FF313" s="164"/>
      <c r="FG313" s="164"/>
      <c r="FH313" s="164"/>
      <c r="FI313" s="164"/>
      <c r="FJ313" s="164"/>
      <c r="FK313" s="164"/>
      <c r="FL313" s="164"/>
      <c r="FM313" s="164"/>
      <c r="FN313" s="164"/>
      <c r="FO313" s="164"/>
      <c r="FP313" s="164"/>
      <c r="FQ313" s="164"/>
      <c r="FR313" s="164"/>
      <c r="FS313" s="164"/>
      <c r="FT313" s="164"/>
      <c r="FU313" s="164"/>
      <c r="FV313" s="164"/>
      <c r="FW313" s="164"/>
      <c r="FX313" s="164"/>
      <c r="FY313" s="164"/>
      <c r="FZ313" s="164"/>
      <c r="GA313" s="164"/>
      <c r="GB313" s="164"/>
      <c r="GC313" s="164"/>
      <c r="GD313" s="164"/>
      <c r="GE313" s="164"/>
      <c r="GF313" s="164"/>
      <c r="GG313" s="164"/>
      <c r="GH313" s="164"/>
      <c r="GI313" s="164"/>
      <c r="GJ313" s="164"/>
      <c r="GK313" s="164"/>
      <c r="GL313" s="164"/>
      <c r="GM313" s="164"/>
      <c r="GN313" s="164"/>
      <c r="GO313" s="164"/>
      <c r="GP313" s="164"/>
      <c r="GQ313" s="164"/>
      <c r="GR313" s="164"/>
      <c r="GS313" s="164"/>
      <c r="GT313" s="164"/>
      <c r="GU313" s="164"/>
      <c r="GV313" s="164"/>
      <c r="GW313" s="164"/>
      <c r="GX313" s="164"/>
      <c r="GY313" s="164"/>
      <c r="GZ313" s="164"/>
      <c r="HA313" s="164"/>
      <c r="HB313" s="164"/>
      <c r="HC313" s="164"/>
      <c r="HD313" s="164"/>
      <c r="HE313" s="164"/>
      <c r="HF313" s="164"/>
      <c r="HG313" s="164"/>
      <c r="HH313" s="164"/>
      <c r="HI313" s="164"/>
      <c r="HJ313" s="164"/>
      <c r="HK313" s="164"/>
      <c r="HL313" s="164"/>
      <c r="HM313" s="164"/>
      <c r="HN313" s="164"/>
      <c r="HO313" s="164"/>
      <c r="HP313" s="164"/>
      <c r="HQ313" s="164"/>
      <c r="HR313" s="164"/>
      <c r="HS313" s="164"/>
      <c r="HT313" s="164"/>
      <c r="HU313" s="164"/>
      <c r="HV313" s="164"/>
      <c r="HW313" s="164"/>
      <c r="HX313" s="164"/>
      <c r="HY313" s="164"/>
      <c r="HZ313" s="164"/>
      <c r="IA313" s="164"/>
      <c r="IB313" s="164"/>
      <c r="IC313" s="164"/>
      <c r="ID313" s="164"/>
      <c r="IE313" s="164"/>
      <c r="IF313" s="164"/>
      <c r="IG313" s="164"/>
      <c r="IH313" s="164"/>
      <c r="II313" s="164"/>
      <c r="IJ313" s="164"/>
      <c r="IK313" s="164"/>
      <c r="IL313" s="164"/>
      <c r="IM313" s="164"/>
      <c r="IN313" s="164"/>
      <c r="IO313" s="164"/>
      <c r="IP313" s="164"/>
      <c r="IQ313" s="164"/>
      <c r="IR313" s="164"/>
      <c r="IS313" s="164"/>
      <c r="IT313" s="164"/>
      <c r="IU313" s="164"/>
      <c r="IV313" s="164"/>
      <c r="IW313" s="164"/>
      <c r="IX313" s="164"/>
      <c r="IY313" s="164"/>
      <c r="IZ313" s="164"/>
    </row>
    <row r="314" spans="23:260" ht="5.15" customHeight="1" x14ac:dyDescent="0.35">
      <c r="BQ314" s="164"/>
      <c r="BR314" s="164"/>
      <c r="DM314" s="164"/>
      <c r="DN314" s="164"/>
      <c r="DO314" s="164"/>
      <c r="DP314" s="164"/>
      <c r="DQ314" s="164"/>
      <c r="DR314" s="164"/>
      <c r="DS314" s="164"/>
      <c r="DT314" s="164"/>
      <c r="DU314" s="164"/>
      <c r="DV314" s="164"/>
      <c r="DW314" s="164"/>
      <c r="DX314" s="164"/>
      <c r="DY314" s="164"/>
      <c r="DZ314" s="164"/>
      <c r="EA314" s="164"/>
      <c r="EB314" s="164"/>
      <c r="EC314" s="164"/>
      <c r="ED314" s="164"/>
      <c r="EE314" s="164"/>
      <c r="EF314" s="164"/>
      <c r="EG314" s="164"/>
      <c r="EH314" s="164"/>
      <c r="EI314" s="164"/>
      <c r="EJ314" s="164"/>
      <c r="EK314" s="164"/>
      <c r="EL314" s="164"/>
      <c r="EM314" s="164"/>
      <c r="EN314" s="164"/>
      <c r="EO314" s="164"/>
      <c r="EP314" s="164"/>
      <c r="EQ314" s="164"/>
      <c r="ER314" s="164"/>
      <c r="ES314" s="164"/>
      <c r="ET314" s="164"/>
      <c r="EU314" s="164"/>
      <c r="EV314" s="164"/>
      <c r="EW314" s="164"/>
      <c r="EX314" s="164"/>
      <c r="EY314" s="164"/>
      <c r="EZ314" s="164"/>
      <c r="FA314" s="164"/>
      <c r="FB314" s="164"/>
      <c r="FC314" s="164"/>
      <c r="FD314" s="164"/>
      <c r="FE314" s="164"/>
      <c r="FF314" s="164"/>
      <c r="FG314" s="164"/>
      <c r="FH314" s="164"/>
      <c r="FI314" s="164"/>
      <c r="FJ314" s="164"/>
      <c r="FK314" s="164"/>
      <c r="FL314" s="164"/>
      <c r="FM314" s="164"/>
      <c r="FN314" s="164"/>
      <c r="FO314" s="164"/>
      <c r="FP314" s="164"/>
      <c r="FQ314" s="164"/>
      <c r="FR314" s="164"/>
      <c r="FS314" s="164"/>
      <c r="FT314" s="164"/>
      <c r="FU314" s="164"/>
      <c r="FV314" s="164"/>
      <c r="FW314" s="164"/>
      <c r="FX314" s="164"/>
      <c r="FY314" s="164"/>
      <c r="FZ314" s="164"/>
      <c r="GA314" s="164"/>
      <c r="GB314" s="164"/>
      <c r="GC314" s="164"/>
      <c r="GD314" s="164"/>
      <c r="GE314" s="164"/>
      <c r="GF314" s="164"/>
      <c r="GG314" s="164"/>
      <c r="GH314" s="164"/>
      <c r="GI314" s="164"/>
      <c r="GJ314" s="164"/>
      <c r="GK314" s="164"/>
      <c r="GL314" s="164"/>
      <c r="GM314" s="164"/>
      <c r="GN314" s="164"/>
      <c r="GO314" s="164"/>
      <c r="GP314" s="164"/>
      <c r="GQ314" s="164"/>
      <c r="GR314" s="164"/>
      <c r="GS314" s="164"/>
      <c r="GT314" s="164"/>
      <c r="GU314" s="164"/>
      <c r="GV314" s="164"/>
      <c r="GW314" s="164"/>
      <c r="GX314" s="164"/>
      <c r="GY314" s="164"/>
      <c r="GZ314" s="164"/>
      <c r="HA314" s="164"/>
      <c r="HB314" s="164"/>
      <c r="HC314" s="164"/>
      <c r="HD314" s="164"/>
      <c r="HE314" s="164"/>
      <c r="HF314" s="164"/>
      <c r="HG314" s="164"/>
      <c r="HH314" s="164"/>
      <c r="HI314" s="164"/>
      <c r="HJ314" s="164"/>
      <c r="HK314" s="164"/>
      <c r="HL314" s="164"/>
      <c r="HM314" s="164"/>
      <c r="HN314" s="164"/>
      <c r="HO314" s="164"/>
      <c r="HP314" s="164"/>
      <c r="HQ314" s="164"/>
      <c r="HR314" s="164"/>
      <c r="HS314" s="164"/>
      <c r="HT314" s="164"/>
      <c r="HU314" s="164"/>
      <c r="HV314" s="164"/>
      <c r="HW314" s="164"/>
      <c r="HX314" s="164"/>
      <c r="HY314" s="164"/>
      <c r="HZ314" s="164"/>
      <c r="IA314" s="164"/>
      <c r="IB314" s="164"/>
      <c r="IC314" s="164"/>
      <c r="ID314" s="164"/>
      <c r="IE314" s="164"/>
      <c r="IF314" s="164"/>
      <c r="IG314" s="164"/>
      <c r="IH314" s="164"/>
      <c r="II314" s="164"/>
      <c r="IJ314" s="164"/>
      <c r="IK314" s="164"/>
      <c r="IL314" s="164"/>
      <c r="IM314" s="164"/>
      <c r="IN314" s="164"/>
      <c r="IO314" s="164"/>
      <c r="IP314" s="164"/>
      <c r="IQ314" s="164"/>
      <c r="IR314" s="164"/>
      <c r="IS314" s="164"/>
      <c r="IT314" s="164"/>
      <c r="IU314" s="164"/>
      <c r="IV314" s="164"/>
      <c r="IW314" s="164"/>
      <c r="IX314" s="164"/>
      <c r="IY314" s="164"/>
      <c r="IZ314" s="164"/>
    </row>
    <row r="315" spans="23:260" ht="5.15" customHeight="1" x14ac:dyDescent="0.35">
      <c r="BQ315" s="164"/>
      <c r="BR315" s="164"/>
      <c r="DM315" s="164"/>
      <c r="DN315" s="164"/>
      <c r="DO315" s="164"/>
      <c r="DP315" s="164"/>
      <c r="DQ315" s="164"/>
      <c r="DR315" s="164"/>
      <c r="DS315" s="164"/>
      <c r="DT315" s="164"/>
      <c r="DU315" s="164"/>
      <c r="DV315" s="164"/>
      <c r="DW315" s="164"/>
      <c r="DX315" s="164"/>
      <c r="DY315" s="164"/>
      <c r="DZ315" s="164"/>
      <c r="EA315" s="164"/>
      <c r="EB315" s="164"/>
      <c r="EC315" s="164"/>
      <c r="ED315" s="164"/>
      <c r="EE315" s="164"/>
      <c r="EF315" s="164"/>
      <c r="EG315" s="164"/>
      <c r="EH315" s="164"/>
      <c r="EI315" s="164"/>
      <c r="EJ315" s="164"/>
      <c r="EK315" s="164"/>
      <c r="EL315" s="164"/>
      <c r="EM315" s="164"/>
      <c r="EN315" s="164"/>
      <c r="EO315" s="164"/>
      <c r="EP315" s="164"/>
      <c r="EQ315" s="164"/>
      <c r="ER315" s="164"/>
      <c r="ES315" s="164"/>
      <c r="ET315" s="164"/>
      <c r="EU315" s="164"/>
      <c r="EV315" s="164"/>
      <c r="EW315" s="164"/>
      <c r="EX315" s="164"/>
      <c r="EY315" s="164"/>
      <c r="EZ315" s="164"/>
      <c r="FA315" s="164"/>
      <c r="FB315" s="164"/>
      <c r="FC315" s="164"/>
      <c r="FD315" s="164"/>
      <c r="FE315" s="164"/>
      <c r="FF315" s="164"/>
      <c r="FG315" s="164"/>
      <c r="FH315" s="164"/>
      <c r="FI315" s="164"/>
      <c r="FJ315" s="164"/>
      <c r="FK315" s="164"/>
      <c r="FL315" s="164"/>
      <c r="FM315" s="164"/>
      <c r="FN315" s="164"/>
      <c r="FO315" s="164"/>
      <c r="FP315" s="164"/>
      <c r="FQ315" s="164"/>
      <c r="FR315" s="164"/>
      <c r="FS315" s="164"/>
      <c r="FT315" s="164"/>
      <c r="FU315" s="164"/>
      <c r="FV315" s="164"/>
      <c r="FW315" s="164"/>
      <c r="FX315" s="164"/>
      <c r="FY315" s="164"/>
      <c r="FZ315" s="164"/>
      <c r="GA315" s="164"/>
      <c r="GB315" s="164"/>
      <c r="GC315" s="164"/>
      <c r="GD315" s="164"/>
      <c r="GE315" s="164"/>
      <c r="GF315" s="164"/>
      <c r="GG315" s="164"/>
      <c r="GH315" s="164"/>
      <c r="GI315" s="164"/>
      <c r="GJ315" s="164"/>
      <c r="GK315" s="164"/>
      <c r="GL315" s="164"/>
      <c r="GM315" s="164"/>
      <c r="GN315" s="164"/>
      <c r="GO315" s="164"/>
      <c r="GP315" s="164"/>
      <c r="GQ315" s="164"/>
      <c r="GR315" s="164"/>
      <c r="GS315" s="164"/>
      <c r="GT315" s="164"/>
      <c r="GU315" s="164"/>
      <c r="GV315" s="164"/>
      <c r="GW315" s="164"/>
      <c r="GX315" s="164"/>
      <c r="GY315" s="164"/>
      <c r="GZ315" s="164"/>
      <c r="HA315" s="164"/>
      <c r="HB315" s="164"/>
      <c r="HC315" s="164"/>
      <c r="HD315" s="164"/>
      <c r="HE315" s="164"/>
      <c r="HF315" s="164"/>
      <c r="HG315" s="164"/>
      <c r="HH315" s="164"/>
      <c r="HI315" s="164"/>
      <c r="HJ315" s="164"/>
      <c r="HK315" s="164"/>
      <c r="HL315" s="164"/>
      <c r="HM315" s="164"/>
      <c r="HN315" s="164"/>
      <c r="HO315" s="164"/>
      <c r="HP315" s="164"/>
      <c r="HQ315" s="164"/>
      <c r="HR315" s="164"/>
      <c r="HS315" s="164"/>
      <c r="HT315" s="164"/>
      <c r="HU315" s="164"/>
      <c r="HV315" s="164"/>
      <c r="HW315" s="164"/>
      <c r="HX315" s="164"/>
      <c r="HY315" s="164"/>
      <c r="HZ315" s="164"/>
      <c r="IA315" s="164"/>
      <c r="IB315" s="164"/>
      <c r="IC315" s="164"/>
      <c r="ID315" s="164"/>
      <c r="IE315" s="164"/>
      <c r="IF315" s="164"/>
      <c r="IG315" s="164"/>
      <c r="IH315" s="164"/>
      <c r="II315" s="164"/>
      <c r="IJ315" s="164"/>
      <c r="IK315" s="164"/>
      <c r="IL315" s="164"/>
      <c r="IM315" s="164"/>
      <c r="IN315" s="164"/>
      <c r="IO315" s="164"/>
      <c r="IP315" s="164"/>
      <c r="IQ315" s="164"/>
      <c r="IR315" s="164"/>
      <c r="IS315" s="164"/>
      <c r="IT315" s="164"/>
      <c r="IU315" s="164"/>
      <c r="IV315" s="164"/>
      <c r="IW315" s="164"/>
      <c r="IX315" s="164"/>
      <c r="IY315" s="164"/>
      <c r="IZ315" s="164"/>
    </row>
    <row r="316" spans="23:260" ht="5.15" customHeight="1" x14ac:dyDescent="0.35">
      <c r="BQ316" s="164"/>
      <c r="BR316" s="164"/>
      <c r="DM316" s="164"/>
      <c r="DN316" s="164"/>
      <c r="DO316" s="164"/>
      <c r="DP316" s="164"/>
      <c r="DQ316" s="164"/>
      <c r="DR316" s="164"/>
      <c r="DS316" s="164"/>
      <c r="DT316" s="164"/>
      <c r="DU316" s="164"/>
      <c r="DV316" s="164"/>
      <c r="DW316" s="164"/>
      <c r="DX316" s="164"/>
      <c r="DY316" s="164"/>
      <c r="DZ316" s="164"/>
      <c r="EA316" s="164"/>
      <c r="EB316" s="164"/>
      <c r="EC316" s="164"/>
      <c r="ED316" s="164"/>
      <c r="EE316" s="164"/>
      <c r="EF316" s="164"/>
      <c r="EG316" s="164"/>
      <c r="EH316" s="164"/>
      <c r="EI316" s="164"/>
      <c r="EJ316" s="164"/>
      <c r="EK316" s="164"/>
      <c r="EL316" s="164"/>
      <c r="EM316" s="164"/>
      <c r="EN316" s="164"/>
      <c r="EO316" s="164"/>
      <c r="EP316" s="164"/>
      <c r="EQ316" s="164"/>
      <c r="ER316" s="164"/>
      <c r="ES316" s="164"/>
      <c r="ET316" s="164"/>
      <c r="EU316" s="164"/>
      <c r="EV316" s="164"/>
      <c r="EW316" s="164"/>
      <c r="EX316" s="164"/>
      <c r="EY316" s="164"/>
      <c r="EZ316" s="164"/>
      <c r="FA316" s="164"/>
      <c r="FB316" s="164"/>
      <c r="FC316" s="164"/>
      <c r="FD316" s="164"/>
      <c r="FE316" s="164"/>
      <c r="FF316" s="164"/>
      <c r="FG316" s="164"/>
      <c r="FH316" s="164"/>
      <c r="FI316" s="164"/>
      <c r="FJ316" s="164"/>
      <c r="FK316" s="164"/>
      <c r="FL316" s="164"/>
      <c r="FM316" s="164"/>
      <c r="FN316" s="164"/>
      <c r="FO316" s="164"/>
      <c r="FP316" s="164"/>
      <c r="FQ316" s="164"/>
      <c r="FR316" s="164"/>
      <c r="FS316" s="164"/>
      <c r="FT316" s="164"/>
      <c r="FU316" s="164"/>
      <c r="FV316" s="164"/>
      <c r="FW316" s="164"/>
      <c r="FX316" s="164"/>
      <c r="FY316" s="164"/>
      <c r="FZ316" s="164"/>
      <c r="GA316" s="164"/>
      <c r="GB316" s="164"/>
      <c r="GC316" s="164"/>
      <c r="GD316" s="164"/>
      <c r="GE316" s="164"/>
      <c r="GF316" s="164"/>
      <c r="GG316" s="164"/>
      <c r="GH316" s="164"/>
      <c r="GI316" s="164"/>
      <c r="GJ316" s="164"/>
      <c r="GK316" s="164"/>
      <c r="GL316" s="164"/>
      <c r="GM316" s="164"/>
      <c r="GN316" s="164"/>
      <c r="GO316" s="164"/>
      <c r="GP316" s="164"/>
      <c r="GQ316" s="164"/>
      <c r="GR316" s="164"/>
      <c r="GS316" s="164"/>
      <c r="GT316" s="164"/>
      <c r="GU316" s="164"/>
      <c r="GV316" s="164"/>
      <c r="GW316" s="164"/>
      <c r="GX316" s="164"/>
      <c r="GY316" s="164"/>
      <c r="GZ316" s="164"/>
      <c r="HA316" s="164"/>
      <c r="HB316" s="164"/>
      <c r="HC316" s="164"/>
      <c r="HD316" s="164"/>
      <c r="HE316" s="164"/>
      <c r="HF316" s="164"/>
      <c r="HG316" s="164"/>
      <c r="HH316" s="164"/>
      <c r="HI316" s="164"/>
      <c r="HJ316" s="164"/>
      <c r="HK316" s="164"/>
      <c r="HL316" s="164"/>
      <c r="HM316" s="164"/>
      <c r="HN316" s="164"/>
      <c r="HO316" s="164"/>
      <c r="HP316" s="164"/>
      <c r="HQ316" s="164"/>
      <c r="HR316" s="164"/>
      <c r="HS316" s="164"/>
      <c r="HT316" s="164"/>
      <c r="HU316" s="164"/>
      <c r="HV316" s="164"/>
      <c r="HW316" s="164"/>
      <c r="HX316" s="164"/>
      <c r="HY316" s="164"/>
      <c r="HZ316" s="164"/>
      <c r="IA316" s="164"/>
      <c r="IB316" s="164"/>
      <c r="IC316" s="164"/>
      <c r="ID316" s="164"/>
      <c r="IE316" s="164"/>
      <c r="IF316" s="164"/>
      <c r="IG316" s="164"/>
      <c r="IH316" s="164"/>
      <c r="II316" s="164"/>
      <c r="IJ316" s="164"/>
      <c r="IK316" s="164"/>
      <c r="IL316" s="164"/>
      <c r="IM316" s="164"/>
      <c r="IN316" s="164"/>
      <c r="IO316" s="164"/>
      <c r="IP316" s="164"/>
      <c r="IQ316" s="164"/>
      <c r="IR316" s="164"/>
      <c r="IS316" s="164"/>
      <c r="IT316" s="164"/>
      <c r="IU316" s="164"/>
      <c r="IV316" s="164"/>
      <c r="IW316" s="164"/>
      <c r="IX316" s="164"/>
      <c r="IY316" s="164"/>
      <c r="IZ316" s="164"/>
    </row>
    <row r="317" spans="23:260" ht="5.15" customHeight="1" x14ac:dyDescent="0.35">
      <c r="DO317" s="164"/>
      <c r="DP317" s="164"/>
      <c r="DQ317" s="164"/>
      <c r="DR317" s="164"/>
      <c r="DS317" s="164"/>
      <c r="DT317" s="164"/>
      <c r="DU317" s="164"/>
      <c r="DV317" s="164"/>
      <c r="DW317" s="164"/>
      <c r="DX317" s="164"/>
      <c r="DY317" s="164"/>
      <c r="DZ317" s="164"/>
      <c r="EA317" s="164"/>
      <c r="EB317" s="164"/>
      <c r="EC317" s="164"/>
      <c r="ED317" s="164"/>
      <c r="EE317" s="164"/>
      <c r="EF317" s="164"/>
      <c r="EG317" s="164"/>
      <c r="EH317" s="164"/>
      <c r="EI317" s="164"/>
      <c r="EJ317" s="164"/>
      <c r="EK317" s="164"/>
      <c r="EL317" s="164"/>
      <c r="EM317" s="164"/>
      <c r="EN317" s="164"/>
      <c r="EO317" s="164"/>
      <c r="EP317" s="164"/>
      <c r="EQ317" s="164"/>
      <c r="ER317" s="164"/>
      <c r="ES317" s="164"/>
      <c r="ET317" s="164"/>
      <c r="EU317" s="164"/>
      <c r="EV317" s="164"/>
      <c r="EW317" s="164"/>
      <c r="EX317" s="164"/>
      <c r="EY317" s="164"/>
      <c r="EZ317" s="164"/>
      <c r="FA317" s="164"/>
      <c r="FB317" s="164"/>
      <c r="FC317" s="164"/>
      <c r="FD317" s="164"/>
      <c r="FE317" s="164"/>
      <c r="FF317" s="164"/>
      <c r="FG317" s="164"/>
      <c r="FH317" s="164"/>
      <c r="FI317" s="164"/>
      <c r="FK317" s="164"/>
      <c r="FL317" s="164"/>
      <c r="FM317" s="164"/>
      <c r="FN317" s="164"/>
      <c r="FO317" s="164"/>
      <c r="FP317" s="164"/>
      <c r="FQ317" s="164"/>
      <c r="FR317" s="164"/>
      <c r="FS317" s="164"/>
      <c r="FT317" s="164"/>
      <c r="FU317" s="164"/>
      <c r="FV317" s="164"/>
      <c r="FW317" s="164"/>
      <c r="FX317" s="164"/>
      <c r="FY317" s="164"/>
      <c r="FZ317" s="164"/>
      <c r="GA317" s="164"/>
      <c r="GB317" s="164"/>
      <c r="GC317" s="164"/>
      <c r="GD317" s="164"/>
      <c r="GE317" s="164"/>
      <c r="GF317" s="164"/>
      <c r="GG317" s="164"/>
      <c r="GH317" s="164"/>
      <c r="GI317" s="164"/>
      <c r="GJ317" s="164"/>
      <c r="GK317" s="164"/>
      <c r="GL317" s="164"/>
      <c r="GM317" s="164"/>
      <c r="GN317" s="164"/>
      <c r="GO317" s="164"/>
      <c r="GP317" s="164"/>
      <c r="GQ317" s="164"/>
      <c r="GR317" s="164"/>
      <c r="GS317" s="164"/>
      <c r="GT317" s="164"/>
      <c r="GU317" s="164"/>
      <c r="GV317" s="164"/>
      <c r="GW317" s="164"/>
      <c r="GX317" s="164"/>
      <c r="GY317" s="164"/>
      <c r="GZ317" s="164"/>
      <c r="HA317" s="164"/>
      <c r="HB317" s="164"/>
      <c r="HC317" s="164"/>
      <c r="HD317" s="164"/>
      <c r="HE317" s="164"/>
      <c r="HF317" s="164"/>
      <c r="HG317" s="164"/>
      <c r="HH317" s="164"/>
      <c r="HI317" s="164"/>
      <c r="HJ317" s="164"/>
      <c r="HK317" s="164"/>
      <c r="HL317" s="164"/>
      <c r="HM317" s="164"/>
      <c r="HN317" s="164"/>
      <c r="HO317" s="164"/>
      <c r="HP317" s="164"/>
      <c r="HQ317" s="164"/>
      <c r="HR317" s="164"/>
      <c r="HS317" s="164"/>
      <c r="HT317" s="164"/>
      <c r="HU317" s="164"/>
      <c r="HV317" s="164"/>
      <c r="HW317" s="164"/>
      <c r="HX317" s="164"/>
      <c r="HY317" s="164"/>
      <c r="HZ317" s="164"/>
      <c r="IA317" s="164"/>
      <c r="IB317" s="164"/>
      <c r="IC317" s="164"/>
      <c r="ID317" s="164"/>
      <c r="IE317" s="164"/>
      <c r="IF317" s="164"/>
      <c r="IG317" s="164"/>
      <c r="IH317" s="164"/>
      <c r="II317" s="164"/>
      <c r="IJ317" s="164"/>
      <c r="IK317" s="164"/>
      <c r="IL317" s="164"/>
      <c r="IM317" s="164"/>
      <c r="IN317" s="164"/>
      <c r="IO317" s="164"/>
      <c r="IP317" s="164"/>
      <c r="IQ317" s="164"/>
      <c r="IR317" s="164"/>
      <c r="IS317" s="164"/>
      <c r="IT317" s="164"/>
      <c r="IU317" s="164"/>
      <c r="IV317" s="164"/>
      <c r="IW317" s="164"/>
      <c r="IX317" s="164"/>
      <c r="IY317" s="164"/>
      <c r="IZ317" s="164"/>
    </row>
    <row r="318" spans="23:260" ht="5.15" customHeight="1" x14ac:dyDescent="0.35">
      <c r="W318" s="164"/>
      <c r="X318" s="164"/>
      <c r="Y318" s="164"/>
      <c r="Z318" s="164"/>
      <c r="AA318" s="164"/>
      <c r="AB318" s="164"/>
      <c r="AC318" s="164"/>
      <c r="AD318" s="164"/>
      <c r="AE318" s="164"/>
      <c r="AF318" s="164"/>
      <c r="AG318" s="164"/>
      <c r="AH318" s="164"/>
      <c r="AI318" s="164"/>
      <c r="AJ318" s="164"/>
      <c r="AK318" s="164"/>
      <c r="AL318" s="164"/>
      <c r="AM318" s="164"/>
      <c r="AN318" s="164"/>
      <c r="AO318" s="164"/>
      <c r="AP318" s="164"/>
      <c r="AQ318" s="164"/>
      <c r="AR318" s="164"/>
      <c r="AS318" s="164"/>
      <c r="AT318" s="164"/>
      <c r="AU318" s="164"/>
      <c r="AV318" s="164"/>
      <c r="AW318" s="164"/>
      <c r="AX318" s="164"/>
      <c r="AY318" s="164"/>
      <c r="AZ318" s="164"/>
      <c r="BA318" s="164"/>
      <c r="BB318" s="164"/>
      <c r="BC318" s="164"/>
      <c r="BD318" s="164"/>
      <c r="BE318" s="164"/>
      <c r="BF318" s="164"/>
      <c r="BG318" s="164"/>
      <c r="BH318" s="164"/>
      <c r="BI318" s="164"/>
      <c r="BJ318" s="164"/>
      <c r="BK318" s="164"/>
      <c r="BL318" s="164">
        <v>3</v>
      </c>
      <c r="BM318" s="164"/>
      <c r="BN318" s="164"/>
      <c r="BO318" s="164"/>
      <c r="BP318" s="164"/>
      <c r="DM318" s="164"/>
      <c r="DO318" s="164"/>
      <c r="DP318" s="164"/>
      <c r="DQ318" s="164"/>
      <c r="DR318" s="164"/>
      <c r="DS318" s="164"/>
      <c r="DT318" s="164"/>
      <c r="DU318" s="164"/>
      <c r="DV318" s="164"/>
      <c r="DW318" s="164"/>
      <c r="DX318" s="164"/>
      <c r="DY318" s="164"/>
      <c r="DZ318" s="164"/>
      <c r="EA318" s="164"/>
      <c r="EB318" s="164"/>
      <c r="EC318" s="164"/>
      <c r="ED318" s="164"/>
      <c r="EE318" s="164"/>
      <c r="EF318" s="164"/>
      <c r="EG318" s="164"/>
      <c r="EH318" s="164"/>
      <c r="EI318" s="164"/>
      <c r="EJ318" s="164"/>
      <c r="EK318" s="164"/>
      <c r="EL318" s="164"/>
      <c r="EM318" s="164"/>
      <c r="EN318" s="164"/>
      <c r="EO318" s="164"/>
      <c r="EP318" s="164"/>
      <c r="EQ318" s="164"/>
      <c r="ER318" s="164"/>
      <c r="ES318" s="164"/>
      <c r="ET318" s="164"/>
      <c r="EU318" s="164"/>
      <c r="EV318" s="164"/>
      <c r="EW318" s="164"/>
      <c r="EX318" s="164"/>
      <c r="EY318" s="164"/>
      <c r="EZ318" s="164"/>
      <c r="FA318" s="164"/>
      <c r="FB318" s="164"/>
      <c r="FC318" s="164"/>
      <c r="FD318" s="164">
        <v>3</v>
      </c>
      <c r="FE318" s="164"/>
      <c r="FF318" s="164"/>
      <c r="FG318" s="164"/>
      <c r="FH318" s="164"/>
      <c r="FI318" s="164"/>
      <c r="FK318" s="164"/>
      <c r="FL318" s="164"/>
      <c r="FM318" s="164"/>
      <c r="FN318" s="164"/>
      <c r="FO318" s="164"/>
      <c r="FP318" s="164"/>
      <c r="FQ318" s="164"/>
      <c r="FR318" s="164"/>
      <c r="FS318" s="164"/>
      <c r="FT318" s="164"/>
      <c r="FU318" s="164"/>
      <c r="FV318" s="164"/>
      <c r="FW318" s="164"/>
      <c r="FX318" s="164"/>
      <c r="FY318" s="164"/>
      <c r="FZ318" s="164"/>
      <c r="GA318" s="164"/>
      <c r="GB318" s="164"/>
      <c r="GC318" s="164"/>
      <c r="GD318" s="164"/>
      <c r="GE318" s="164"/>
      <c r="GF318" s="164"/>
      <c r="GG318" s="164"/>
      <c r="GH318" s="164"/>
      <c r="GI318" s="164"/>
      <c r="GJ318" s="164"/>
      <c r="GK318" s="164"/>
      <c r="GL318" s="164"/>
      <c r="GM318" s="164"/>
      <c r="GN318" s="164"/>
      <c r="GO318" s="164"/>
      <c r="GP318" s="164"/>
      <c r="GQ318" s="164"/>
      <c r="GR318" s="164"/>
      <c r="GS318" s="164"/>
      <c r="GT318" s="164"/>
      <c r="GU318" s="164"/>
      <c r="GV318" s="164"/>
      <c r="GW318" s="164"/>
      <c r="GX318" s="164"/>
      <c r="GY318" s="164"/>
      <c r="GZ318" s="164"/>
      <c r="HA318" s="164"/>
      <c r="HB318" s="164"/>
      <c r="HC318" s="164"/>
      <c r="HD318" s="164"/>
      <c r="HE318" s="164"/>
      <c r="HF318" s="164"/>
      <c r="HG318" s="164"/>
      <c r="HH318" s="164"/>
      <c r="HI318" s="164"/>
      <c r="HJ318" s="164"/>
      <c r="HK318" s="164"/>
      <c r="HL318" s="164"/>
      <c r="HM318" s="164"/>
      <c r="HN318" s="164"/>
      <c r="HO318" s="164"/>
      <c r="HP318" s="164"/>
      <c r="HQ318" s="164"/>
      <c r="HR318" s="164"/>
      <c r="HS318" s="164"/>
      <c r="HT318" s="164"/>
      <c r="HU318" s="164"/>
      <c r="HV318" s="164"/>
      <c r="HW318" s="164"/>
      <c r="HX318" s="164"/>
      <c r="HY318" s="164"/>
      <c r="HZ318" s="164"/>
      <c r="IA318" s="164"/>
      <c r="IB318" s="164"/>
      <c r="IC318" s="164"/>
      <c r="ID318" s="164"/>
      <c r="IE318" s="164"/>
      <c r="IF318" s="164"/>
      <c r="IG318" s="164"/>
      <c r="IH318" s="164"/>
      <c r="II318" s="164"/>
      <c r="IJ318" s="164"/>
      <c r="IK318" s="164"/>
      <c r="IL318" s="164"/>
      <c r="IM318" s="164"/>
      <c r="IN318" s="164"/>
      <c r="IO318" s="164"/>
      <c r="IP318" s="164"/>
      <c r="IQ318" s="164"/>
      <c r="IR318" s="164"/>
      <c r="IS318" s="164"/>
      <c r="IT318" s="164"/>
      <c r="IU318" s="164"/>
      <c r="IV318" s="164"/>
      <c r="IW318" s="164"/>
      <c r="IX318" s="164"/>
      <c r="IY318" s="164"/>
      <c r="IZ318" s="164"/>
    </row>
    <row r="319" spans="23:260" ht="5.15" customHeight="1" x14ac:dyDescent="0.35">
      <c r="W319" s="164"/>
      <c r="X319" s="164"/>
      <c r="Y319" s="164"/>
      <c r="Z319" s="164"/>
      <c r="AA319" s="164"/>
      <c r="AB319" s="164"/>
      <c r="AC319" s="164"/>
      <c r="AD319" s="164"/>
      <c r="AE319" s="164"/>
      <c r="AF319" s="164"/>
      <c r="AG319" s="164"/>
      <c r="AH319" s="164"/>
      <c r="AI319" s="164"/>
      <c r="AJ319" s="164"/>
      <c r="AK319" s="164"/>
      <c r="AL319" s="164"/>
      <c r="AM319" s="164"/>
      <c r="AN319" s="164"/>
      <c r="AO319" s="164"/>
      <c r="AP319" s="164"/>
      <c r="AQ319" s="164"/>
      <c r="AR319" s="164"/>
      <c r="AS319" s="164"/>
      <c r="AT319" s="164"/>
      <c r="AU319" s="164"/>
      <c r="AV319" s="164"/>
      <c r="AW319" s="164"/>
      <c r="AX319" s="164"/>
      <c r="AY319" s="164"/>
      <c r="AZ319" s="164"/>
      <c r="BA319" s="164"/>
      <c r="BB319" s="164"/>
      <c r="BC319" s="164"/>
      <c r="BD319" s="164"/>
      <c r="BE319" s="164"/>
      <c r="BF319" s="164"/>
      <c r="BG319" s="164"/>
      <c r="BH319" s="164"/>
      <c r="BI319" s="164"/>
      <c r="BJ319" s="164"/>
      <c r="BK319" s="164"/>
      <c r="BL319" s="164"/>
      <c r="BM319" s="164"/>
      <c r="BN319" s="164"/>
      <c r="BO319" s="164"/>
      <c r="BP319" s="164"/>
      <c r="DM319" s="164"/>
      <c r="DO319" s="164"/>
      <c r="DP319" s="164"/>
      <c r="DQ319" s="164"/>
      <c r="DR319" s="164"/>
      <c r="DS319" s="164"/>
      <c r="DT319" s="164"/>
      <c r="DU319" s="164"/>
      <c r="DV319" s="164"/>
      <c r="DW319" s="164"/>
      <c r="DX319" s="164"/>
      <c r="DY319" s="164"/>
      <c r="DZ319" s="164"/>
      <c r="EA319" s="164"/>
      <c r="EB319" s="164"/>
      <c r="EC319" s="164"/>
      <c r="ED319" s="164"/>
      <c r="EE319" s="164"/>
      <c r="EF319" s="164"/>
      <c r="EG319" s="164"/>
      <c r="EH319" s="164"/>
      <c r="EI319" s="164"/>
      <c r="EJ319" s="164"/>
      <c r="EK319" s="164"/>
      <c r="EL319" s="164"/>
      <c r="EM319" s="164"/>
      <c r="EN319" s="164"/>
      <c r="EO319" s="164"/>
      <c r="EP319" s="164"/>
      <c r="EQ319" s="164"/>
      <c r="ER319" s="164"/>
      <c r="ES319" s="164"/>
      <c r="ET319" s="164"/>
      <c r="EU319" s="164"/>
      <c r="EV319" s="164"/>
      <c r="EW319" s="164"/>
      <c r="EX319" s="164"/>
      <c r="EY319" s="164"/>
      <c r="EZ319" s="164"/>
      <c r="FA319" s="164"/>
      <c r="FB319" s="164"/>
      <c r="FC319" s="164"/>
      <c r="FD319" s="164"/>
      <c r="FE319" s="164"/>
      <c r="FF319" s="164"/>
      <c r="FG319" s="164"/>
      <c r="FH319" s="164"/>
      <c r="FI319" s="164"/>
      <c r="FK319" s="164"/>
      <c r="FL319" s="164"/>
      <c r="FM319" s="164"/>
      <c r="FN319" s="164"/>
      <c r="FO319" s="164"/>
      <c r="FP319" s="164"/>
      <c r="FQ319" s="164"/>
      <c r="FR319" s="164"/>
      <c r="FS319" s="164"/>
      <c r="FT319" s="164"/>
      <c r="FU319" s="164"/>
      <c r="FV319" s="164"/>
      <c r="FW319" s="164"/>
      <c r="FX319" s="164"/>
      <c r="FY319" s="164"/>
      <c r="FZ319" s="164"/>
      <c r="GA319" s="164"/>
      <c r="GB319" s="164"/>
      <c r="GC319" s="164"/>
      <c r="GD319" s="164"/>
      <c r="GE319" s="164"/>
      <c r="GF319" s="164"/>
      <c r="GG319" s="164"/>
      <c r="GH319" s="164"/>
      <c r="GI319" s="164"/>
      <c r="GJ319" s="164"/>
      <c r="GK319" s="164"/>
      <c r="GL319" s="164"/>
      <c r="GM319" s="164"/>
      <c r="GN319" s="164"/>
      <c r="GO319" s="164"/>
      <c r="GP319" s="164"/>
      <c r="GQ319" s="164"/>
      <c r="GR319" s="164"/>
      <c r="GS319" s="164"/>
      <c r="GT319" s="164"/>
      <c r="GU319" s="164"/>
      <c r="GV319" s="164"/>
      <c r="GW319" s="164"/>
      <c r="GX319" s="164"/>
      <c r="GY319" s="164"/>
      <c r="GZ319" s="164"/>
      <c r="HA319" s="164"/>
      <c r="HB319" s="164"/>
      <c r="HC319" s="164"/>
      <c r="HD319" s="164"/>
      <c r="HE319" s="164"/>
      <c r="HF319" s="164"/>
      <c r="HG319" s="164"/>
      <c r="HH319" s="164"/>
      <c r="HI319" s="164"/>
      <c r="HJ319" s="164"/>
      <c r="HK319" s="164"/>
      <c r="HL319" s="164"/>
      <c r="HM319" s="164"/>
      <c r="HN319" s="164"/>
      <c r="HO319" s="164"/>
      <c r="HP319" s="164"/>
      <c r="HQ319" s="164"/>
      <c r="HR319" s="164"/>
      <c r="HS319" s="164"/>
      <c r="HT319" s="164"/>
      <c r="HU319" s="164"/>
      <c r="HV319" s="164"/>
      <c r="HW319" s="164"/>
      <c r="HX319" s="164"/>
      <c r="HY319" s="164"/>
      <c r="HZ319" s="164"/>
      <c r="IA319" s="164"/>
      <c r="IB319" s="164"/>
      <c r="IC319" s="164"/>
      <c r="ID319" s="164"/>
      <c r="IE319" s="164"/>
      <c r="IF319" s="164"/>
      <c r="IG319" s="164"/>
      <c r="IH319" s="164"/>
      <c r="II319" s="164"/>
      <c r="IJ319" s="164"/>
      <c r="IK319" s="164"/>
      <c r="IL319" s="164"/>
      <c r="IM319" s="164"/>
      <c r="IN319" s="164"/>
      <c r="IO319" s="164"/>
      <c r="IP319" s="164"/>
      <c r="IQ319" s="164"/>
      <c r="IR319" s="164"/>
      <c r="IS319" s="164"/>
      <c r="IT319" s="164"/>
      <c r="IU319" s="164"/>
      <c r="IV319" s="164"/>
      <c r="IW319" s="164"/>
      <c r="IX319" s="164"/>
      <c r="IY319" s="164"/>
      <c r="IZ319" s="164"/>
    </row>
    <row r="320" spans="23:260" ht="5.15" customHeight="1" x14ac:dyDescent="0.35">
      <c r="W320" s="164"/>
      <c r="X320" s="164"/>
      <c r="Y320" s="164"/>
      <c r="Z320" s="164"/>
      <c r="AA320" s="164"/>
      <c r="AB320" s="164"/>
      <c r="AC320" s="164"/>
      <c r="AD320" s="164"/>
      <c r="AE320" s="164"/>
      <c r="AF320" s="164"/>
      <c r="AG320" s="164"/>
      <c r="AH320" s="164"/>
      <c r="AI320" s="164"/>
      <c r="AJ320" s="164"/>
      <c r="AK320" s="164"/>
      <c r="AL320" s="164"/>
      <c r="AM320" s="164"/>
      <c r="AN320" s="164"/>
      <c r="AO320" s="164"/>
      <c r="AP320" s="164"/>
      <c r="AQ320" s="164"/>
      <c r="AR320" s="164"/>
      <c r="AS320" s="164"/>
      <c r="AT320" s="164"/>
      <c r="AU320" s="164"/>
      <c r="AV320" s="164"/>
      <c r="AW320" s="164"/>
      <c r="AX320" s="164"/>
      <c r="AY320" s="164"/>
      <c r="AZ320" s="164"/>
      <c r="BA320" s="164"/>
      <c r="BB320" s="164"/>
      <c r="BC320" s="164"/>
      <c r="BD320" s="164"/>
      <c r="BE320" s="164"/>
      <c r="BF320" s="164"/>
      <c r="BG320" s="164"/>
      <c r="BH320" s="164"/>
      <c r="BI320" s="164"/>
      <c r="BJ320" s="164"/>
      <c r="BK320" s="164"/>
      <c r="BL320" s="164"/>
      <c r="BM320" s="164"/>
      <c r="BN320" s="164"/>
      <c r="BO320" s="164"/>
      <c r="BP320" s="164"/>
      <c r="DM320" s="164"/>
      <c r="DO320" s="164"/>
      <c r="DP320" s="164"/>
      <c r="DQ320" s="164"/>
      <c r="DR320" s="164"/>
      <c r="DS320" s="164"/>
      <c r="DT320" s="164"/>
      <c r="DU320" s="164"/>
      <c r="DV320" s="164"/>
      <c r="DW320" s="164"/>
      <c r="DX320" s="164"/>
      <c r="DY320" s="164"/>
      <c r="DZ320" s="164"/>
      <c r="EA320" s="164"/>
      <c r="EB320" s="164"/>
      <c r="EC320" s="164"/>
      <c r="ED320" s="164"/>
      <c r="EE320" s="164"/>
      <c r="EF320" s="164"/>
      <c r="EG320" s="164"/>
      <c r="EH320" s="164"/>
      <c r="EI320" s="164"/>
      <c r="EJ320" s="164"/>
      <c r="EK320" s="164"/>
      <c r="EL320" s="164"/>
      <c r="EM320" s="164"/>
      <c r="EN320" s="164"/>
      <c r="EO320" s="164"/>
      <c r="EP320" s="164"/>
      <c r="EQ320" s="164"/>
      <c r="ER320" s="164"/>
      <c r="ES320" s="164"/>
      <c r="ET320" s="164"/>
      <c r="EU320" s="164"/>
      <c r="EV320" s="164"/>
      <c r="EW320" s="164"/>
      <c r="EX320" s="164"/>
      <c r="EY320" s="164"/>
      <c r="EZ320" s="164"/>
      <c r="FA320" s="164"/>
      <c r="FB320" s="164"/>
      <c r="FC320" s="164"/>
      <c r="FD320" s="164"/>
      <c r="FE320" s="164"/>
      <c r="FF320" s="164"/>
      <c r="FG320" s="164"/>
      <c r="FH320" s="164"/>
      <c r="FI320" s="164"/>
      <c r="FK320" s="164"/>
      <c r="FL320" s="164"/>
      <c r="FM320" s="164"/>
      <c r="FN320" s="164"/>
      <c r="FO320" s="164"/>
      <c r="FP320" s="164"/>
      <c r="FQ320" s="164"/>
      <c r="FR320" s="164"/>
      <c r="FS320" s="164"/>
      <c r="FT320" s="164"/>
      <c r="FU320" s="164"/>
      <c r="FV320" s="164"/>
      <c r="FW320" s="164"/>
      <c r="FX320" s="164"/>
      <c r="FY320" s="164"/>
      <c r="FZ320" s="164"/>
      <c r="GA320" s="164"/>
      <c r="GB320" s="164"/>
      <c r="GC320" s="164"/>
      <c r="GD320" s="164"/>
      <c r="GE320" s="164"/>
      <c r="GF320" s="164"/>
      <c r="GG320" s="164"/>
      <c r="GH320" s="164"/>
      <c r="GI320" s="164"/>
      <c r="GJ320" s="164"/>
      <c r="GK320" s="164"/>
      <c r="GL320" s="164"/>
      <c r="GM320" s="164"/>
      <c r="GN320" s="164"/>
      <c r="GO320" s="164"/>
      <c r="GP320" s="164"/>
      <c r="GQ320" s="164"/>
      <c r="GR320" s="164"/>
      <c r="GS320" s="164"/>
      <c r="GT320" s="164"/>
      <c r="GU320" s="164"/>
      <c r="GV320" s="164"/>
      <c r="GW320" s="164"/>
      <c r="GX320" s="164"/>
      <c r="GY320" s="164"/>
      <c r="GZ320" s="164"/>
      <c r="HA320" s="164"/>
      <c r="HB320" s="164"/>
      <c r="HC320" s="164"/>
      <c r="HD320" s="164"/>
      <c r="HE320" s="164"/>
      <c r="HF320" s="164"/>
      <c r="HG320" s="164"/>
      <c r="HH320" s="164"/>
      <c r="HI320" s="164"/>
      <c r="HJ320" s="164"/>
      <c r="HK320" s="164"/>
      <c r="HL320" s="164"/>
      <c r="HM320" s="164"/>
      <c r="HN320" s="164"/>
      <c r="HO320" s="164"/>
      <c r="HP320" s="164"/>
      <c r="HQ320" s="164"/>
      <c r="HR320" s="164"/>
      <c r="HS320" s="164"/>
      <c r="HT320" s="164"/>
      <c r="HU320" s="164"/>
      <c r="HV320" s="164"/>
      <c r="HW320" s="164"/>
      <c r="HX320" s="164"/>
      <c r="HY320" s="164"/>
      <c r="HZ320" s="164"/>
      <c r="IA320" s="164"/>
      <c r="IB320" s="164"/>
      <c r="IC320" s="164"/>
      <c r="ID320" s="164"/>
      <c r="IE320" s="164"/>
      <c r="IF320" s="164"/>
      <c r="IG320" s="164"/>
      <c r="IH320" s="164"/>
      <c r="II320" s="164"/>
      <c r="IJ320" s="164"/>
      <c r="IK320" s="164"/>
      <c r="IL320" s="164"/>
      <c r="IM320" s="164"/>
      <c r="IN320" s="164"/>
      <c r="IO320" s="164"/>
      <c r="IP320" s="164"/>
      <c r="IQ320" s="164"/>
      <c r="IR320" s="164"/>
      <c r="IS320" s="164"/>
      <c r="IT320" s="164"/>
      <c r="IU320" s="164"/>
      <c r="IV320" s="164"/>
      <c r="IW320" s="164"/>
      <c r="IX320" s="164"/>
      <c r="IY320" s="164"/>
      <c r="IZ320" s="164"/>
    </row>
    <row r="321" spans="23:260" ht="5.15" customHeight="1" x14ac:dyDescent="0.35">
      <c r="W321" s="164"/>
      <c r="X321" s="164"/>
      <c r="Y321" s="164"/>
      <c r="Z321" s="164"/>
      <c r="AA321" s="164"/>
      <c r="AB321" s="164"/>
      <c r="AC321" s="164"/>
      <c r="AD321" s="164"/>
      <c r="AE321" s="164"/>
      <c r="AF321" s="164"/>
      <c r="AG321" s="164"/>
      <c r="AH321" s="164"/>
      <c r="AI321" s="164"/>
      <c r="AJ321" s="164"/>
      <c r="AK321" s="164"/>
      <c r="AL321" s="164"/>
      <c r="AM321" s="164"/>
      <c r="AN321" s="164"/>
      <c r="AO321" s="164"/>
      <c r="AP321" s="164"/>
      <c r="AQ321" s="164"/>
      <c r="AR321" s="164"/>
      <c r="AS321" s="164"/>
      <c r="AT321" s="164"/>
      <c r="AU321" s="164"/>
      <c r="AV321" s="164"/>
      <c r="AW321" s="164"/>
      <c r="AX321" s="164"/>
      <c r="AY321" s="164"/>
      <c r="AZ321" s="164"/>
      <c r="BA321" s="164"/>
      <c r="BB321" s="164"/>
      <c r="BC321" s="164"/>
      <c r="BD321" s="164"/>
      <c r="BE321" s="164"/>
      <c r="BF321" s="164"/>
      <c r="BG321" s="164"/>
      <c r="BH321" s="164"/>
      <c r="BI321" s="164"/>
      <c r="BJ321" s="164"/>
      <c r="BK321" s="164"/>
      <c r="BL321" s="164"/>
      <c r="BM321" s="164"/>
      <c r="BN321" s="164"/>
      <c r="BO321" s="164"/>
      <c r="BP321" s="164"/>
      <c r="DM321" s="164"/>
      <c r="DO321" s="164"/>
      <c r="DP321" s="164"/>
      <c r="DQ321" s="164"/>
      <c r="DR321" s="164"/>
      <c r="DS321" s="164"/>
      <c r="DT321" s="164"/>
      <c r="DU321" s="164"/>
      <c r="DV321" s="164"/>
      <c r="DW321" s="164"/>
      <c r="DX321" s="164"/>
      <c r="DY321" s="164"/>
      <c r="DZ321" s="164"/>
      <c r="EA321" s="164"/>
      <c r="EB321" s="164"/>
      <c r="EC321" s="164"/>
      <c r="ED321" s="164"/>
      <c r="EE321" s="164"/>
      <c r="EF321" s="164"/>
      <c r="EG321" s="164"/>
      <c r="EH321" s="164"/>
      <c r="EI321" s="164"/>
      <c r="EJ321" s="164"/>
      <c r="EK321" s="164"/>
      <c r="EL321" s="164"/>
      <c r="EM321" s="164"/>
      <c r="EN321" s="164"/>
      <c r="EO321" s="164"/>
      <c r="EP321" s="164"/>
      <c r="EQ321" s="164"/>
      <c r="ER321" s="164"/>
      <c r="ES321" s="164"/>
      <c r="ET321" s="164"/>
      <c r="EU321" s="164"/>
      <c r="EV321" s="164"/>
      <c r="EW321" s="164"/>
      <c r="EX321" s="164"/>
      <c r="EY321" s="164"/>
      <c r="EZ321" s="164"/>
      <c r="FA321" s="164"/>
      <c r="FB321" s="164"/>
      <c r="FC321" s="164"/>
      <c r="FD321" s="164"/>
      <c r="FE321" s="164"/>
      <c r="FF321" s="164"/>
      <c r="FG321" s="164"/>
      <c r="FH321" s="164"/>
      <c r="FI321" s="164"/>
      <c r="FK321" s="164"/>
      <c r="FL321" s="164"/>
      <c r="FM321" s="164"/>
      <c r="FN321" s="164"/>
      <c r="FO321" s="164"/>
      <c r="FP321" s="164"/>
      <c r="FQ321" s="164"/>
      <c r="FR321" s="164"/>
      <c r="FS321" s="164"/>
      <c r="FT321" s="164"/>
      <c r="FU321" s="164"/>
      <c r="FV321" s="164"/>
      <c r="FW321" s="164"/>
      <c r="FX321" s="164"/>
      <c r="FY321" s="164"/>
      <c r="FZ321" s="164"/>
      <c r="GA321" s="164"/>
      <c r="GB321" s="164"/>
      <c r="GC321" s="164"/>
      <c r="GD321" s="164"/>
      <c r="GE321" s="164"/>
      <c r="GF321" s="164"/>
      <c r="GG321" s="164"/>
      <c r="GH321" s="164"/>
      <c r="GI321" s="164"/>
      <c r="GJ321" s="164"/>
      <c r="GK321" s="164"/>
      <c r="GL321" s="164"/>
      <c r="GM321" s="164"/>
      <c r="GN321" s="164"/>
      <c r="GO321" s="164"/>
      <c r="GP321" s="164"/>
      <c r="GQ321" s="164"/>
      <c r="GR321" s="164"/>
      <c r="GS321" s="164"/>
      <c r="GT321" s="164"/>
      <c r="GU321" s="164"/>
      <c r="GV321" s="164"/>
      <c r="GW321" s="164"/>
      <c r="GX321" s="164"/>
      <c r="GY321" s="164"/>
      <c r="GZ321" s="164"/>
      <c r="HA321" s="164"/>
      <c r="HB321" s="164"/>
      <c r="HC321" s="164"/>
      <c r="HD321" s="164"/>
      <c r="HE321" s="164"/>
      <c r="HF321" s="164"/>
      <c r="HG321" s="164"/>
      <c r="HH321" s="164"/>
      <c r="HI321" s="164"/>
      <c r="HJ321" s="164"/>
      <c r="HK321" s="164"/>
      <c r="HL321" s="164"/>
      <c r="HM321" s="164"/>
      <c r="HN321" s="164"/>
      <c r="HO321" s="164"/>
      <c r="HP321" s="164"/>
      <c r="HQ321" s="164"/>
      <c r="HR321" s="164"/>
      <c r="HS321" s="164"/>
      <c r="HT321" s="164"/>
      <c r="HU321" s="164"/>
      <c r="HV321" s="164"/>
      <c r="HW321" s="164"/>
      <c r="HX321" s="164"/>
      <c r="HY321" s="164"/>
      <c r="HZ321" s="164"/>
      <c r="IA321" s="164"/>
      <c r="IB321" s="164"/>
      <c r="IC321" s="164"/>
      <c r="ID321" s="164"/>
      <c r="IE321" s="164"/>
      <c r="IF321" s="164"/>
      <c r="IG321" s="164"/>
      <c r="IH321" s="164"/>
      <c r="II321" s="164"/>
      <c r="IJ321" s="164"/>
      <c r="IK321" s="164"/>
      <c r="IL321" s="164"/>
      <c r="IM321" s="164"/>
      <c r="IN321" s="164"/>
      <c r="IO321" s="164"/>
      <c r="IP321" s="164"/>
      <c r="IQ321" s="164"/>
      <c r="IR321" s="164"/>
      <c r="IS321" s="164"/>
      <c r="IT321" s="164"/>
      <c r="IU321" s="164"/>
      <c r="IV321" s="164"/>
      <c r="IW321" s="164"/>
      <c r="IX321" s="164"/>
      <c r="IY321" s="164"/>
      <c r="IZ321" s="164"/>
    </row>
    <row r="322" spans="23:260" ht="5.15" customHeight="1" x14ac:dyDescent="0.35">
      <c r="W322" s="164"/>
      <c r="X322" s="164"/>
      <c r="Y322" s="164"/>
      <c r="Z322" s="164"/>
      <c r="AA322" s="164"/>
      <c r="AB322" s="164"/>
      <c r="AC322" s="164"/>
      <c r="AD322" s="164"/>
      <c r="AE322" s="164"/>
      <c r="AF322" s="164"/>
      <c r="AG322" s="164"/>
      <c r="AH322" s="164"/>
      <c r="AI322" s="164"/>
      <c r="AJ322" s="164"/>
      <c r="AK322" s="164"/>
      <c r="AL322" s="164"/>
      <c r="AM322" s="164"/>
      <c r="AN322" s="164"/>
      <c r="AO322" s="164"/>
      <c r="AP322" s="164"/>
      <c r="AQ322" s="164"/>
      <c r="AR322" s="164"/>
      <c r="AS322" s="164"/>
      <c r="AT322" s="164"/>
      <c r="AU322" s="164"/>
      <c r="AV322" s="164"/>
      <c r="AW322" s="164"/>
      <c r="AX322" s="164"/>
      <c r="AY322" s="164"/>
      <c r="AZ322" s="164"/>
      <c r="BA322" s="164"/>
      <c r="BB322" s="164"/>
      <c r="BC322" s="164"/>
      <c r="BD322" s="164"/>
      <c r="BE322" s="164"/>
      <c r="BF322" s="164"/>
      <c r="BG322" s="164"/>
      <c r="BH322" s="164"/>
      <c r="BI322" s="164"/>
      <c r="BJ322" s="164"/>
      <c r="BK322" s="164"/>
      <c r="BL322" s="164"/>
      <c r="BM322" s="164"/>
      <c r="BN322" s="164"/>
      <c r="BO322" s="164"/>
      <c r="BP322" s="164"/>
      <c r="DM322" s="164"/>
      <c r="DO322" s="164"/>
      <c r="DP322" s="164"/>
      <c r="DQ322" s="164"/>
      <c r="DR322" s="164"/>
      <c r="DS322" s="164"/>
      <c r="DT322" s="164"/>
      <c r="DU322" s="164"/>
      <c r="DV322" s="164"/>
      <c r="DW322" s="164"/>
      <c r="DX322" s="164"/>
      <c r="DY322" s="164"/>
      <c r="DZ322" s="164"/>
      <c r="EA322" s="164"/>
      <c r="EB322" s="164"/>
      <c r="EC322" s="164"/>
      <c r="ED322" s="164"/>
      <c r="EE322" s="164"/>
      <c r="EF322" s="164"/>
      <c r="EG322" s="164"/>
      <c r="EH322" s="164"/>
      <c r="EI322" s="164"/>
      <c r="EJ322" s="164"/>
      <c r="EK322" s="164"/>
      <c r="EL322" s="164"/>
      <c r="EM322" s="164"/>
      <c r="EN322" s="164"/>
      <c r="EO322" s="164"/>
      <c r="EP322" s="164"/>
      <c r="EQ322" s="164"/>
      <c r="ER322" s="164"/>
      <c r="ES322" s="164"/>
      <c r="ET322" s="164"/>
      <c r="EU322" s="164"/>
      <c r="EV322" s="164"/>
      <c r="EW322" s="164"/>
      <c r="EX322" s="164"/>
      <c r="EY322" s="164"/>
      <c r="EZ322" s="164"/>
      <c r="FA322" s="164"/>
      <c r="FB322" s="164"/>
      <c r="FC322" s="164"/>
      <c r="FD322" s="164"/>
      <c r="FE322" s="164"/>
      <c r="FF322" s="164"/>
      <c r="FG322" s="164"/>
      <c r="FH322" s="164"/>
      <c r="FI322" s="164"/>
      <c r="FK322" s="164"/>
      <c r="FL322" s="164"/>
      <c r="FM322" s="164"/>
      <c r="FN322" s="164"/>
      <c r="FO322" s="164"/>
      <c r="FP322" s="164"/>
      <c r="FQ322" s="164"/>
      <c r="FR322" s="164"/>
      <c r="FS322" s="164"/>
      <c r="FT322" s="164"/>
      <c r="FU322" s="164"/>
      <c r="FV322" s="164"/>
      <c r="FW322" s="164"/>
      <c r="FX322" s="164"/>
      <c r="FY322" s="164"/>
      <c r="FZ322" s="164"/>
      <c r="GA322" s="164"/>
      <c r="GB322" s="164"/>
      <c r="GC322" s="164"/>
      <c r="GD322" s="164"/>
      <c r="GE322" s="164"/>
      <c r="GF322" s="164"/>
      <c r="GG322" s="164"/>
      <c r="GH322" s="164"/>
      <c r="GI322" s="164"/>
      <c r="GJ322" s="164"/>
      <c r="GK322" s="164"/>
      <c r="GL322" s="164"/>
      <c r="GM322" s="164"/>
      <c r="GN322" s="164"/>
      <c r="GO322" s="164"/>
      <c r="GP322" s="164"/>
      <c r="GQ322" s="164"/>
      <c r="GR322" s="164"/>
      <c r="GS322" s="164"/>
      <c r="GT322" s="164"/>
      <c r="GU322" s="164"/>
      <c r="GV322" s="164"/>
      <c r="GW322" s="164"/>
      <c r="GX322" s="164"/>
      <c r="GY322" s="164"/>
      <c r="GZ322" s="164"/>
      <c r="HA322" s="164"/>
      <c r="HB322" s="164"/>
      <c r="HC322" s="164"/>
      <c r="HD322" s="164"/>
      <c r="HE322" s="164"/>
      <c r="HF322" s="164"/>
      <c r="HG322" s="164"/>
      <c r="HH322" s="164"/>
      <c r="HI322" s="164"/>
      <c r="HJ322" s="164"/>
      <c r="HK322" s="164"/>
      <c r="HL322" s="164"/>
      <c r="HM322" s="164"/>
      <c r="HN322" s="164"/>
      <c r="HO322" s="164"/>
      <c r="HP322" s="164"/>
      <c r="HQ322" s="164"/>
      <c r="HR322" s="164"/>
      <c r="HS322" s="164"/>
      <c r="HT322" s="164"/>
      <c r="HU322" s="164"/>
      <c r="HV322" s="164"/>
      <c r="HW322" s="164"/>
      <c r="HX322" s="164"/>
      <c r="HY322" s="164"/>
      <c r="HZ322" s="164"/>
      <c r="IA322" s="164"/>
      <c r="IB322" s="164"/>
      <c r="IC322" s="164"/>
      <c r="ID322" s="164"/>
      <c r="IE322" s="164"/>
      <c r="IF322" s="164"/>
      <c r="IG322" s="164"/>
      <c r="IH322" s="164"/>
      <c r="II322" s="164"/>
      <c r="IJ322" s="164"/>
      <c r="IK322" s="164"/>
      <c r="IL322" s="164"/>
      <c r="IM322" s="164"/>
      <c r="IN322" s="164"/>
      <c r="IO322" s="164"/>
      <c r="IP322" s="164"/>
      <c r="IQ322" s="164"/>
      <c r="IR322" s="164"/>
      <c r="IS322" s="164"/>
      <c r="IT322" s="164"/>
      <c r="IU322" s="164"/>
      <c r="IV322" s="164"/>
      <c r="IW322" s="164"/>
      <c r="IX322" s="164"/>
      <c r="IY322" s="164"/>
      <c r="IZ322" s="164"/>
    </row>
    <row r="323" spans="23:260" ht="5.15" customHeight="1" x14ac:dyDescent="0.35">
      <c r="W323" s="164"/>
      <c r="X323" s="164"/>
      <c r="Y323" s="164"/>
      <c r="Z323" s="164"/>
      <c r="AA323" s="164"/>
      <c r="AB323" s="164"/>
      <c r="AC323" s="164"/>
      <c r="AD323" s="164"/>
      <c r="AE323" s="164"/>
      <c r="AF323" s="164"/>
      <c r="AG323" s="164"/>
      <c r="AH323" s="164"/>
      <c r="AI323" s="164"/>
      <c r="AJ323" s="164"/>
      <c r="AK323" s="164"/>
      <c r="AL323" s="164"/>
      <c r="AM323" s="164"/>
      <c r="AN323" s="164"/>
      <c r="AO323" s="164"/>
      <c r="AP323" s="164"/>
      <c r="AQ323" s="164"/>
      <c r="AR323" s="164"/>
      <c r="AS323" s="164"/>
      <c r="AT323" s="164"/>
      <c r="AU323" s="164"/>
      <c r="AV323" s="164"/>
      <c r="AW323" s="164"/>
      <c r="AX323" s="164"/>
      <c r="AY323" s="164"/>
      <c r="AZ323" s="164"/>
      <c r="BA323" s="164"/>
      <c r="BB323" s="164"/>
      <c r="BC323" s="164"/>
      <c r="BD323" s="164"/>
      <c r="BE323" s="164"/>
      <c r="BF323" s="164"/>
      <c r="BG323" s="164"/>
      <c r="BH323" s="164"/>
      <c r="BI323" s="164"/>
      <c r="BJ323" s="164"/>
      <c r="BK323" s="164"/>
      <c r="BL323" s="164"/>
      <c r="BM323" s="164"/>
      <c r="BN323" s="164"/>
      <c r="BO323" s="164"/>
      <c r="BP323" s="164"/>
      <c r="DM323" s="164"/>
      <c r="DO323" s="164"/>
      <c r="DP323" s="164"/>
      <c r="DQ323" s="164"/>
      <c r="DR323" s="164"/>
      <c r="DS323" s="164"/>
      <c r="DT323" s="164"/>
      <c r="DU323" s="164"/>
      <c r="DV323" s="164"/>
      <c r="DW323" s="164"/>
      <c r="DX323" s="164"/>
      <c r="DY323" s="164"/>
      <c r="DZ323" s="164"/>
      <c r="EA323" s="164"/>
      <c r="EB323" s="164"/>
      <c r="EC323" s="164"/>
      <c r="ED323" s="164"/>
      <c r="EE323" s="164"/>
      <c r="EF323" s="164"/>
      <c r="EG323" s="164"/>
      <c r="EH323" s="164"/>
      <c r="EI323" s="164"/>
      <c r="EJ323" s="164"/>
      <c r="EK323" s="164"/>
      <c r="EL323" s="164"/>
      <c r="EM323" s="164"/>
      <c r="EN323" s="164"/>
      <c r="EO323" s="164"/>
      <c r="EP323" s="164"/>
      <c r="EQ323" s="164"/>
      <c r="ER323" s="164"/>
      <c r="ES323" s="164"/>
      <c r="ET323" s="164"/>
      <c r="EU323" s="164"/>
      <c r="EV323" s="164"/>
      <c r="EW323" s="164"/>
      <c r="EX323" s="164"/>
      <c r="EY323" s="164"/>
      <c r="EZ323" s="164"/>
      <c r="FA323" s="164"/>
      <c r="FB323" s="164"/>
      <c r="FC323" s="164"/>
      <c r="FD323" s="164"/>
      <c r="FE323" s="164"/>
      <c r="FF323" s="164"/>
      <c r="FG323" s="164"/>
      <c r="FH323" s="164"/>
      <c r="FI323" s="164"/>
      <c r="FK323" s="164"/>
      <c r="FL323" s="164"/>
      <c r="FM323" s="164"/>
      <c r="FN323" s="164"/>
      <c r="FO323" s="164"/>
      <c r="FP323" s="164"/>
      <c r="FQ323" s="164"/>
      <c r="FR323" s="164"/>
      <c r="FS323" s="164"/>
      <c r="FT323" s="164"/>
      <c r="FU323" s="164"/>
      <c r="FV323" s="164"/>
      <c r="FW323" s="164"/>
      <c r="FX323" s="164"/>
      <c r="FY323" s="164"/>
      <c r="FZ323" s="164"/>
      <c r="GA323" s="164"/>
      <c r="GB323" s="164"/>
      <c r="GC323" s="164"/>
      <c r="GD323" s="164"/>
      <c r="GE323" s="164"/>
      <c r="GF323" s="164"/>
      <c r="GG323" s="164"/>
      <c r="GH323" s="164"/>
      <c r="GI323" s="164"/>
      <c r="GJ323" s="164"/>
      <c r="GK323" s="164"/>
      <c r="GL323" s="164"/>
      <c r="GM323" s="164"/>
      <c r="GN323" s="164"/>
      <c r="GO323" s="164"/>
      <c r="GP323" s="164"/>
      <c r="GQ323" s="164"/>
      <c r="GR323" s="164"/>
      <c r="GS323" s="164"/>
      <c r="GT323" s="164"/>
      <c r="GU323" s="164"/>
      <c r="GV323" s="164"/>
      <c r="GW323" s="164"/>
      <c r="GX323" s="164"/>
      <c r="GY323" s="164"/>
      <c r="GZ323" s="164"/>
      <c r="HA323" s="164"/>
      <c r="HB323" s="164"/>
      <c r="HC323" s="164"/>
      <c r="HD323" s="164"/>
      <c r="HE323" s="164"/>
      <c r="HF323" s="164"/>
      <c r="HG323" s="164"/>
      <c r="HH323" s="164"/>
      <c r="HI323" s="164"/>
      <c r="HJ323" s="164"/>
      <c r="HK323" s="164"/>
      <c r="HL323" s="164"/>
      <c r="HM323" s="164"/>
      <c r="HN323" s="164"/>
      <c r="HO323" s="164"/>
      <c r="HP323" s="164"/>
      <c r="HQ323" s="164"/>
      <c r="HR323" s="164"/>
      <c r="HS323" s="164"/>
      <c r="HT323" s="164"/>
      <c r="HU323" s="164"/>
      <c r="HV323" s="164"/>
      <c r="HW323" s="164"/>
      <c r="HX323" s="164"/>
      <c r="HY323" s="164"/>
      <c r="HZ323" s="164"/>
      <c r="IA323" s="164"/>
      <c r="IB323" s="164"/>
      <c r="IC323" s="164"/>
      <c r="ID323" s="164"/>
      <c r="IE323" s="164"/>
      <c r="IF323" s="164"/>
      <c r="IG323" s="164"/>
      <c r="IH323" s="164"/>
      <c r="II323" s="164"/>
      <c r="IJ323" s="164"/>
      <c r="IK323" s="164"/>
      <c r="IL323" s="164"/>
      <c r="IM323" s="164"/>
      <c r="IN323" s="164"/>
      <c r="IO323" s="164"/>
      <c r="IP323" s="164"/>
      <c r="IQ323" s="164"/>
      <c r="IR323" s="164"/>
      <c r="IS323" s="164"/>
      <c r="IT323" s="164"/>
      <c r="IU323" s="164"/>
      <c r="IV323" s="164"/>
      <c r="IW323" s="164"/>
      <c r="IX323" s="164"/>
      <c r="IY323" s="164"/>
      <c r="IZ323" s="164"/>
    </row>
    <row r="324" spans="23:260" ht="5.15" customHeight="1" x14ac:dyDescent="0.35">
      <c r="W324" s="164"/>
      <c r="X324" s="164"/>
      <c r="Y324" s="164"/>
      <c r="Z324" s="164"/>
      <c r="AA324" s="164"/>
      <c r="AB324" s="164"/>
      <c r="AC324" s="164"/>
      <c r="AD324" s="164"/>
      <c r="AE324" s="164"/>
      <c r="AF324" s="164"/>
      <c r="AG324" s="164"/>
      <c r="AH324" s="164"/>
      <c r="AI324" s="164"/>
      <c r="AJ324" s="164"/>
      <c r="AK324" s="164"/>
      <c r="AL324" s="164"/>
      <c r="AM324" s="164"/>
      <c r="AN324" s="164"/>
      <c r="AO324" s="164"/>
      <c r="AP324" s="164"/>
      <c r="AQ324" s="164"/>
      <c r="AR324" s="164"/>
      <c r="AS324" s="164"/>
      <c r="AT324" s="164"/>
      <c r="AU324" s="164"/>
      <c r="AV324" s="164"/>
      <c r="AW324" s="164"/>
      <c r="AX324" s="164"/>
      <c r="AY324" s="164"/>
      <c r="AZ324" s="164"/>
      <c r="BA324" s="164"/>
      <c r="BB324" s="164"/>
      <c r="BC324" s="164"/>
      <c r="BD324" s="164"/>
      <c r="BE324" s="164"/>
      <c r="BF324" s="164"/>
      <c r="BG324" s="164"/>
      <c r="BH324" s="164"/>
      <c r="BI324" s="164"/>
      <c r="BJ324" s="164"/>
      <c r="BK324" s="164"/>
      <c r="BL324" s="164"/>
      <c r="BM324" s="164"/>
      <c r="BN324" s="164"/>
      <c r="BO324" s="164"/>
      <c r="BP324" s="164"/>
      <c r="DM324" s="164"/>
      <c r="DO324" s="164"/>
      <c r="DP324" s="164"/>
      <c r="DQ324" s="164"/>
      <c r="DR324" s="164"/>
      <c r="DS324" s="164"/>
      <c r="DT324" s="164"/>
      <c r="DU324" s="164"/>
      <c r="DV324" s="164"/>
      <c r="DW324" s="164"/>
      <c r="DX324" s="164"/>
      <c r="DY324" s="164"/>
      <c r="DZ324" s="164"/>
      <c r="EA324" s="164"/>
      <c r="EB324" s="164"/>
      <c r="EC324" s="164"/>
      <c r="ED324" s="164"/>
      <c r="EE324" s="164"/>
      <c r="EF324" s="164"/>
      <c r="EG324" s="164"/>
      <c r="EH324" s="164"/>
      <c r="EI324" s="164"/>
      <c r="EJ324" s="164"/>
      <c r="EK324" s="164"/>
      <c r="EL324" s="164"/>
      <c r="EM324" s="164"/>
      <c r="EN324" s="164"/>
      <c r="EO324" s="164"/>
      <c r="EP324" s="164"/>
      <c r="EQ324" s="164"/>
      <c r="ER324" s="164"/>
      <c r="ES324" s="164"/>
      <c r="ET324" s="164"/>
      <c r="EU324" s="164"/>
      <c r="EV324" s="164"/>
      <c r="EW324" s="164"/>
      <c r="EX324" s="164"/>
      <c r="EY324" s="164"/>
      <c r="EZ324" s="164"/>
      <c r="FA324" s="164"/>
      <c r="FB324" s="164"/>
      <c r="FC324" s="164"/>
      <c r="FD324" s="164"/>
      <c r="FE324" s="164"/>
      <c r="FF324" s="164"/>
      <c r="FG324" s="164"/>
      <c r="FH324" s="164"/>
      <c r="FI324" s="164"/>
      <c r="FK324" s="164"/>
      <c r="FL324" s="164"/>
      <c r="FM324" s="164"/>
      <c r="FN324" s="164"/>
      <c r="FO324" s="164"/>
      <c r="FP324" s="164"/>
      <c r="FQ324" s="164"/>
      <c r="FR324" s="164"/>
      <c r="FS324" s="164"/>
      <c r="FT324" s="164"/>
      <c r="FU324" s="164"/>
      <c r="FV324" s="164"/>
      <c r="FW324" s="164"/>
      <c r="FX324" s="164"/>
      <c r="FY324" s="164"/>
      <c r="FZ324" s="164"/>
      <c r="GA324" s="164"/>
      <c r="GB324" s="164"/>
      <c r="GC324" s="164"/>
      <c r="GD324" s="164"/>
      <c r="GE324" s="164"/>
      <c r="GF324" s="164"/>
      <c r="GG324" s="164"/>
      <c r="GH324" s="164"/>
      <c r="GI324" s="164"/>
      <c r="GJ324" s="164"/>
      <c r="GK324" s="164"/>
      <c r="GL324" s="164"/>
      <c r="GM324" s="164"/>
      <c r="GN324" s="164"/>
      <c r="GO324" s="164"/>
      <c r="GP324" s="164"/>
      <c r="GQ324" s="164"/>
      <c r="GR324" s="164"/>
      <c r="GS324" s="164"/>
      <c r="GT324" s="164"/>
      <c r="GU324" s="164"/>
      <c r="GV324" s="164"/>
      <c r="GW324" s="164"/>
      <c r="GX324" s="164"/>
      <c r="GY324" s="164"/>
      <c r="GZ324" s="164"/>
      <c r="HA324" s="164"/>
      <c r="HB324" s="164"/>
      <c r="HC324" s="164"/>
      <c r="HD324" s="164"/>
      <c r="HE324" s="164"/>
      <c r="HF324" s="164"/>
      <c r="HG324" s="164"/>
      <c r="HH324" s="164"/>
      <c r="HI324" s="164"/>
      <c r="HJ324" s="164"/>
      <c r="HK324" s="164"/>
      <c r="HL324" s="164"/>
      <c r="HM324" s="164"/>
      <c r="HN324" s="164"/>
      <c r="HO324" s="164"/>
      <c r="HP324" s="164"/>
      <c r="HQ324" s="164"/>
      <c r="HR324" s="164"/>
      <c r="HS324" s="164"/>
      <c r="HT324" s="164"/>
      <c r="HU324" s="164"/>
      <c r="HV324" s="164"/>
      <c r="HW324" s="164"/>
      <c r="HX324" s="164"/>
      <c r="HY324" s="164"/>
      <c r="HZ324" s="164"/>
      <c r="IA324" s="164"/>
      <c r="IB324" s="164"/>
      <c r="IC324" s="164"/>
      <c r="ID324" s="164"/>
      <c r="IE324" s="164"/>
      <c r="IF324" s="164"/>
      <c r="IG324" s="164"/>
      <c r="IH324" s="164"/>
      <c r="II324" s="164"/>
      <c r="IJ324" s="164"/>
      <c r="IK324" s="164"/>
      <c r="IL324" s="164"/>
      <c r="IM324" s="164"/>
      <c r="IN324" s="164"/>
      <c r="IO324" s="164"/>
      <c r="IP324" s="164"/>
      <c r="IQ324" s="164"/>
      <c r="IR324" s="164"/>
      <c r="IS324" s="164"/>
      <c r="IT324" s="164"/>
      <c r="IU324" s="164"/>
      <c r="IV324" s="164"/>
      <c r="IW324" s="164"/>
      <c r="IX324" s="164"/>
      <c r="IY324" s="164"/>
      <c r="IZ324" s="164"/>
    </row>
    <row r="325" spans="23:260" ht="5.15" customHeight="1" x14ac:dyDescent="0.35">
      <c r="W325" s="164"/>
      <c r="X325" s="164"/>
      <c r="Y325" s="164"/>
      <c r="Z325" s="164"/>
      <c r="AA325" s="164"/>
      <c r="AB325" s="164"/>
      <c r="AC325" s="164"/>
      <c r="AD325" s="164"/>
      <c r="AE325" s="164"/>
      <c r="AF325" s="164"/>
      <c r="AG325" s="164"/>
      <c r="AH325" s="164"/>
      <c r="AI325" s="164"/>
      <c r="AJ325" s="164"/>
      <c r="AK325" s="164"/>
      <c r="AL325" s="164"/>
      <c r="AM325" s="164"/>
      <c r="AN325" s="164"/>
      <c r="AO325" s="164"/>
      <c r="AP325" s="164"/>
      <c r="AQ325" s="164"/>
      <c r="AR325" s="164"/>
      <c r="AS325" s="164"/>
      <c r="AT325" s="164"/>
      <c r="AU325" s="164"/>
      <c r="AV325" s="164"/>
      <c r="AW325" s="164"/>
      <c r="AX325" s="164"/>
      <c r="AY325" s="164"/>
      <c r="AZ325" s="164"/>
      <c r="BA325" s="164"/>
      <c r="BB325" s="164"/>
      <c r="BC325" s="164"/>
      <c r="BD325" s="164"/>
      <c r="BE325" s="164"/>
      <c r="BF325" s="164"/>
      <c r="BG325" s="164"/>
      <c r="BH325" s="164"/>
      <c r="BI325" s="164"/>
      <c r="BJ325" s="164"/>
      <c r="BK325" s="164"/>
      <c r="BL325" s="164"/>
      <c r="BM325" s="164"/>
      <c r="BN325" s="164"/>
      <c r="BO325" s="164"/>
      <c r="BP325" s="164"/>
      <c r="DM325" s="164"/>
      <c r="DO325" s="164"/>
      <c r="DP325" s="164"/>
      <c r="DQ325" s="164"/>
      <c r="DR325" s="164"/>
      <c r="DS325" s="164"/>
      <c r="DT325" s="164"/>
      <c r="DU325" s="164"/>
      <c r="DV325" s="164"/>
      <c r="DW325" s="164"/>
      <c r="DX325" s="164"/>
      <c r="DY325" s="164"/>
      <c r="DZ325" s="164"/>
      <c r="EA325" s="164"/>
      <c r="EB325" s="164"/>
      <c r="EC325" s="164"/>
      <c r="ED325" s="164"/>
      <c r="EE325" s="164"/>
      <c r="EF325" s="164"/>
      <c r="EG325" s="164"/>
      <c r="EH325" s="164"/>
      <c r="EI325" s="164"/>
      <c r="EJ325" s="164"/>
      <c r="EK325" s="164"/>
      <c r="EL325" s="164"/>
      <c r="EM325" s="164"/>
      <c r="EN325" s="164"/>
      <c r="EO325" s="164"/>
      <c r="EP325" s="164"/>
      <c r="EQ325" s="164"/>
      <c r="ER325" s="164"/>
      <c r="ES325" s="164"/>
      <c r="ET325" s="164"/>
      <c r="EU325" s="164"/>
      <c r="EV325" s="164"/>
      <c r="EW325" s="164"/>
      <c r="EX325" s="164"/>
      <c r="EY325" s="164"/>
      <c r="EZ325" s="164"/>
      <c r="FA325" s="164"/>
      <c r="FB325" s="164"/>
      <c r="FC325" s="164"/>
      <c r="FD325" s="164"/>
      <c r="FE325" s="164"/>
      <c r="FF325" s="164"/>
      <c r="FG325" s="164"/>
      <c r="FH325" s="164"/>
      <c r="FI325" s="164"/>
      <c r="FK325" s="164"/>
      <c r="FL325" s="164"/>
      <c r="FM325" s="164"/>
      <c r="FN325" s="164"/>
      <c r="FO325" s="164"/>
      <c r="FP325" s="164"/>
      <c r="FQ325" s="164"/>
      <c r="FR325" s="164"/>
      <c r="FS325" s="164"/>
      <c r="FT325" s="164"/>
      <c r="FU325" s="164"/>
      <c r="FV325" s="164"/>
      <c r="FW325" s="164"/>
      <c r="FX325" s="164"/>
      <c r="FY325" s="164"/>
      <c r="FZ325" s="164"/>
      <c r="GA325" s="164"/>
      <c r="GB325" s="164"/>
      <c r="GC325" s="164"/>
      <c r="GD325" s="164"/>
      <c r="GE325" s="164"/>
      <c r="GF325" s="164"/>
      <c r="GG325" s="164"/>
      <c r="GH325" s="164"/>
      <c r="GI325" s="164"/>
      <c r="GJ325" s="164"/>
      <c r="GK325" s="164"/>
      <c r="GL325" s="164"/>
      <c r="GM325" s="164"/>
      <c r="GN325" s="164"/>
      <c r="GO325" s="164"/>
      <c r="GP325" s="164"/>
      <c r="GQ325" s="164"/>
      <c r="GR325" s="164"/>
      <c r="GS325" s="164"/>
      <c r="GT325" s="164"/>
      <c r="GU325" s="164"/>
      <c r="GV325" s="164"/>
      <c r="GW325" s="164"/>
      <c r="GX325" s="164"/>
      <c r="GY325" s="164"/>
      <c r="GZ325" s="164"/>
      <c r="HA325" s="164"/>
      <c r="HB325" s="164"/>
      <c r="HC325" s="164"/>
      <c r="HD325" s="164"/>
      <c r="HE325" s="164"/>
      <c r="HF325" s="164"/>
      <c r="HG325" s="164"/>
      <c r="HH325" s="164"/>
      <c r="HI325" s="164"/>
      <c r="HJ325" s="164"/>
      <c r="HK325" s="164"/>
      <c r="HL325" s="164"/>
      <c r="HM325" s="164"/>
      <c r="HN325" s="164"/>
      <c r="HO325" s="164"/>
      <c r="HP325" s="164"/>
      <c r="HQ325" s="164"/>
      <c r="HR325" s="164"/>
      <c r="HS325" s="164"/>
      <c r="HT325" s="164"/>
      <c r="HU325" s="164"/>
      <c r="HV325" s="164"/>
      <c r="HW325" s="164"/>
      <c r="HX325" s="164"/>
      <c r="HY325" s="164"/>
      <c r="HZ325" s="164"/>
      <c r="IA325" s="164"/>
      <c r="IB325" s="164"/>
      <c r="IC325" s="164"/>
      <c r="ID325" s="164"/>
      <c r="IE325" s="164"/>
      <c r="IF325" s="164"/>
      <c r="IG325" s="164"/>
      <c r="IH325" s="164"/>
      <c r="II325" s="164"/>
      <c r="IJ325" s="164"/>
      <c r="IK325" s="164"/>
      <c r="IL325" s="164"/>
      <c r="IM325" s="164"/>
      <c r="IN325" s="164"/>
      <c r="IO325" s="164"/>
      <c r="IP325" s="164"/>
      <c r="IQ325" s="164"/>
      <c r="IR325" s="164"/>
      <c r="IS325" s="164"/>
      <c r="IT325" s="164"/>
      <c r="IU325" s="164"/>
      <c r="IV325" s="164"/>
      <c r="IW325" s="164"/>
      <c r="IX325" s="164"/>
      <c r="IY325" s="164"/>
      <c r="IZ325" s="164"/>
    </row>
    <row r="326" spans="23:260" ht="5.15" customHeight="1" x14ac:dyDescent="0.35">
      <c r="W326" s="164"/>
      <c r="X326" s="164"/>
      <c r="Y326" s="164"/>
      <c r="Z326" s="164"/>
      <c r="AA326" s="164"/>
      <c r="AB326" s="164"/>
      <c r="AC326" s="164"/>
      <c r="AD326" s="164"/>
      <c r="AE326" s="164"/>
      <c r="AF326" s="164"/>
      <c r="AG326" s="164"/>
      <c r="AH326" s="164"/>
      <c r="AI326" s="164"/>
      <c r="AJ326" s="164"/>
      <c r="AK326" s="164"/>
      <c r="AL326" s="164"/>
      <c r="AM326" s="164"/>
      <c r="AN326" s="164"/>
      <c r="AO326" s="164"/>
      <c r="AP326" s="164"/>
      <c r="AQ326" s="164"/>
      <c r="AR326" s="164"/>
      <c r="AS326" s="164"/>
      <c r="AT326" s="164"/>
      <c r="AU326" s="164"/>
      <c r="AV326" s="164"/>
      <c r="AW326" s="164"/>
      <c r="AX326" s="164"/>
      <c r="AY326" s="164"/>
      <c r="AZ326" s="164"/>
      <c r="BA326" s="164"/>
      <c r="BB326" s="164"/>
      <c r="BC326" s="164"/>
      <c r="BD326" s="164"/>
      <c r="BE326" s="164"/>
      <c r="BF326" s="164"/>
      <c r="BG326" s="164"/>
      <c r="BH326" s="164"/>
      <c r="BI326" s="164"/>
      <c r="BJ326" s="164"/>
      <c r="BK326" s="164"/>
      <c r="BL326" s="164"/>
      <c r="BM326" s="164"/>
      <c r="BN326" s="164"/>
      <c r="BO326" s="164"/>
      <c r="BP326" s="164"/>
      <c r="DM326" s="164"/>
      <c r="DO326" s="164"/>
      <c r="DP326" s="164"/>
      <c r="DQ326" s="164"/>
      <c r="DR326" s="164"/>
      <c r="DS326" s="164"/>
      <c r="DT326" s="164"/>
      <c r="DU326" s="164"/>
      <c r="DV326" s="164"/>
      <c r="DW326" s="164"/>
      <c r="DX326" s="164"/>
      <c r="DY326" s="164"/>
      <c r="DZ326" s="164"/>
      <c r="EA326" s="164"/>
      <c r="EB326" s="164"/>
      <c r="EC326" s="164"/>
      <c r="ED326" s="164"/>
      <c r="EE326" s="164"/>
      <c r="EF326" s="164"/>
      <c r="EG326" s="164"/>
      <c r="EH326" s="164"/>
      <c r="EI326" s="164"/>
      <c r="EJ326" s="164"/>
      <c r="EK326" s="164"/>
      <c r="EL326" s="164"/>
      <c r="EM326" s="164"/>
      <c r="EN326" s="164"/>
      <c r="EO326" s="164"/>
      <c r="EP326" s="164"/>
      <c r="EQ326" s="164"/>
      <c r="ER326" s="164"/>
      <c r="ES326" s="164"/>
      <c r="ET326" s="164"/>
      <c r="EU326" s="164"/>
      <c r="EV326" s="164"/>
      <c r="EW326" s="164"/>
      <c r="EX326" s="164"/>
      <c r="EY326" s="164"/>
      <c r="EZ326" s="164"/>
      <c r="FA326" s="164"/>
      <c r="FB326" s="164"/>
      <c r="FC326" s="164"/>
      <c r="FD326" s="164"/>
      <c r="FE326" s="164"/>
      <c r="FF326" s="164"/>
      <c r="FG326" s="164"/>
      <c r="FH326" s="164"/>
      <c r="FI326" s="164"/>
      <c r="FK326" s="164"/>
      <c r="FL326" s="164"/>
      <c r="FM326" s="164"/>
      <c r="FN326" s="164"/>
      <c r="FO326" s="164"/>
      <c r="FP326" s="164"/>
      <c r="FQ326" s="164"/>
      <c r="FR326" s="164"/>
      <c r="FS326" s="164"/>
      <c r="FT326" s="164"/>
      <c r="FU326" s="164"/>
      <c r="FV326" s="164"/>
      <c r="FW326" s="164"/>
      <c r="FX326" s="164"/>
      <c r="FY326" s="164"/>
      <c r="FZ326" s="164"/>
      <c r="GA326" s="164"/>
      <c r="GB326" s="164"/>
      <c r="GC326" s="164"/>
      <c r="GD326" s="164"/>
      <c r="GE326" s="164"/>
      <c r="GF326" s="164"/>
      <c r="GG326" s="164"/>
      <c r="GH326" s="164"/>
      <c r="GI326" s="164"/>
      <c r="GJ326" s="164"/>
      <c r="GK326" s="164"/>
      <c r="GL326" s="164"/>
      <c r="GM326" s="164"/>
      <c r="GN326" s="164"/>
      <c r="GO326" s="164"/>
      <c r="GP326" s="164"/>
      <c r="GQ326" s="164"/>
      <c r="GR326" s="164"/>
      <c r="GS326" s="164"/>
      <c r="GT326" s="164"/>
      <c r="GU326" s="164"/>
      <c r="GV326" s="164"/>
      <c r="GW326" s="164"/>
      <c r="GX326" s="164"/>
      <c r="GY326" s="164"/>
      <c r="GZ326" s="164"/>
      <c r="HA326" s="164"/>
      <c r="HB326" s="164"/>
      <c r="HC326" s="164"/>
      <c r="HD326" s="164"/>
      <c r="HE326" s="164"/>
      <c r="HF326" s="164"/>
      <c r="HG326" s="164"/>
      <c r="HH326" s="164"/>
      <c r="HI326" s="164"/>
      <c r="HJ326" s="164"/>
      <c r="HK326" s="164"/>
      <c r="HL326" s="164"/>
      <c r="HM326" s="164"/>
      <c r="HN326" s="164"/>
      <c r="HO326" s="164"/>
      <c r="HP326" s="164"/>
      <c r="HQ326" s="164"/>
      <c r="HR326" s="164"/>
      <c r="HS326" s="164"/>
      <c r="HT326" s="164"/>
      <c r="HU326" s="164"/>
      <c r="HV326" s="164"/>
      <c r="HW326" s="164"/>
      <c r="HX326" s="164"/>
      <c r="HY326" s="164"/>
      <c r="HZ326" s="164"/>
      <c r="IA326" s="164"/>
      <c r="IB326" s="164"/>
      <c r="IC326" s="164"/>
      <c r="ID326" s="164"/>
      <c r="IE326" s="164"/>
      <c r="IF326" s="164"/>
      <c r="IG326" s="164"/>
      <c r="IH326" s="164"/>
      <c r="II326" s="164"/>
      <c r="IJ326" s="164"/>
      <c r="IK326" s="164"/>
      <c r="IL326" s="164"/>
      <c r="IM326" s="164"/>
      <c r="IN326" s="164"/>
      <c r="IO326" s="164"/>
      <c r="IP326" s="164"/>
      <c r="IQ326" s="164"/>
      <c r="IR326" s="164"/>
      <c r="IS326" s="164"/>
      <c r="IT326" s="164"/>
      <c r="IU326" s="164"/>
      <c r="IV326" s="164"/>
      <c r="IW326" s="164"/>
      <c r="IX326" s="164"/>
      <c r="IY326" s="164"/>
      <c r="IZ326" s="164"/>
    </row>
    <row r="327" spans="23:260" ht="5.15" customHeight="1" x14ac:dyDescent="0.35">
      <c r="W327" s="164"/>
      <c r="X327" s="164"/>
      <c r="Y327" s="164"/>
      <c r="Z327" s="164"/>
      <c r="AA327" s="164"/>
      <c r="AB327" s="164"/>
      <c r="AC327" s="164"/>
      <c r="AD327" s="164"/>
      <c r="AE327" s="164"/>
      <c r="AF327" s="164"/>
      <c r="AG327" s="164"/>
      <c r="AH327" s="164"/>
      <c r="AI327" s="164"/>
      <c r="AJ327" s="164"/>
      <c r="AK327" s="164"/>
      <c r="AL327" s="164"/>
      <c r="AM327" s="164"/>
      <c r="AN327" s="164"/>
      <c r="AO327" s="164"/>
      <c r="AP327" s="164"/>
      <c r="AQ327" s="164"/>
      <c r="AR327" s="164"/>
      <c r="AS327" s="164"/>
      <c r="AT327" s="164"/>
      <c r="AU327" s="164"/>
      <c r="AV327" s="164"/>
      <c r="AW327" s="164"/>
      <c r="AX327" s="164"/>
      <c r="AY327" s="164"/>
      <c r="AZ327" s="164"/>
      <c r="BA327" s="164"/>
      <c r="BB327" s="164"/>
      <c r="BC327" s="164"/>
      <c r="BD327" s="164"/>
      <c r="BE327" s="164"/>
      <c r="BF327" s="164"/>
      <c r="BG327" s="164"/>
      <c r="BH327" s="164"/>
      <c r="BI327" s="164"/>
      <c r="BJ327" s="164"/>
      <c r="BK327" s="164"/>
      <c r="BL327" s="164"/>
      <c r="BM327" s="164"/>
      <c r="BN327" s="164"/>
      <c r="BO327" s="164"/>
      <c r="BP327" s="164"/>
      <c r="DM327" s="164"/>
      <c r="DO327" s="164"/>
      <c r="DP327" s="164"/>
      <c r="DQ327" s="164"/>
      <c r="DR327" s="164"/>
      <c r="DS327" s="164"/>
      <c r="DT327" s="164"/>
      <c r="DU327" s="164"/>
      <c r="DV327" s="164"/>
      <c r="DW327" s="164"/>
      <c r="DX327" s="164"/>
      <c r="DY327" s="164"/>
      <c r="DZ327" s="164"/>
      <c r="EA327" s="164"/>
      <c r="EB327" s="164"/>
      <c r="EC327" s="164"/>
      <c r="ED327" s="164"/>
      <c r="EE327" s="164"/>
      <c r="EF327" s="164"/>
      <c r="EG327" s="164"/>
      <c r="EH327" s="164"/>
      <c r="EI327" s="164"/>
      <c r="EJ327" s="164"/>
      <c r="EK327" s="164"/>
      <c r="EL327" s="164"/>
      <c r="EM327" s="164"/>
      <c r="EN327" s="164"/>
      <c r="EO327" s="164"/>
      <c r="EP327" s="164"/>
      <c r="EQ327" s="164"/>
      <c r="ER327" s="164"/>
      <c r="ES327" s="164"/>
      <c r="ET327" s="164"/>
      <c r="EU327" s="164"/>
      <c r="EV327" s="164"/>
      <c r="EW327" s="164"/>
      <c r="EX327" s="164"/>
      <c r="EY327" s="164"/>
      <c r="EZ327" s="164"/>
      <c r="FA327" s="164"/>
      <c r="FB327" s="164"/>
      <c r="FC327" s="164"/>
      <c r="FD327" s="164"/>
      <c r="FE327" s="164"/>
      <c r="FF327" s="164"/>
      <c r="FG327" s="164"/>
      <c r="FH327" s="164"/>
      <c r="FI327" s="164"/>
      <c r="FK327" s="164"/>
      <c r="FL327" s="164"/>
      <c r="FM327" s="164"/>
      <c r="FN327" s="164"/>
      <c r="FO327" s="164"/>
      <c r="FP327" s="164"/>
      <c r="FQ327" s="164"/>
      <c r="FR327" s="164"/>
      <c r="FS327" s="164"/>
      <c r="FT327" s="164"/>
      <c r="FU327" s="164"/>
      <c r="FV327" s="164"/>
      <c r="FW327" s="164"/>
      <c r="FX327" s="164"/>
      <c r="FY327" s="164"/>
      <c r="FZ327" s="164"/>
      <c r="GA327" s="164"/>
      <c r="GB327" s="164"/>
      <c r="GC327" s="164"/>
      <c r="GD327" s="164"/>
      <c r="GE327" s="164"/>
      <c r="GF327" s="164"/>
      <c r="GG327" s="164"/>
      <c r="GH327" s="164"/>
      <c r="GI327" s="164"/>
      <c r="GJ327" s="164"/>
      <c r="GK327" s="164"/>
      <c r="GL327" s="164"/>
      <c r="GM327" s="164"/>
      <c r="GN327" s="164"/>
      <c r="GO327" s="164"/>
      <c r="GP327" s="164"/>
      <c r="GQ327" s="164"/>
      <c r="GR327" s="164"/>
      <c r="GS327" s="164"/>
      <c r="GT327" s="164"/>
      <c r="GU327" s="164"/>
      <c r="GV327" s="164"/>
      <c r="GW327" s="164"/>
      <c r="GX327" s="164"/>
      <c r="GY327" s="164"/>
      <c r="GZ327" s="164"/>
      <c r="HA327" s="164"/>
      <c r="HB327" s="164"/>
      <c r="HC327" s="164"/>
      <c r="HD327" s="164"/>
      <c r="HE327" s="164"/>
      <c r="HF327" s="164"/>
      <c r="HG327" s="164"/>
      <c r="HH327" s="164"/>
      <c r="HI327" s="164"/>
      <c r="HJ327" s="164"/>
      <c r="HK327" s="164"/>
      <c r="HL327" s="164"/>
      <c r="HM327" s="164"/>
      <c r="HN327" s="164"/>
      <c r="HO327" s="164"/>
      <c r="HP327" s="164"/>
      <c r="HQ327" s="164"/>
      <c r="HR327" s="164"/>
      <c r="HS327" s="164"/>
      <c r="HT327" s="164"/>
      <c r="HU327" s="164"/>
      <c r="HV327" s="164"/>
      <c r="HW327" s="164"/>
      <c r="HX327" s="164"/>
      <c r="HY327" s="164"/>
      <c r="HZ327" s="164"/>
      <c r="IA327" s="164"/>
      <c r="IB327" s="164"/>
      <c r="IC327" s="164"/>
      <c r="ID327" s="164"/>
      <c r="IE327" s="164"/>
      <c r="IF327" s="164"/>
      <c r="IG327" s="164"/>
      <c r="IH327" s="164"/>
      <c r="II327" s="164"/>
      <c r="IJ327" s="164"/>
      <c r="IK327" s="164"/>
      <c r="IL327" s="164"/>
      <c r="IM327" s="164"/>
      <c r="IN327" s="164"/>
      <c r="IO327" s="164"/>
      <c r="IP327" s="164"/>
      <c r="IQ327" s="164"/>
      <c r="IR327" s="164"/>
      <c r="IS327" s="164"/>
      <c r="IT327" s="164"/>
      <c r="IU327" s="164"/>
      <c r="IV327" s="164"/>
      <c r="IW327" s="164"/>
      <c r="IX327" s="164"/>
      <c r="IY327" s="164"/>
      <c r="IZ327" s="164"/>
    </row>
    <row r="328" spans="23:260" ht="5.15" customHeight="1" x14ac:dyDescent="0.35">
      <c r="W328" s="164"/>
      <c r="X328" s="164"/>
      <c r="Y328" s="164"/>
      <c r="Z328" s="164"/>
      <c r="AA328" s="164"/>
      <c r="AB328" s="164"/>
      <c r="AC328" s="164"/>
      <c r="AD328" s="164"/>
      <c r="AE328" s="164"/>
      <c r="AF328" s="164"/>
      <c r="AG328" s="164"/>
      <c r="AH328" s="164"/>
      <c r="AI328" s="164"/>
      <c r="AJ328" s="164"/>
      <c r="AK328" s="164"/>
      <c r="AL328" s="164"/>
      <c r="AM328" s="164"/>
      <c r="AN328" s="164"/>
      <c r="AO328" s="164"/>
      <c r="AP328" s="164"/>
      <c r="AQ328" s="164"/>
      <c r="AR328" s="164"/>
      <c r="AS328" s="164"/>
      <c r="AT328" s="164"/>
      <c r="AU328" s="164"/>
      <c r="AV328" s="164"/>
      <c r="AW328" s="164"/>
      <c r="AX328" s="164"/>
      <c r="AY328" s="164"/>
      <c r="AZ328" s="164"/>
      <c r="BA328" s="164"/>
      <c r="BB328" s="164"/>
      <c r="BC328" s="164"/>
      <c r="BD328" s="164"/>
      <c r="BE328" s="164"/>
      <c r="BF328" s="164"/>
      <c r="BG328" s="164"/>
      <c r="BH328" s="164"/>
      <c r="BI328" s="164"/>
      <c r="BJ328" s="164"/>
      <c r="BK328" s="164"/>
      <c r="BL328" s="164">
        <v>3</v>
      </c>
      <c r="BM328" s="164"/>
      <c r="BN328" s="164"/>
      <c r="BO328" s="164"/>
      <c r="BP328" s="164"/>
      <c r="DM328" s="164"/>
      <c r="DO328" s="164"/>
      <c r="DP328" s="164"/>
      <c r="DQ328" s="164"/>
      <c r="DR328" s="164"/>
      <c r="DS328" s="164"/>
      <c r="DT328" s="164"/>
      <c r="DU328" s="164"/>
      <c r="DV328" s="164"/>
      <c r="DW328" s="164"/>
      <c r="DX328" s="164"/>
      <c r="DY328" s="164"/>
      <c r="DZ328" s="164"/>
      <c r="EA328" s="164"/>
      <c r="EB328" s="164"/>
      <c r="EC328" s="164"/>
      <c r="ED328" s="164"/>
      <c r="EE328" s="164"/>
      <c r="EF328" s="164"/>
      <c r="EG328" s="164"/>
      <c r="EH328" s="164"/>
      <c r="EI328" s="164"/>
      <c r="EJ328" s="164"/>
      <c r="EK328" s="164"/>
      <c r="EL328" s="164"/>
      <c r="EM328" s="164"/>
      <c r="EN328" s="164"/>
      <c r="EO328" s="164"/>
      <c r="EP328" s="164"/>
      <c r="EQ328" s="164"/>
      <c r="ER328" s="164"/>
      <c r="ES328" s="164"/>
      <c r="ET328" s="164"/>
      <c r="EU328" s="164"/>
      <c r="EV328" s="164"/>
      <c r="EW328" s="164"/>
      <c r="EX328" s="164"/>
      <c r="EY328" s="164"/>
      <c r="EZ328" s="164"/>
      <c r="FA328" s="164"/>
      <c r="FB328" s="164"/>
      <c r="FC328" s="164"/>
      <c r="FD328" s="164">
        <v>3</v>
      </c>
      <c r="FE328" s="164"/>
      <c r="FF328" s="164"/>
      <c r="FG328" s="164"/>
      <c r="FH328" s="164"/>
      <c r="FI328" s="164"/>
      <c r="FK328" s="164"/>
      <c r="FL328" s="164"/>
      <c r="FM328" s="164"/>
      <c r="FN328" s="164"/>
      <c r="FO328" s="164"/>
      <c r="FP328" s="164"/>
      <c r="FQ328" s="164"/>
      <c r="FR328" s="164"/>
      <c r="FS328" s="164"/>
      <c r="FT328" s="164"/>
      <c r="FU328" s="164"/>
      <c r="FV328" s="164"/>
      <c r="FW328" s="164"/>
      <c r="FX328" s="164"/>
      <c r="FY328" s="164"/>
      <c r="FZ328" s="164"/>
      <c r="GA328" s="164"/>
      <c r="GB328" s="164"/>
      <c r="GC328" s="164"/>
      <c r="GD328" s="164"/>
      <c r="GE328" s="164"/>
      <c r="GF328" s="164"/>
      <c r="GG328" s="164"/>
      <c r="GH328" s="164"/>
      <c r="GI328" s="164"/>
      <c r="GJ328" s="164"/>
      <c r="GK328" s="164"/>
      <c r="GL328" s="164"/>
      <c r="GM328" s="164"/>
      <c r="GN328" s="164"/>
      <c r="GO328" s="164"/>
      <c r="GP328" s="164"/>
      <c r="GQ328" s="164"/>
      <c r="GR328" s="164"/>
      <c r="GS328" s="164"/>
      <c r="GT328" s="164"/>
      <c r="GU328" s="164"/>
      <c r="GV328" s="164"/>
      <c r="GW328" s="164"/>
      <c r="GX328" s="164"/>
      <c r="GY328" s="164"/>
      <c r="GZ328" s="164"/>
      <c r="HA328" s="164"/>
      <c r="HB328" s="164"/>
      <c r="HC328" s="164"/>
      <c r="HD328" s="164"/>
      <c r="HE328" s="164"/>
      <c r="HF328" s="164"/>
      <c r="HG328" s="164"/>
      <c r="HH328" s="164"/>
      <c r="HI328" s="164"/>
      <c r="HJ328" s="164"/>
      <c r="HK328" s="164"/>
      <c r="HL328" s="164"/>
      <c r="HM328" s="164"/>
      <c r="HN328" s="164"/>
      <c r="HO328" s="164"/>
      <c r="HP328" s="164"/>
      <c r="HQ328" s="164"/>
      <c r="HR328" s="164"/>
      <c r="HS328" s="164"/>
      <c r="HT328" s="164"/>
      <c r="HU328" s="164"/>
      <c r="HV328" s="164"/>
      <c r="HW328" s="164"/>
      <c r="HX328" s="164"/>
      <c r="HY328" s="164"/>
      <c r="HZ328" s="164"/>
      <c r="IA328" s="164"/>
      <c r="IB328" s="164"/>
      <c r="IC328" s="164"/>
      <c r="ID328" s="164"/>
      <c r="IE328" s="164"/>
      <c r="IF328" s="164"/>
      <c r="IG328" s="164"/>
      <c r="IH328" s="164"/>
      <c r="II328" s="164"/>
      <c r="IJ328" s="164"/>
      <c r="IK328" s="164"/>
      <c r="IL328" s="164"/>
      <c r="IM328" s="164"/>
      <c r="IN328" s="164"/>
      <c r="IO328" s="164"/>
      <c r="IP328" s="164"/>
      <c r="IQ328" s="164"/>
      <c r="IR328" s="164"/>
      <c r="IS328" s="164"/>
      <c r="IT328" s="164"/>
      <c r="IU328" s="164"/>
      <c r="IV328" s="164"/>
      <c r="IW328" s="164"/>
      <c r="IX328" s="164"/>
      <c r="IY328" s="164"/>
      <c r="IZ328" s="164"/>
    </row>
    <row r="329" spans="23:260" ht="5.15" customHeight="1" x14ac:dyDescent="0.35">
      <c r="W329" s="164"/>
      <c r="X329" s="164"/>
      <c r="Y329" s="164"/>
      <c r="Z329" s="164"/>
      <c r="AA329" s="164"/>
      <c r="AB329" s="164"/>
      <c r="AC329" s="164"/>
      <c r="AD329" s="164"/>
      <c r="AE329" s="164"/>
      <c r="AF329" s="164"/>
      <c r="AG329" s="164"/>
      <c r="AH329" s="164"/>
      <c r="AI329" s="164"/>
      <c r="AJ329" s="164"/>
      <c r="AK329" s="164"/>
      <c r="AL329" s="164"/>
      <c r="AM329" s="164"/>
      <c r="AN329" s="164"/>
      <c r="AO329" s="164"/>
      <c r="AP329" s="164"/>
      <c r="AQ329" s="164"/>
      <c r="AR329" s="164"/>
      <c r="AS329" s="164"/>
      <c r="AT329" s="164"/>
      <c r="AU329" s="164"/>
      <c r="AV329" s="164"/>
      <c r="AW329" s="164"/>
      <c r="AX329" s="164"/>
      <c r="AY329" s="164"/>
      <c r="AZ329" s="164"/>
      <c r="BA329" s="164"/>
      <c r="BB329" s="164"/>
      <c r="BC329" s="164"/>
      <c r="BD329" s="164"/>
      <c r="BE329" s="164"/>
      <c r="BF329" s="164"/>
      <c r="BG329" s="164"/>
      <c r="BH329" s="164"/>
      <c r="BI329" s="164"/>
      <c r="BJ329" s="164"/>
      <c r="BK329" s="164"/>
      <c r="BL329" s="164"/>
      <c r="BM329" s="164"/>
      <c r="BN329" s="164"/>
      <c r="BO329" s="164"/>
      <c r="BP329" s="164"/>
      <c r="DM329" s="164"/>
      <c r="DO329" s="164"/>
      <c r="DP329" s="164"/>
      <c r="DQ329" s="164"/>
      <c r="DR329" s="164"/>
      <c r="DS329" s="164"/>
      <c r="DT329" s="164"/>
      <c r="DU329" s="164"/>
      <c r="DV329" s="164"/>
      <c r="DW329" s="164"/>
      <c r="DX329" s="164"/>
      <c r="DY329" s="164"/>
      <c r="DZ329" s="164"/>
      <c r="EA329" s="164"/>
      <c r="EB329" s="164"/>
      <c r="EC329" s="164"/>
      <c r="ED329" s="164"/>
      <c r="EE329" s="164"/>
      <c r="EF329" s="164"/>
      <c r="EG329" s="164"/>
      <c r="EH329" s="164"/>
      <c r="EI329" s="164"/>
      <c r="EJ329" s="164"/>
      <c r="EK329" s="164"/>
      <c r="EL329" s="164"/>
      <c r="EM329" s="164"/>
      <c r="EN329" s="164"/>
      <c r="EO329" s="164"/>
      <c r="EP329" s="164"/>
      <c r="EQ329" s="164"/>
      <c r="ER329" s="164"/>
      <c r="ES329" s="164"/>
      <c r="ET329" s="164"/>
      <c r="EU329" s="164"/>
      <c r="EV329" s="164"/>
      <c r="EW329" s="164"/>
      <c r="EX329" s="164"/>
      <c r="EY329" s="164"/>
      <c r="EZ329" s="164"/>
      <c r="FA329" s="164"/>
      <c r="FB329" s="164"/>
      <c r="FC329" s="164"/>
      <c r="FD329" s="164"/>
      <c r="FE329" s="164"/>
      <c r="FF329" s="164"/>
      <c r="FG329" s="164"/>
      <c r="FH329" s="164"/>
      <c r="FI329" s="164"/>
      <c r="FK329" s="164"/>
      <c r="FL329" s="164"/>
      <c r="FM329" s="164"/>
      <c r="FN329" s="164"/>
      <c r="FO329" s="164"/>
      <c r="FP329" s="164"/>
      <c r="FQ329" s="164"/>
      <c r="FR329" s="164"/>
      <c r="FS329" s="164"/>
      <c r="FT329" s="164"/>
      <c r="FU329" s="164"/>
      <c r="FV329" s="164"/>
      <c r="FW329" s="164"/>
      <c r="FX329" s="164"/>
      <c r="FY329" s="164"/>
      <c r="FZ329" s="164"/>
      <c r="GA329" s="164"/>
      <c r="GB329" s="164"/>
      <c r="GC329" s="164"/>
      <c r="GD329" s="164"/>
      <c r="GE329" s="164"/>
      <c r="GF329" s="164"/>
      <c r="GG329" s="164"/>
      <c r="GH329" s="164"/>
      <c r="GI329" s="164"/>
      <c r="GJ329" s="164"/>
      <c r="GK329" s="164"/>
      <c r="GL329" s="164"/>
      <c r="GM329" s="164"/>
      <c r="GN329" s="164"/>
      <c r="GO329" s="164"/>
      <c r="GP329" s="164"/>
      <c r="GQ329" s="164"/>
      <c r="GR329" s="164"/>
      <c r="GS329" s="164"/>
      <c r="GT329" s="164"/>
      <c r="GU329" s="164"/>
      <c r="GV329" s="164"/>
      <c r="GW329" s="164"/>
      <c r="GX329" s="164"/>
      <c r="GY329" s="164"/>
      <c r="GZ329" s="164"/>
      <c r="HA329" s="164"/>
      <c r="HB329" s="164"/>
      <c r="HC329" s="164"/>
      <c r="HD329" s="164"/>
      <c r="HE329" s="164"/>
      <c r="HF329" s="164"/>
      <c r="HG329" s="164"/>
      <c r="HH329" s="164"/>
      <c r="HI329" s="164"/>
      <c r="HJ329" s="164"/>
      <c r="HK329" s="164"/>
      <c r="HL329" s="164"/>
      <c r="HM329" s="164"/>
      <c r="HN329" s="164"/>
      <c r="HO329" s="164"/>
      <c r="HP329" s="164"/>
      <c r="HQ329" s="164"/>
      <c r="HR329" s="164"/>
      <c r="HS329" s="164"/>
      <c r="HT329" s="164"/>
      <c r="HU329" s="164"/>
      <c r="HV329" s="164"/>
      <c r="HW329" s="164"/>
      <c r="HX329" s="164"/>
      <c r="HY329" s="164"/>
      <c r="HZ329" s="164"/>
      <c r="IA329" s="164"/>
      <c r="IB329" s="164"/>
      <c r="IC329" s="164"/>
      <c r="ID329" s="164"/>
      <c r="IE329" s="164"/>
      <c r="IF329" s="164"/>
      <c r="IG329" s="164"/>
      <c r="IH329" s="164"/>
      <c r="II329" s="164"/>
      <c r="IJ329" s="164"/>
      <c r="IK329" s="164"/>
      <c r="IL329" s="164"/>
      <c r="IM329" s="164"/>
      <c r="IN329" s="164"/>
      <c r="IO329" s="164"/>
      <c r="IP329" s="164"/>
      <c r="IQ329" s="164"/>
      <c r="IR329" s="164"/>
      <c r="IS329" s="164"/>
      <c r="IT329" s="164"/>
      <c r="IU329" s="164"/>
      <c r="IV329" s="164"/>
      <c r="IW329" s="164"/>
      <c r="IX329" s="164"/>
      <c r="IY329" s="164"/>
      <c r="IZ329" s="164"/>
    </row>
    <row r="330" spans="23:260" ht="5.15" customHeight="1" x14ac:dyDescent="0.35">
      <c r="W330" s="164"/>
      <c r="X330" s="164"/>
      <c r="Y330" s="164"/>
      <c r="Z330" s="164"/>
      <c r="AA330" s="164"/>
      <c r="AB330" s="164"/>
      <c r="AC330" s="164"/>
      <c r="AD330" s="164"/>
      <c r="AE330" s="164"/>
      <c r="AF330" s="164"/>
      <c r="AG330" s="164"/>
      <c r="AH330" s="164"/>
      <c r="AI330" s="164"/>
      <c r="AJ330" s="164"/>
      <c r="AK330" s="164"/>
      <c r="AL330" s="164"/>
      <c r="AM330" s="164"/>
      <c r="AN330" s="164"/>
      <c r="AO330" s="164"/>
      <c r="AP330" s="164"/>
      <c r="AQ330" s="164"/>
      <c r="AR330" s="164"/>
      <c r="AS330" s="164"/>
      <c r="AT330" s="164"/>
      <c r="AU330" s="164"/>
      <c r="AV330" s="164"/>
      <c r="AW330" s="164"/>
      <c r="AX330" s="164"/>
      <c r="AY330" s="164"/>
      <c r="AZ330" s="164"/>
      <c r="BA330" s="164"/>
      <c r="BB330" s="164"/>
      <c r="BC330" s="164"/>
      <c r="BD330" s="164"/>
      <c r="BE330" s="164"/>
      <c r="BF330" s="164"/>
      <c r="BG330" s="164"/>
      <c r="BH330" s="164"/>
      <c r="BI330" s="164"/>
      <c r="BJ330" s="164"/>
      <c r="BK330" s="164"/>
      <c r="BL330" s="164"/>
      <c r="BM330" s="164"/>
      <c r="BN330" s="164"/>
      <c r="BO330" s="164"/>
      <c r="BP330" s="164"/>
      <c r="DM330" s="164"/>
      <c r="DO330" s="164"/>
      <c r="DP330" s="164"/>
      <c r="DQ330" s="164"/>
      <c r="DR330" s="164"/>
      <c r="DS330" s="164"/>
      <c r="DT330" s="164"/>
      <c r="DU330" s="164"/>
      <c r="DV330" s="164"/>
      <c r="DW330" s="164"/>
      <c r="DX330" s="164"/>
      <c r="DY330" s="164"/>
      <c r="DZ330" s="164"/>
      <c r="EA330" s="164"/>
      <c r="EB330" s="164"/>
      <c r="EC330" s="164"/>
      <c r="ED330" s="164"/>
      <c r="EE330" s="164"/>
      <c r="EF330" s="164"/>
      <c r="EG330" s="164"/>
      <c r="EH330" s="164"/>
      <c r="EI330" s="164"/>
      <c r="EJ330" s="164"/>
      <c r="EK330" s="164"/>
      <c r="EL330" s="164"/>
      <c r="EM330" s="164"/>
      <c r="EN330" s="164"/>
      <c r="EO330" s="164"/>
      <c r="EP330" s="164"/>
      <c r="EQ330" s="164"/>
      <c r="ER330" s="164"/>
      <c r="ES330" s="164"/>
      <c r="ET330" s="164"/>
      <c r="EU330" s="164"/>
      <c r="EV330" s="164"/>
      <c r="EW330" s="164"/>
      <c r="EX330" s="164"/>
      <c r="EY330" s="164"/>
      <c r="EZ330" s="164"/>
      <c r="FA330" s="164"/>
      <c r="FB330" s="164"/>
      <c r="FC330" s="164"/>
      <c r="FD330" s="164"/>
      <c r="FE330" s="164"/>
      <c r="FF330" s="164"/>
      <c r="FG330" s="164"/>
      <c r="FH330" s="164"/>
      <c r="FI330" s="164"/>
      <c r="FK330" s="164"/>
      <c r="FL330" s="164"/>
      <c r="FM330" s="164"/>
      <c r="FN330" s="164"/>
      <c r="FO330" s="164"/>
      <c r="FP330" s="164"/>
      <c r="FQ330" s="164"/>
      <c r="FR330" s="164"/>
      <c r="FS330" s="164"/>
      <c r="FT330" s="164"/>
      <c r="FU330" s="164"/>
      <c r="FV330" s="164"/>
      <c r="FW330" s="164"/>
      <c r="FX330" s="164"/>
      <c r="FY330" s="164"/>
      <c r="FZ330" s="164"/>
      <c r="GA330" s="164"/>
      <c r="GB330" s="164"/>
      <c r="GC330" s="164"/>
      <c r="GD330" s="164"/>
      <c r="GE330" s="164"/>
      <c r="GF330" s="164"/>
      <c r="GG330" s="164"/>
      <c r="GH330" s="164"/>
      <c r="GI330" s="164"/>
      <c r="GJ330" s="164"/>
      <c r="GK330" s="164"/>
      <c r="GL330" s="164"/>
      <c r="GM330" s="164"/>
      <c r="GN330" s="164"/>
      <c r="GO330" s="164"/>
      <c r="GP330" s="164"/>
      <c r="GQ330" s="164"/>
      <c r="GR330" s="164"/>
      <c r="GS330" s="164"/>
      <c r="GT330" s="164"/>
      <c r="GU330" s="164"/>
      <c r="GV330" s="164"/>
      <c r="GW330" s="164"/>
      <c r="GX330" s="164"/>
      <c r="GY330" s="164"/>
      <c r="GZ330" s="164"/>
      <c r="HA330" s="164"/>
      <c r="HB330" s="164"/>
      <c r="HC330" s="164"/>
      <c r="HD330" s="164"/>
      <c r="HE330" s="164"/>
      <c r="HF330" s="164"/>
      <c r="HG330" s="164"/>
      <c r="HH330" s="164"/>
      <c r="HI330" s="164"/>
      <c r="HJ330" s="164"/>
      <c r="HK330" s="164"/>
      <c r="HL330" s="164"/>
      <c r="HM330" s="164"/>
      <c r="HN330" s="164"/>
      <c r="HO330" s="164"/>
      <c r="HP330" s="164"/>
      <c r="HQ330" s="164"/>
      <c r="HR330" s="164"/>
      <c r="HS330" s="164"/>
      <c r="HT330" s="164"/>
      <c r="HU330" s="164"/>
      <c r="HV330" s="164"/>
      <c r="HW330" s="164"/>
      <c r="HX330" s="164"/>
      <c r="HY330" s="164"/>
      <c r="HZ330" s="164"/>
      <c r="IA330" s="164"/>
      <c r="IB330" s="164"/>
      <c r="IC330" s="164"/>
      <c r="ID330" s="164"/>
      <c r="IE330" s="164"/>
      <c r="IF330" s="164"/>
      <c r="IG330" s="164"/>
      <c r="IH330" s="164"/>
      <c r="II330" s="164"/>
      <c r="IJ330" s="164"/>
      <c r="IK330" s="164"/>
      <c r="IL330" s="164"/>
      <c r="IM330" s="164"/>
      <c r="IN330" s="164"/>
      <c r="IO330" s="164"/>
      <c r="IP330" s="164"/>
      <c r="IQ330" s="164"/>
      <c r="IR330" s="164"/>
      <c r="IS330" s="164"/>
      <c r="IT330" s="164"/>
      <c r="IU330" s="164"/>
      <c r="IV330" s="164"/>
      <c r="IW330" s="164"/>
      <c r="IX330" s="164"/>
      <c r="IY330" s="164"/>
      <c r="IZ330" s="164"/>
    </row>
    <row r="331" spans="23:260" ht="5.15" customHeight="1" x14ac:dyDescent="0.35"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  <c r="AG331" s="164"/>
      <c r="AH331" s="164"/>
      <c r="AI331" s="164"/>
      <c r="AJ331" s="164"/>
      <c r="AK331" s="164"/>
      <c r="AL331" s="164"/>
      <c r="AM331" s="164"/>
      <c r="AN331" s="164"/>
      <c r="AO331" s="164"/>
      <c r="AP331" s="164"/>
      <c r="AQ331" s="164"/>
      <c r="AR331" s="164"/>
      <c r="AS331" s="164"/>
      <c r="AT331" s="164"/>
      <c r="AU331" s="164"/>
      <c r="AV331" s="164"/>
      <c r="AW331" s="164"/>
      <c r="AX331" s="164"/>
      <c r="AY331" s="164"/>
      <c r="AZ331" s="164"/>
      <c r="BA331" s="164"/>
      <c r="BB331" s="164"/>
      <c r="BC331" s="164"/>
      <c r="BD331" s="164"/>
      <c r="BE331" s="164"/>
      <c r="BF331" s="164"/>
      <c r="BG331" s="164"/>
      <c r="BH331" s="164"/>
      <c r="BI331" s="164"/>
      <c r="BJ331" s="164"/>
      <c r="BK331" s="164"/>
      <c r="BL331" s="164"/>
      <c r="BM331" s="164"/>
      <c r="BN331" s="164"/>
      <c r="BO331" s="164"/>
      <c r="BP331" s="164"/>
      <c r="DM331" s="164"/>
      <c r="DO331" s="164"/>
      <c r="DP331" s="164"/>
      <c r="DQ331" s="164"/>
      <c r="DR331" s="164"/>
      <c r="DS331" s="164"/>
      <c r="DT331" s="164"/>
      <c r="DU331" s="164"/>
      <c r="DV331" s="164"/>
      <c r="DW331" s="164"/>
      <c r="DX331" s="164"/>
      <c r="DY331" s="164"/>
      <c r="DZ331" s="164"/>
      <c r="EA331" s="164"/>
      <c r="EB331" s="164"/>
      <c r="EC331" s="164"/>
      <c r="ED331" s="164"/>
      <c r="EE331" s="164"/>
      <c r="EF331" s="164"/>
      <c r="EG331" s="164"/>
      <c r="EH331" s="164"/>
      <c r="EI331" s="164"/>
      <c r="EJ331" s="164"/>
      <c r="EK331" s="164"/>
      <c r="EL331" s="164"/>
      <c r="EM331" s="164"/>
      <c r="EN331" s="164"/>
      <c r="EO331" s="164"/>
      <c r="EP331" s="164"/>
      <c r="EQ331" s="164"/>
      <c r="ER331" s="164"/>
      <c r="ES331" s="164"/>
      <c r="ET331" s="164"/>
      <c r="EU331" s="164"/>
      <c r="EV331" s="164"/>
      <c r="EW331" s="164"/>
      <c r="EX331" s="164"/>
      <c r="EY331" s="164"/>
      <c r="EZ331" s="164"/>
      <c r="FA331" s="164"/>
      <c r="FB331" s="164"/>
      <c r="FC331" s="164"/>
      <c r="FD331" s="164"/>
      <c r="FE331" s="164"/>
      <c r="FF331" s="164"/>
      <c r="FG331" s="164"/>
      <c r="FH331" s="164"/>
      <c r="FI331" s="164"/>
      <c r="FK331" s="164"/>
      <c r="FL331" s="164"/>
      <c r="FM331" s="164"/>
      <c r="FN331" s="164"/>
      <c r="FO331" s="164"/>
      <c r="FP331" s="164"/>
      <c r="FQ331" s="164"/>
      <c r="FR331" s="164"/>
      <c r="FS331" s="164"/>
      <c r="FT331" s="164"/>
      <c r="FU331" s="164"/>
      <c r="FV331" s="164"/>
      <c r="FW331" s="164"/>
      <c r="FX331" s="164"/>
      <c r="FY331" s="164"/>
      <c r="FZ331" s="164"/>
      <c r="GA331" s="164"/>
      <c r="GB331" s="164"/>
      <c r="GC331" s="164"/>
      <c r="GD331" s="164"/>
      <c r="GE331" s="164"/>
      <c r="GF331" s="164"/>
      <c r="GG331" s="164"/>
      <c r="GH331" s="164"/>
      <c r="GI331" s="164"/>
      <c r="GJ331" s="164"/>
      <c r="GK331" s="164"/>
      <c r="GL331" s="164"/>
      <c r="GM331" s="164"/>
      <c r="GN331" s="164"/>
      <c r="GO331" s="164"/>
      <c r="GP331" s="164"/>
      <c r="GQ331" s="164"/>
      <c r="GR331" s="164"/>
      <c r="GS331" s="164"/>
      <c r="GT331" s="164"/>
      <c r="GU331" s="164"/>
      <c r="GV331" s="164"/>
      <c r="GW331" s="164"/>
      <c r="GX331" s="164"/>
      <c r="GY331" s="164"/>
      <c r="GZ331" s="164"/>
      <c r="HA331" s="164"/>
      <c r="HB331" s="164"/>
      <c r="HC331" s="164"/>
      <c r="HD331" s="164"/>
      <c r="HE331" s="164"/>
      <c r="HF331" s="164"/>
      <c r="HG331" s="164"/>
      <c r="HH331" s="164"/>
      <c r="HI331" s="164"/>
      <c r="HJ331" s="164"/>
      <c r="HK331" s="164"/>
      <c r="HL331" s="164"/>
      <c r="HM331" s="164"/>
      <c r="HN331" s="164"/>
      <c r="HO331" s="164"/>
      <c r="HP331" s="164"/>
      <c r="HQ331" s="164"/>
      <c r="HR331" s="164"/>
      <c r="HS331" s="164"/>
      <c r="HT331" s="164"/>
      <c r="HU331" s="164"/>
      <c r="HV331" s="164"/>
      <c r="HW331" s="164"/>
      <c r="HX331" s="164"/>
      <c r="HY331" s="164"/>
      <c r="HZ331" s="164"/>
      <c r="IA331" s="164"/>
      <c r="IB331" s="164"/>
      <c r="IC331" s="164"/>
      <c r="ID331" s="164"/>
      <c r="IE331" s="164"/>
      <c r="IF331" s="164"/>
      <c r="IG331" s="164"/>
      <c r="IH331" s="164"/>
      <c r="II331" s="164"/>
      <c r="IJ331" s="164"/>
      <c r="IK331" s="164"/>
      <c r="IL331" s="164"/>
      <c r="IM331" s="164"/>
      <c r="IN331" s="164"/>
      <c r="IO331" s="164"/>
      <c r="IP331" s="164"/>
      <c r="IQ331" s="164"/>
      <c r="IR331" s="164"/>
      <c r="IS331" s="164"/>
      <c r="IT331" s="164"/>
      <c r="IU331" s="164"/>
      <c r="IV331" s="164"/>
      <c r="IW331" s="164"/>
      <c r="IX331" s="164"/>
      <c r="IY331" s="164"/>
      <c r="IZ331" s="164"/>
    </row>
    <row r="332" spans="23:260" ht="5.15" customHeight="1" x14ac:dyDescent="0.35">
      <c r="W332" s="164"/>
      <c r="X332" s="164"/>
      <c r="Y332" s="164"/>
      <c r="Z332" s="164"/>
      <c r="AA332" s="164"/>
      <c r="AB332" s="164"/>
      <c r="AC332" s="164"/>
      <c r="AD332" s="164"/>
      <c r="AE332" s="164"/>
      <c r="AF332" s="164"/>
      <c r="AG332" s="164"/>
      <c r="AH332" s="164"/>
      <c r="AI332" s="164"/>
      <c r="AJ332" s="164"/>
      <c r="AK332" s="164"/>
      <c r="AL332" s="164"/>
      <c r="AM332" s="164"/>
      <c r="AN332" s="164"/>
      <c r="AO332" s="164"/>
      <c r="AP332" s="164"/>
      <c r="AQ332" s="164"/>
      <c r="AR332" s="164"/>
      <c r="AS332" s="164"/>
      <c r="AT332" s="164"/>
      <c r="AU332" s="164"/>
      <c r="AV332" s="164"/>
      <c r="AW332" s="164"/>
      <c r="AX332" s="164"/>
      <c r="AY332" s="164"/>
      <c r="AZ332" s="164"/>
      <c r="BA332" s="164"/>
      <c r="BB332" s="164"/>
      <c r="BC332" s="164"/>
      <c r="BD332" s="164"/>
      <c r="BE332" s="164"/>
      <c r="BF332" s="164"/>
      <c r="BG332" s="164"/>
      <c r="BH332" s="164"/>
      <c r="BI332" s="164"/>
      <c r="BJ332" s="164"/>
      <c r="BK332" s="164"/>
      <c r="BL332" s="164"/>
      <c r="BM332" s="164"/>
      <c r="BN332" s="164"/>
      <c r="BO332" s="164"/>
      <c r="BP332" s="164"/>
      <c r="DM332" s="164"/>
      <c r="DO332" s="164"/>
      <c r="DP332" s="164"/>
      <c r="DQ332" s="164"/>
      <c r="DR332" s="164"/>
      <c r="DS332" s="164"/>
      <c r="DT332" s="164"/>
      <c r="DU332" s="164"/>
      <c r="DV332" s="164"/>
      <c r="DW332" s="164"/>
      <c r="DX332" s="164"/>
      <c r="DY332" s="164"/>
      <c r="DZ332" s="164"/>
      <c r="EA332" s="164"/>
      <c r="EB332" s="164"/>
      <c r="EC332" s="164"/>
      <c r="ED332" s="164"/>
      <c r="EE332" s="164"/>
      <c r="EF332" s="164"/>
      <c r="EG332" s="164"/>
      <c r="EH332" s="164"/>
      <c r="EI332" s="164"/>
      <c r="EJ332" s="164"/>
      <c r="EK332" s="164"/>
      <c r="EL332" s="164"/>
      <c r="EM332" s="164"/>
      <c r="EN332" s="164"/>
      <c r="EO332" s="164"/>
      <c r="EP332" s="164"/>
      <c r="EQ332" s="164"/>
      <c r="ER332" s="164"/>
      <c r="ES332" s="164"/>
      <c r="ET332" s="164"/>
      <c r="EU332" s="164"/>
      <c r="EV332" s="164"/>
      <c r="EW332" s="164"/>
      <c r="EX332" s="164"/>
      <c r="EY332" s="164"/>
      <c r="EZ332" s="164"/>
      <c r="FA332" s="164"/>
      <c r="FB332" s="164"/>
      <c r="FC332" s="164"/>
      <c r="FD332" s="164"/>
      <c r="FE332" s="164"/>
      <c r="FF332" s="164"/>
      <c r="FG332" s="164"/>
      <c r="FH332" s="164"/>
      <c r="FI332" s="164"/>
      <c r="FK332" s="164"/>
      <c r="FL332" s="164"/>
      <c r="FM332" s="164"/>
      <c r="FN332" s="164"/>
      <c r="FO332" s="164"/>
      <c r="FP332" s="164"/>
      <c r="FQ332" s="164"/>
      <c r="FR332" s="164"/>
      <c r="FS332" s="164"/>
      <c r="FT332" s="164"/>
      <c r="FU332" s="164"/>
      <c r="FV332" s="164"/>
      <c r="FW332" s="164"/>
      <c r="FX332" s="164"/>
      <c r="FY332" s="164"/>
      <c r="FZ332" s="164"/>
      <c r="GA332" s="164"/>
      <c r="GB332" s="164"/>
      <c r="GC332" s="164"/>
      <c r="GD332" s="164"/>
      <c r="GE332" s="164"/>
      <c r="GF332" s="164"/>
      <c r="GG332" s="164"/>
      <c r="GH332" s="164"/>
      <c r="GI332" s="164"/>
      <c r="GJ332" s="164"/>
      <c r="GK332" s="164"/>
      <c r="GL332" s="164"/>
      <c r="GM332" s="164"/>
      <c r="GN332" s="164"/>
      <c r="GO332" s="164"/>
      <c r="GP332" s="164"/>
      <c r="GQ332" s="164"/>
      <c r="GR332" s="164"/>
      <c r="GS332" s="164"/>
      <c r="GT332" s="164"/>
      <c r="GU332" s="164"/>
      <c r="GV332" s="164"/>
      <c r="GW332" s="164"/>
      <c r="GX332" s="164"/>
      <c r="GY332" s="164"/>
      <c r="GZ332" s="164"/>
      <c r="HA332" s="164"/>
      <c r="HB332" s="164"/>
      <c r="HC332" s="164"/>
      <c r="HD332" s="164"/>
      <c r="HE332" s="164"/>
      <c r="HF332" s="164"/>
      <c r="HG332" s="164"/>
      <c r="HH332" s="164"/>
      <c r="HI332" s="164"/>
      <c r="HJ332" s="164"/>
      <c r="HK332" s="164"/>
      <c r="HL332" s="164"/>
      <c r="HM332" s="164"/>
      <c r="HN332" s="164"/>
      <c r="HO332" s="164"/>
      <c r="HP332" s="164"/>
      <c r="HQ332" s="164"/>
      <c r="HR332" s="164"/>
      <c r="HS332" s="164"/>
      <c r="HT332" s="164"/>
      <c r="HU332" s="164"/>
      <c r="HV332" s="164"/>
      <c r="HW332" s="164"/>
      <c r="HX332" s="164"/>
      <c r="HY332" s="164"/>
      <c r="HZ332" s="164"/>
      <c r="IA332" s="164"/>
      <c r="IB332" s="164"/>
      <c r="IC332" s="164"/>
      <c r="ID332" s="164"/>
      <c r="IE332" s="164"/>
      <c r="IF332" s="164"/>
      <c r="IG332" s="164"/>
      <c r="IH332" s="164"/>
      <c r="II332" s="164"/>
      <c r="IJ332" s="164"/>
      <c r="IK332" s="164"/>
      <c r="IL332" s="164"/>
      <c r="IM332" s="164"/>
      <c r="IN332" s="164"/>
      <c r="IO332" s="164"/>
      <c r="IP332" s="164"/>
      <c r="IQ332" s="164"/>
      <c r="IR332" s="164"/>
      <c r="IS332" s="164"/>
      <c r="IT332" s="164"/>
      <c r="IU332" s="164"/>
      <c r="IV332" s="164"/>
      <c r="IW332" s="164"/>
      <c r="IX332" s="164"/>
      <c r="IY332" s="164"/>
      <c r="IZ332" s="164"/>
    </row>
    <row r="333" spans="23:260" ht="5.15" customHeight="1" x14ac:dyDescent="0.35">
      <c r="W333" s="164"/>
      <c r="X333" s="164"/>
      <c r="Y333" s="164"/>
      <c r="Z333" s="164"/>
      <c r="AA333" s="164"/>
      <c r="AB333" s="164"/>
      <c r="AC333" s="164"/>
      <c r="AD333" s="164"/>
      <c r="AE333" s="164"/>
      <c r="AF333" s="164"/>
      <c r="AG333" s="164"/>
      <c r="AH333" s="164"/>
      <c r="AI333" s="164"/>
      <c r="AJ333" s="164"/>
      <c r="AK333" s="164"/>
      <c r="AL333" s="164"/>
      <c r="AM333" s="164"/>
      <c r="AN333" s="164"/>
      <c r="AO333" s="164"/>
      <c r="AP333" s="164"/>
      <c r="AQ333" s="164"/>
      <c r="AR333" s="164"/>
      <c r="AS333" s="164"/>
      <c r="AT333" s="164"/>
      <c r="AU333" s="164"/>
      <c r="AV333" s="164"/>
      <c r="AW333" s="164"/>
      <c r="AX333" s="164"/>
      <c r="AY333" s="164"/>
      <c r="AZ333" s="164"/>
      <c r="BA333" s="164"/>
      <c r="BB333" s="164"/>
      <c r="BC333" s="164"/>
      <c r="BD333" s="164"/>
      <c r="BE333" s="164"/>
      <c r="BF333" s="164"/>
      <c r="BG333" s="164"/>
      <c r="BH333" s="164"/>
      <c r="BI333" s="164"/>
      <c r="BJ333" s="164"/>
      <c r="BK333" s="164"/>
      <c r="BL333" s="164"/>
      <c r="BM333" s="164"/>
      <c r="BN333" s="164"/>
      <c r="BO333" s="164"/>
      <c r="BP333" s="164"/>
      <c r="DS333" s="164"/>
      <c r="DT333" s="164"/>
      <c r="DU333" s="164"/>
      <c r="DV333" s="164"/>
      <c r="DW333" s="164"/>
      <c r="DX333" s="164"/>
      <c r="DY333" s="164"/>
      <c r="DZ333" s="164"/>
      <c r="EA333" s="164"/>
      <c r="EB333" s="164"/>
      <c r="EC333" s="164"/>
      <c r="ED333" s="164"/>
      <c r="EE333" s="164"/>
      <c r="EF333" s="164"/>
      <c r="EG333" s="164"/>
      <c r="EH333" s="164"/>
      <c r="EI333" s="164"/>
      <c r="EJ333" s="164"/>
      <c r="EK333" s="164"/>
      <c r="EL333" s="164"/>
      <c r="EM333" s="164"/>
      <c r="EN333" s="164"/>
      <c r="EO333" s="164"/>
      <c r="EP333" s="164"/>
      <c r="EQ333" s="164"/>
      <c r="ER333" s="164"/>
      <c r="ES333" s="164"/>
      <c r="ET333" s="164"/>
      <c r="EU333" s="164"/>
      <c r="EV333" s="164"/>
      <c r="EW333" s="164"/>
      <c r="EX333" s="164"/>
      <c r="EY333" s="164"/>
      <c r="EZ333" s="164"/>
      <c r="FA333" s="164"/>
      <c r="FB333" s="164"/>
      <c r="FC333" s="164"/>
      <c r="FD333" s="164"/>
      <c r="FE333" s="164"/>
      <c r="FF333" s="164"/>
      <c r="FG333" s="164"/>
      <c r="FH333" s="164"/>
      <c r="FI333" s="164"/>
      <c r="FK333" s="164"/>
      <c r="FL333" s="164"/>
      <c r="FM333" s="164"/>
      <c r="FN333" s="164"/>
      <c r="FO333" s="164"/>
      <c r="FP333" s="164"/>
      <c r="FQ333" s="164"/>
      <c r="FR333" s="164"/>
      <c r="FS333" s="164"/>
      <c r="FT333" s="164"/>
      <c r="FU333" s="164"/>
      <c r="FV333" s="164"/>
      <c r="FW333" s="164"/>
      <c r="FX333" s="164"/>
      <c r="FY333" s="164"/>
      <c r="FZ333" s="164"/>
      <c r="GA333" s="164"/>
      <c r="GB333" s="164"/>
      <c r="GC333" s="164"/>
      <c r="GD333" s="164"/>
      <c r="GE333" s="164"/>
      <c r="GF333" s="164"/>
      <c r="GG333" s="164"/>
      <c r="GH333" s="164"/>
      <c r="GI333" s="164"/>
      <c r="GJ333" s="164"/>
      <c r="GK333" s="164"/>
      <c r="GL333" s="164"/>
      <c r="GM333" s="164"/>
      <c r="GN333" s="164"/>
      <c r="GO333" s="164"/>
      <c r="GP333" s="164"/>
      <c r="GQ333" s="164"/>
      <c r="GR333" s="164"/>
      <c r="GS333" s="164"/>
      <c r="GT333" s="164"/>
      <c r="GU333" s="164"/>
      <c r="GV333" s="164"/>
      <c r="GW333" s="164"/>
      <c r="GX333" s="164"/>
      <c r="GY333" s="164"/>
      <c r="GZ333" s="164"/>
      <c r="HA333" s="164"/>
      <c r="HB333" s="164"/>
      <c r="HC333" s="164"/>
      <c r="HD333" s="164"/>
      <c r="HE333" s="164"/>
      <c r="HF333" s="164"/>
      <c r="HG333" s="164"/>
      <c r="HH333" s="164"/>
      <c r="HI333" s="164"/>
      <c r="HJ333" s="164"/>
      <c r="HK333" s="164"/>
      <c r="HL333" s="164"/>
      <c r="HM333" s="164"/>
      <c r="HN333" s="164"/>
      <c r="HO333" s="164"/>
      <c r="HP333" s="164"/>
      <c r="HQ333" s="164"/>
      <c r="HR333" s="164"/>
      <c r="HS333" s="164"/>
      <c r="HT333" s="164"/>
      <c r="HU333" s="164"/>
      <c r="HV333" s="164"/>
      <c r="HW333" s="164"/>
      <c r="HX333" s="164"/>
      <c r="HY333" s="164"/>
      <c r="HZ333" s="164"/>
      <c r="IA333" s="164"/>
      <c r="IB333" s="164"/>
      <c r="IC333" s="164"/>
      <c r="ID333" s="164"/>
      <c r="IE333" s="164"/>
      <c r="IF333" s="164"/>
      <c r="IG333" s="164"/>
      <c r="IH333" s="164"/>
      <c r="II333" s="164"/>
      <c r="IJ333" s="164"/>
      <c r="IK333" s="164"/>
      <c r="IL333" s="164"/>
      <c r="IM333" s="164"/>
      <c r="IN333" s="164"/>
      <c r="IO333" s="164"/>
      <c r="IP333" s="164"/>
      <c r="IQ333" s="164"/>
      <c r="IR333" s="164"/>
      <c r="IS333" s="164"/>
      <c r="IT333" s="164"/>
      <c r="IU333" s="164"/>
      <c r="IV333" s="164"/>
      <c r="IW333" s="164"/>
      <c r="IX333" s="164"/>
      <c r="IY333" s="164"/>
      <c r="IZ333" s="164"/>
    </row>
    <row r="334" spans="23:260" ht="5.15" customHeight="1" x14ac:dyDescent="0.35">
      <c r="W334" s="164"/>
      <c r="X334" s="164"/>
      <c r="Y334" s="164"/>
      <c r="Z334" s="164"/>
      <c r="AA334" s="164"/>
      <c r="AB334" s="164"/>
      <c r="AC334" s="164"/>
      <c r="AD334" s="164"/>
      <c r="AE334" s="164"/>
      <c r="AF334" s="164"/>
      <c r="AG334" s="164"/>
      <c r="AH334" s="164"/>
      <c r="AI334" s="164"/>
      <c r="AJ334" s="164"/>
      <c r="AK334" s="164"/>
      <c r="AL334" s="164"/>
      <c r="AM334" s="164"/>
      <c r="AN334" s="164"/>
      <c r="AO334" s="164"/>
      <c r="AP334" s="164"/>
      <c r="AQ334" s="164"/>
      <c r="AR334" s="164"/>
      <c r="AS334" s="164"/>
      <c r="AT334" s="164"/>
      <c r="AU334" s="164"/>
      <c r="AV334" s="164"/>
      <c r="AW334" s="164"/>
      <c r="AX334" s="164"/>
      <c r="AY334" s="164"/>
      <c r="AZ334" s="164"/>
      <c r="BA334" s="164"/>
      <c r="BB334" s="164"/>
      <c r="BC334" s="164"/>
      <c r="BD334" s="164"/>
      <c r="BE334" s="164"/>
      <c r="BF334" s="164"/>
      <c r="BG334" s="164"/>
      <c r="BH334" s="164"/>
      <c r="BI334" s="164"/>
      <c r="BJ334" s="164"/>
      <c r="BK334" s="164"/>
      <c r="BL334" s="164"/>
      <c r="BM334" s="164"/>
      <c r="BN334" s="164"/>
      <c r="BO334" s="164"/>
      <c r="BP334" s="164"/>
      <c r="DS334" s="164"/>
      <c r="DT334" s="164"/>
      <c r="DU334" s="164"/>
      <c r="DV334" s="164"/>
      <c r="DW334" s="164"/>
      <c r="DX334" s="164"/>
      <c r="DY334" s="164"/>
      <c r="DZ334" s="164"/>
      <c r="EA334" s="164"/>
      <c r="EB334" s="164"/>
      <c r="EC334" s="164"/>
      <c r="ED334" s="164"/>
      <c r="EE334" s="164"/>
      <c r="EF334" s="164"/>
      <c r="EG334" s="164"/>
      <c r="EH334" s="164"/>
      <c r="EI334" s="164"/>
      <c r="EJ334" s="164"/>
      <c r="EK334" s="164"/>
      <c r="EL334" s="164"/>
      <c r="EM334" s="164"/>
      <c r="EN334" s="164"/>
      <c r="EO334" s="164"/>
      <c r="EP334" s="164"/>
      <c r="EQ334" s="164"/>
      <c r="ER334" s="164"/>
      <c r="ES334" s="164"/>
      <c r="ET334" s="164"/>
      <c r="EU334" s="164"/>
      <c r="EV334" s="164"/>
      <c r="EW334" s="164"/>
      <c r="EX334" s="164"/>
      <c r="EY334" s="164"/>
      <c r="EZ334" s="164"/>
      <c r="FA334" s="164"/>
      <c r="FB334" s="164"/>
      <c r="FC334" s="164"/>
      <c r="FD334" s="164"/>
      <c r="FE334" s="164"/>
      <c r="FF334" s="164"/>
      <c r="FG334" s="164"/>
      <c r="FH334" s="164"/>
      <c r="FI334" s="164"/>
      <c r="FK334" s="164"/>
      <c r="FL334" s="164"/>
      <c r="FM334" s="164"/>
      <c r="FN334" s="164"/>
      <c r="FO334" s="164"/>
      <c r="FP334" s="164"/>
      <c r="FQ334" s="164"/>
      <c r="FR334" s="164"/>
      <c r="FS334" s="164"/>
      <c r="FT334" s="164"/>
      <c r="FU334" s="164"/>
      <c r="FV334" s="164"/>
      <c r="FW334" s="164"/>
      <c r="FX334" s="164"/>
      <c r="FY334" s="164"/>
      <c r="FZ334" s="164"/>
      <c r="GA334" s="164"/>
      <c r="GB334" s="164"/>
      <c r="GC334" s="164"/>
      <c r="GD334" s="164"/>
      <c r="GE334" s="164"/>
      <c r="GF334" s="164"/>
      <c r="GG334" s="164"/>
      <c r="GH334" s="164"/>
      <c r="GI334" s="164"/>
      <c r="GJ334" s="164"/>
      <c r="GK334" s="164"/>
      <c r="GL334" s="164"/>
      <c r="GM334" s="164"/>
      <c r="GN334" s="164"/>
      <c r="GO334" s="164"/>
      <c r="GP334" s="164"/>
      <c r="GQ334" s="164"/>
      <c r="GR334" s="164"/>
      <c r="GS334" s="164"/>
      <c r="GT334" s="164"/>
      <c r="GU334" s="164"/>
      <c r="GV334" s="164"/>
      <c r="GW334" s="164"/>
      <c r="GX334" s="164"/>
      <c r="GY334" s="164"/>
      <c r="GZ334" s="164"/>
      <c r="HA334" s="164"/>
      <c r="HB334" s="164"/>
      <c r="HC334" s="164"/>
      <c r="HD334" s="164"/>
      <c r="HE334" s="164"/>
      <c r="HF334" s="164"/>
      <c r="HG334" s="164"/>
      <c r="HH334" s="164"/>
      <c r="HI334" s="164"/>
      <c r="HJ334" s="164"/>
      <c r="HK334" s="164"/>
      <c r="HL334" s="164"/>
      <c r="HM334" s="164"/>
      <c r="HN334" s="164"/>
      <c r="HO334" s="164"/>
      <c r="HP334" s="164"/>
      <c r="HQ334" s="164"/>
      <c r="HR334" s="164"/>
      <c r="HS334" s="164"/>
      <c r="HT334" s="164"/>
      <c r="HU334" s="164"/>
      <c r="HV334" s="164"/>
      <c r="HW334" s="164"/>
      <c r="HX334" s="164"/>
      <c r="HY334" s="164"/>
      <c r="HZ334" s="164"/>
      <c r="IA334" s="164"/>
      <c r="IB334" s="164"/>
      <c r="IC334" s="164"/>
      <c r="ID334" s="164"/>
      <c r="IE334" s="164"/>
      <c r="IF334" s="164"/>
      <c r="IG334" s="164"/>
      <c r="IH334" s="164"/>
      <c r="II334" s="164"/>
      <c r="IJ334" s="164"/>
      <c r="IK334" s="164"/>
      <c r="IL334" s="164"/>
      <c r="IM334" s="164"/>
      <c r="IN334" s="164"/>
      <c r="IO334" s="164"/>
      <c r="IP334" s="164"/>
      <c r="IQ334" s="164"/>
      <c r="IR334" s="164"/>
      <c r="IS334" s="164"/>
      <c r="IT334" s="164"/>
      <c r="IU334" s="164"/>
      <c r="IV334" s="164"/>
      <c r="IW334" s="164"/>
      <c r="IX334" s="164"/>
      <c r="IY334" s="164"/>
      <c r="IZ334" s="164"/>
    </row>
    <row r="335" spans="23:260" ht="5.15" customHeight="1" x14ac:dyDescent="0.35">
      <c r="W335" s="164"/>
      <c r="X335" s="164"/>
      <c r="Y335" s="164"/>
      <c r="Z335" s="164"/>
      <c r="AA335" s="164"/>
      <c r="AB335" s="164"/>
      <c r="AC335" s="164"/>
      <c r="AD335" s="164"/>
      <c r="AE335" s="164"/>
      <c r="AF335" s="164"/>
      <c r="AG335" s="164"/>
      <c r="AH335" s="164"/>
      <c r="AI335" s="164"/>
      <c r="AJ335" s="164"/>
      <c r="AK335" s="164"/>
      <c r="AL335" s="164"/>
      <c r="AM335" s="164"/>
      <c r="AN335" s="164"/>
      <c r="AO335" s="164"/>
      <c r="AP335" s="164"/>
      <c r="AQ335" s="164"/>
      <c r="AR335" s="164"/>
      <c r="AS335" s="164"/>
      <c r="AT335" s="164"/>
      <c r="AU335" s="164"/>
      <c r="AV335" s="164"/>
      <c r="AW335" s="164"/>
      <c r="AX335" s="164"/>
      <c r="AY335" s="164"/>
      <c r="AZ335" s="164"/>
      <c r="BA335" s="164"/>
      <c r="BB335" s="164"/>
      <c r="BC335" s="164"/>
      <c r="BD335" s="164"/>
      <c r="BE335" s="164"/>
      <c r="BF335" s="164"/>
      <c r="BG335" s="164"/>
      <c r="BH335" s="164"/>
      <c r="BI335" s="164"/>
      <c r="BJ335" s="164"/>
      <c r="BK335" s="164"/>
      <c r="BL335" s="164"/>
      <c r="BM335" s="164"/>
      <c r="BN335" s="164"/>
      <c r="BO335" s="164"/>
      <c r="BP335" s="164"/>
      <c r="DS335" s="164"/>
      <c r="DT335" s="164"/>
      <c r="DU335" s="164"/>
      <c r="DV335" s="164"/>
      <c r="DW335" s="164"/>
      <c r="DX335" s="164"/>
      <c r="DY335" s="164"/>
      <c r="DZ335" s="164"/>
      <c r="EA335" s="164"/>
      <c r="EB335" s="164"/>
      <c r="EC335" s="164"/>
      <c r="ED335" s="164"/>
      <c r="EE335" s="164"/>
      <c r="EF335" s="164"/>
      <c r="EG335" s="164"/>
      <c r="EH335" s="164"/>
      <c r="EI335" s="164"/>
      <c r="EJ335" s="164"/>
      <c r="EK335" s="164"/>
      <c r="EL335" s="164"/>
      <c r="EM335" s="164"/>
      <c r="EN335" s="164"/>
      <c r="EO335" s="164"/>
      <c r="EP335" s="164"/>
      <c r="EQ335" s="164"/>
      <c r="ER335" s="164"/>
      <c r="ES335" s="164"/>
      <c r="ET335" s="164"/>
      <c r="EU335" s="164"/>
      <c r="EV335" s="164"/>
      <c r="EW335" s="164"/>
      <c r="EX335" s="164"/>
      <c r="EY335" s="164"/>
      <c r="EZ335" s="164"/>
      <c r="FA335" s="164"/>
      <c r="FB335" s="164"/>
      <c r="FC335" s="164"/>
      <c r="FD335" s="164"/>
      <c r="FE335" s="164"/>
      <c r="FF335" s="164"/>
      <c r="FG335" s="164"/>
      <c r="FH335" s="164"/>
      <c r="FI335" s="164"/>
      <c r="FK335" s="164"/>
      <c r="FL335" s="164"/>
      <c r="FM335" s="164"/>
      <c r="FN335" s="164"/>
      <c r="FO335" s="164"/>
      <c r="FP335" s="164"/>
      <c r="FQ335" s="164"/>
      <c r="FR335" s="164"/>
      <c r="FS335" s="164"/>
      <c r="FT335" s="164"/>
      <c r="FU335" s="164"/>
      <c r="FV335" s="164"/>
      <c r="FW335" s="164"/>
      <c r="FX335" s="164"/>
      <c r="FY335" s="164"/>
      <c r="FZ335" s="164"/>
      <c r="GA335" s="164"/>
      <c r="GB335" s="164"/>
      <c r="GC335" s="164"/>
      <c r="GD335" s="164"/>
      <c r="GE335" s="164"/>
      <c r="GF335" s="164"/>
      <c r="GG335" s="164"/>
      <c r="GH335" s="164"/>
      <c r="GI335" s="164"/>
      <c r="GJ335" s="164"/>
      <c r="GK335" s="164"/>
      <c r="GL335" s="164"/>
      <c r="GM335" s="164"/>
      <c r="GN335" s="164"/>
      <c r="GO335" s="164"/>
      <c r="GP335" s="164"/>
      <c r="GQ335" s="164"/>
      <c r="GR335" s="164"/>
      <c r="GS335" s="164"/>
      <c r="GT335" s="164"/>
      <c r="GU335" s="164"/>
      <c r="GV335" s="164"/>
      <c r="GW335" s="164"/>
      <c r="GX335" s="164"/>
      <c r="GY335" s="164"/>
      <c r="GZ335" s="164"/>
      <c r="HA335" s="164"/>
      <c r="HB335" s="164"/>
      <c r="HC335" s="164"/>
      <c r="HD335" s="164"/>
      <c r="HE335" s="164"/>
      <c r="HF335" s="164"/>
      <c r="HG335" s="164"/>
      <c r="HH335" s="164"/>
      <c r="HI335" s="164"/>
      <c r="HJ335" s="164"/>
      <c r="HK335" s="164"/>
      <c r="HL335" s="164"/>
      <c r="HM335" s="164"/>
      <c r="HN335" s="164"/>
      <c r="HO335" s="164"/>
      <c r="HP335" s="164"/>
      <c r="HQ335" s="164"/>
      <c r="HR335" s="164"/>
      <c r="HS335" s="164"/>
      <c r="HT335" s="164"/>
      <c r="HU335" s="164"/>
      <c r="HV335" s="164"/>
      <c r="HW335" s="164"/>
      <c r="HX335" s="164"/>
      <c r="HY335" s="164"/>
      <c r="HZ335" s="164"/>
      <c r="IA335" s="164"/>
      <c r="IB335" s="164"/>
      <c r="IC335" s="164"/>
      <c r="ID335" s="164"/>
      <c r="IE335" s="164"/>
      <c r="IF335" s="164"/>
      <c r="IG335" s="164"/>
      <c r="IH335" s="164"/>
      <c r="II335" s="164"/>
      <c r="IJ335" s="164"/>
      <c r="IK335" s="164"/>
      <c r="IL335" s="164"/>
      <c r="IM335" s="164"/>
      <c r="IN335" s="164"/>
      <c r="IO335" s="164"/>
      <c r="IP335" s="164"/>
      <c r="IQ335" s="164"/>
      <c r="IR335" s="164"/>
      <c r="IS335" s="164"/>
      <c r="IT335" s="164"/>
      <c r="IU335" s="164"/>
      <c r="IV335" s="164"/>
      <c r="IW335" s="164"/>
      <c r="IX335" s="164"/>
      <c r="IY335" s="164"/>
      <c r="IZ335" s="164"/>
    </row>
    <row r="336" spans="23:260" ht="5.15" customHeight="1" x14ac:dyDescent="0.35">
      <c r="W336" s="164"/>
      <c r="X336" s="164"/>
      <c r="Y336" s="164"/>
      <c r="Z336" s="164"/>
      <c r="AA336" s="164"/>
      <c r="AB336" s="164"/>
      <c r="AC336" s="164"/>
      <c r="AD336" s="164"/>
      <c r="AE336" s="164"/>
      <c r="AF336" s="164"/>
      <c r="AG336" s="164"/>
      <c r="AH336" s="164"/>
      <c r="AI336" s="164"/>
      <c r="AJ336" s="164"/>
      <c r="AK336" s="164"/>
      <c r="AL336" s="164"/>
      <c r="AM336" s="164"/>
      <c r="AN336" s="164"/>
      <c r="AO336" s="164"/>
      <c r="AP336" s="164"/>
      <c r="AQ336" s="164"/>
      <c r="AR336" s="164"/>
      <c r="AS336" s="164"/>
      <c r="AT336" s="164"/>
      <c r="AU336" s="164"/>
      <c r="AV336" s="164"/>
      <c r="AW336" s="164"/>
      <c r="AX336" s="164"/>
      <c r="AY336" s="164"/>
      <c r="AZ336" s="164"/>
      <c r="BA336" s="164"/>
      <c r="BB336" s="164"/>
      <c r="BC336" s="164"/>
      <c r="BD336" s="164"/>
      <c r="BE336" s="164"/>
      <c r="BF336" s="164"/>
      <c r="BG336" s="164"/>
      <c r="BH336" s="164"/>
      <c r="BI336" s="164"/>
      <c r="BJ336" s="164"/>
      <c r="BK336" s="164"/>
      <c r="BL336" s="164"/>
      <c r="BM336" s="164"/>
      <c r="BN336" s="164"/>
      <c r="BO336" s="164"/>
      <c r="BP336" s="164"/>
      <c r="DS336" s="164"/>
      <c r="DT336" s="164"/>
      <c r="DU336" s="164"/>
      <c r="DV336" s="164"/>
      <c r="DW336" s="164"/>
      <c r="DX336" s="164"/>
      <c r="DY336" s="164"/>
      <c r="DZ336" s="164"/>
      <c r="EA336" s="164"/>
      <c r="EB336" s="164"/>
      <c r="EC336" s="164"/>
      <c r="ED336" s="164"/>
      <c r="EE336" s="164"/>
      <c r="EF336" s="164"/>
      <c r="EG336" s="164"/>
      <c r="EH336" s="164"/>
      <c r="EI336" s="164"/>
      <c r="EJ336" s="164"/>
      <c r="EK336" s="164"/>
      <c r="EL336" s="164"/>
      <c r="EM336" s="164"/>
      <c r="EN336" s="164"/>
      <c r="EO336" s="164"/>
      <c r="EP336" s="164"/>
      <c r="EQ336" s="164"/>
      <c r="ER336" s="164"/>
      <c r="ES336" s="164"/>
      <c r="ET336" s="164"/>
      <c r="EU336" s="164"/>
      <c r="EV336" s="164"/>
      <c r="EW336" s="164"/>
      <c r="EX336" s="164"/>
      <c r="EY336" s="164"/>
      <c r="EZ336" s="164"/>
      <c r="FA336" s="164"/>
      <c r="FB336" s="164"/>
      <c r="FC336" s="164"/>
      <c r="FD336" s="164"/>
      <c r="FE336" s="164"/>
      <c r="FF336" s="164"/>
      <c r="FG336" s="164"/>
      <c r="FH336" s="164"/>
      <c r="FI336" s="164"/>
      <c r="FK336" s="164"/>
      <c r="FL336" s="164"/>
      <c r="FM336" s="164"/>
      <c r="FN336" s="164"/>
      <c r="FO336" s="164"/>
      <c r="FP336" s="164"/>
      <c r="FQ336" s="164"/>
      <c r="FR336" s="164"/>
      <c r="FS336" s="164"/>
      <c r="FT336" s="164"/>
      <c r="FU336" s="164"/>
      <c r="FV336" s="164"/>
      <c r="FW336" s="164"/>
      <c r="FX336" s="164"/>
      <c r="FY336" s="164"/>
      <c r="FZ336" s="164"/>
      <c r="GA336" s="164"/>
      <c r="GB336" s="164"/>
      <c r="GC336" s="164"/>
      <c r="GD336" s="164"/>
      <c r="GE336" s="164"/>
      <c r="GF336" s="164"/>
      <c r="GG336" s="164"/>
      <c r="GH336" s="164"/>
      <c r="GI336" s="164"/>
      <c r="GJ336" s="164"/>
      <c r="GK336" s="164"/>
      <c r="GL336" s="164"/>
      <c r="GM336" s="164"/>
      <c r="GN336" s="164"/>
      <c r="GO336" s="164"/>
      <c r="GP336" s="164"/>
      <c r="GQ336" s="164"/>
      <c r="GR336" s="164"/>
      <c r="GS336" s="164"/>
      <c r="GT336" s="164"/>
      <c r="GU336" s="164"/>
      <c r="GV336" s="164"/>
      <c r="GW336" s="164"/>
      <c r="GX336" s="164"/>
      <c r="GY336" s="164"/>
      <c r="GZ336" s="164"/>
      <c r="HA336" s="164"/>
      <c r="HB336" s="164"/>
      <c r="HC336" s="164"/>
      <c r="HD336" s="164"/>
      <c r="HE336" s="164"/>
      <c r="HF336" s="164"/>
      <c r="HG336" s="164"/>
      <c r="HH336" s="164"/>
      <c r="HI336" s="164"/>
      <c r="HJ336" s="164"/>
      <c r="HK336" s="164"/>
      <c r="HL336" s="164"/>
      <c r="HM336" s="164"/>
      <c r="HN336" s="164"/>
      <c r="HO336" s="164"/>
      <c r="HP336" s="164"/>
      <c r="HQ336" s="164"/>
      <c r="HR336" s="164"/>
      <c r="HS336" s="164"/>
      <c r="HT336" s="164"/>
      <c r="HU336" s="164"/>
      <c r="HV336" s="164"/>
      <c r="HW336" s="164"/>
      <c r="HX336" s="164"/>
      <c r="HY336" s="164"/>
      <c r="HZ336" s="164"/>
      <c r="IA336" s="164"/>
      <c r="IB336" s="164"/>
      <c r="IC336" s="164"/>
      <c r="ID336" s="164"/>
      <c r="IE336" s="164"/>
      <c r="IF336" s="164"/>
      <c r="IG336" s="164"/>
      <c r="IH336" s="164"/>
      <c r="II336" s="164"/>
      <c r="IJ336" s="164"/>
      <c r="IK336" s="164"/>
      <c r="IL336" s="164"/>
      <c r="IM336" s="164"/>
      <c r="IN336" s="164"/>
      <c r="IO336" s="164"/>
      <c r="IP336" s="164"/>
      <c r="IQ336" s="164"/>
      <c r="IR336" s="164"/>
      <c r="IS336" s="164"/>
      <c r="IT336" s="164"/>
      <c r="IU336" s="164"/>
      <c r="IV336" s="164"/>
      <c r="IW336" s="164"/>
      <c r="IX336" s="164"/>
      <c r="IY336" s="164"/>
      <c r="IZ336" s="164"/>
    </row>
    <row r="337" spans="23:260" ht="5.15" customHeight="1" x14ac:dyDescent="0.35">
      <c r="W337" s="164"/>
      <c r="X337" s="164"/>
      <c r="Y337" s="164"/>
      <c r="Z337" s="164"/>
      <c r="AA337" s="164"/>
      <c r="AB337" s="164"/>
      <c r="AC337" s="164"/>
      <c r="AD337" s="164"/>
      <c r="AE337" s="164"/>
      <c r="AF337" s="164"/>
      <c r="AG337" s="164"/>
      <c r="AH337" s="164"/>
      <c r="AI337" s="164"/>
      <c r="AJ337" s="164"/>
      <c r="AK337" s="164"/>
      <c r="AL337" s="164"/>
      <c r="AM337" s="164"/>
      <c r="AN337" s="164"/>
      <c r="AO337" s="164"/>
      <c r="AP337" s="164"/>
      <c r="AQ337" s="164"/>
      <c r="AR337" s="164"/>
      <c r="AS337" s="164"/>
      <c r="AT337" s="164"/>
      <c r="AU337" s="164"/>
      <c r="AV337" s="164"/>
      <c r="AW337" s="164"/>
      <c r="AX337" s="164"/>
      <c r="AY337" s="164"/>
      <c r="AZ337" s="164"/>
      <c r="BA337" s="164"/>
      <c r="BB337" s="164"/>
      <c r="BC337" s="164"/>
      <c r="BD337" s="164"/>
      <c r="BE337" s="164"/>
      <c r="BF337" s="164"/>
      <c r="BG337" s="164"/>
      <c r="BH337" s="164"/>
      <c r="BI337" s="164"/>
      <c r="BJ337" s="164"/>
      <c r="BK337" s="164"/>
      <c r="BL337" s="164"/>
      <c r="BM337" s="164"/>
      <c r="BN337" s="164"/>
      <c r="BO337" s="164"/>
      <c r="BP337" s="164"/>
      <c r="DS337" s="164"/>
      <c r="DT337" s="164"/>
      <c r="DU337" s="164"/>
      <c r="DV337" s="164"/>
      <c r="DW337" s="164"/>
      <c r="DX337" s="164"/>
      <c r="DY337" s="164"/>
      <c r="DZ337" s="164"/>
      <c r="EA337" s="164"/>
      <c r="EB337" s="164"/>
      <c r="EC337" s="164"/>
      <c r="ED337" s="164"/>
      <c r="EE337" s="164"/>
      <c r="EF337" s="164"/>
      <c r="EG337" s="164"/>
      <c r="EH337" s="164"/>
      <c r="EI337" s="164"/>
      <c r="EJ337" s="164"/>
      <c r="EK337" s="164"/>
      <c r="EL337" s="164"/>
      <c r="EM337" s="164"/>
      <c r="EN337" s="164"/>
      <c r="EO337" s="164"/>
      <c r="EP337" s="164"/>
      <c r="EQ337" s="164"/>
      <c r="ER337" s="164"/>
      <c r="ES337" s="164"/>
      <c r="ET337" s="164"/>
      <c r="EU337" s="164"/>
      <c r="EV337" s="164"/>
      <c r="EW337" s="164"/>
      <c r="EX337" s="164"/>
      <c r="EY337" s="164"/>
      <c r="EZ337" s="164"/>
      <c r="FA337" s="164"/>
      <c r="FB337" s="164"/>
      <c r="FC337" s="164"/>
      <c r="FD337" s="164"/>
      <c r="FE337" s="164"/>
      <c r="FF337" s="164"/>
      <c r="FG337" s="164"/>
      <c r="FH337" s="164"/>
      <c r="FI337" s="164"/>
      <c r="FK337" s="164"/>
      <c r="FL337" s="164"/>
      <c r="FM337" s="164"/>
      <c r="FN337" s="164"/>
      <c r="FO337" s="164"/>
      <c r="FP337" s="164"/>
      <c r="FQ337" s="164"/>
      <c r="FR337" s="164"/>
      <c r="FS337" s="164"/>
      <c r="FT337" s="164"/>
      <c r="FU337" s="164"/>
      <c r="FV337" s="164"/>
      <c r="FW337" s="164"/>
      <c r="FX337" s="164"/>
      <c r="FY337" s="164"/>
      <c r="FZ337" s="164"/>
      <c r="GA337" s="164"/>
      <c r="GB337" s="164"/>
      <c r="GC337" s="164"/>
      <c r="GD337" s="164"/>
      <c r="GE337" s="164"/>
      <c r="GF337" s="164"/>
      <c r="GG337" s="164"/>
      <c r="GH337" s="164"/>
      <c r="GI337" s="164"/>
      <c r="GJ337" s="164"/>
      <c r="GK337" s="164"/>
      <c r="GL337" s="164"/>
      <c r="GM337" s="164"/>
      <c r="GN337" s="164"/>
      <c r="GO337" s="164"/>
      <c r="GP337" s="164"/>
      <c r="GQ337" s="164"/>
      <c r="GR337" s="164"/>
      <c r="GS337" s="164"/>
      <c r="GT337" s="164"/>
      <c r="GU337" s="164"/>
      <c r="GV337" s="164"/>
      <c r="GW337" s="164"/>
      <c r="GX337" s="164"/>
      <c r="GY337" s="164"/>
      <c r="GZ337" s="164"/>
      <c r="HA337" s="164"/>
      <c r="HB337" s="164"/>
      <c r="HC337" s="164"/>
      <c r="HD337" s="164"/>
      <c r="HE337" s="164"/>
      <c r="HF337" s="164"/>
      <c r="HG337" s="164"/>
      <c r="HH337" s="164"/>
      <c r="HI337" s="164"/>
      <c r="HJ337" s="164"/>
      <c r="HK337" s="164"/>
      <c r="HL337" s="164"/>
      <c r="HM337" s="164"/>
      <c r="HN337" s="164"/>
      <c r="HO337" s="164"/>
      <c r="HP337" s="164"/>
      <c r="HQ337" s="164"/>
      <c r="HR337" s="164"/>
      <c r="HS337" s="164"/>
      <c r="HT337" s="164"/>
      <c r="HU337" s="164"/>
      <c r="HV337" s="164"/>
      <c r="HW337" s="164"/>
      <c r="HX337" s="164"/>
      <c r="HY337" s="164"/>
      <c r="HZ337" s="164"/>
      <c r="IA337" s="164"/>
      <c r="IB337" s="164"/>
      <c r="IC337" s="164"/>
      <c r="ID337" s="164"/>
      <c r="IE337" s="164"/>
      <c r="IF337" s="164"/>
      <c r="IG337" s="164"/>
      <c r="IH337" s="164"/>
      <c r="II337" s="164"/>
      <c r="IJ337" s="164"/>
      <c r="IK337" s="164"/>
      <c r="IL337" s="164"/>
      <c r="IM337" s="164"/>
      <c r="IN337" s="164"/>
      <c r="IO337" s="164"/>
      <c r="IP337" s="164"/>
      <c r="IQ337" s="164"/>
      <c r="IR337" s="164"/>
      <c r="IS337" s="164"/>
      <c r="IT337" s="164"/>
      <c r="IU337" s="164"/>
      <c r="IV337" s="164"/>
      <c r="IW337" s="164"/>
      <c r="IX337" s="164"/>
      <c r="IY337" s="164"/>
      <c r="IZ337" s="164"/>
    </row>
  </sheetData>
  <mergeCells count="114">
    <mergeCell ref="OM254:PN258"/>
    <mergeCell ref="PO254:QP258"/>
    <mergeCell ref="F253:AG257"/>
    <mergeCell ref="AH253:BI257"/>
    <mergeCell ref="BJ253:CK257"/>
    <mergeCell ref="NK254:OL258"/>
    <mergeCell ref="F243:AG247"/>
    <mergeCell ref="AH243:BI247"/>
    <mergeCell ref="BJ243:CK247"/>
    <mergeCell ref="F248:AG252"/>
    <mergeCell ref="AH248:BI252"/>
    <mergeCell ref="BJ248:CK252"/>
    <mergeCell ref="OD242:QA250"/>
    <mergeCell ref="QB242:QM250"/>
    <mergeCell ref="OS187:QF196"/>
    <mergeCell ref="CF163:DT172"/>
    <mergeCell ref="DU163:DY172"/>
    <mergeCell ref="OS165:QF174"/>
    <mergeCell ref="QG165:QL174"/>
    <mergeCell ref="CF173:DT182"/>
    <mergeCell ref="DU173:DY182"/>
    <mergeCell ref="OS175:QF184"/>
    <mergeCell ref="QG175:QL184"/>
    <mergeCell ref="CF183:DT192"/>
    <mergeCell ref="DU183:DY192"/>
    <mergeCell ref="QG187:QL196"/>
    <mergeCell ref="CF193:DT202"/>
    <mergeCell ref="DU193:DY202"/>
    <mergeCell ref="OS197:QF206"/>
    <mergeCell ref="QG197:QL206"/>
    <mergeCell ref="CF143:DT152"/>
    <mergeCell ref="DU143:DY152"/>
    <mergeCell ref="EG143:FU152"/>
    <mergeCell ref="FV143:FZ152"/>
    <mergeCell ref="CF153:DT162"/>
    <mergeCell ref="DU153:DY162"/>
    <mergeCell ref="EG153:FU162"/>
    <mergeCell ref="FV153:FZ162"/>
    <mergeCell ref="LK123:MX132"/>
    <mergeCell ref="MY123:NC132"/>
    <mergeCell ref="CF133:DT142"/>
    <mergeCell ref="DU133:DY142"/>
    <mergeCell ref="EG133:FU142"/>
    <mergeCell ref="FV133:FZ142"/>
    <mergeCell ref="JN113:LA122"/>
    <mergeCell ref="LB113:LF122"/>
    <mergeCell ref="LK113:MX122"/>
    <mergeCell ref="MY113:NC122"/>
    <mergeCell ref="CF121:DT130"/>
    <mergeCell ref="DU121:DY130"/>
    <mergeCell ref="EG121:FU130"/>
    <mergeCell ref="FV121:FZ130"/>
    <mergeCell ref="JN123:LA132"/>
    <mergeCell ref="LB123:LF132"/>
    <mergeCell ref="HP105:JC114"/>
    <mergeCell ref="JD105:JH114"/>
    <mergeCell ref="CF109:DT118"/>
    <mergeCell ref="DU109:DY118"/>
    <mergeCell ref="EG109:FU118"/>
    <mergeCell ref="FV109:FZ118"/>
    <mergeCell ref="LK93:MX102"/>
    <mergeCell ref="MY93:NC102"/>
    <mergeCell ref="NI93:OV102"/>
    <mergeCell ref="OW93:PB102"/>
    <mergeCell ref="JN103:LA112"/>
    <mergeCell ref="LB103:LF112"/>
    <mergeCell ref="LK103:MX112"/>
    <mergeCell ref="MY103:NC112"/>
    <mergeCell ref="DM91:FA100"/>
    <mergeCell ref="FB91:FF100"/>
    <mergeCell ref="HP93:JC102"/>
    <mergeCell ref="JD93:JH102"/>
    <mergeCell ref="JN93:LA102"/>
    <mergeCell ref="LB93:LF102"/>
    <mergeCell ref="I70:AW78"/>
    <mergeCell ref="AX70:BB78"/>
    <mergeCell ref="BZ70:DM79"/>
    <mergeCell ref="DN70:DS79"/>
    <mergeCell ref="MO51:OC59"/>
    <mergeCell ref="OD51:OI59"/>
    <mergeCell ref="OQ51:QE59"/>
    <mergeCell ref="JN79:LA88"/>
    <mergeCell ref="LB79:LF88"/>
    <mergeCell ref="LK79:MX88"/>
    <mergeCell ref="MY79:NC88"/>
    <mergeCell ref="NH79:OU88"/>
    <mergeCell ref="OV79:PA88"/>
    <mergeCell ref="ET71:GG80"/>
    <mergeCell ref="GH71:GM80"/>
    <mergeCell ref="I79:AW87"/>
    <mergeCell ref="AX79:BB87"/>
    <mergeCell ref="HP79:JC88"/>
    <mergeCell ref="JD79:JH88"/>
    <mergeCell ref="E5:QP8"/>
    <mergeCell ref="E9:QP11"/>
    <mergeCell ref="E12:QP15"/>
    <mergeCell ref="HC19:IQ27"/>
    <mergeCell ref="IR19:IU27"/>
    <mergeCell ref="MU19:NY22"/>
    <mergeCell ref="QF51:QK59"/>
    <mergeCell ref="KI52:LU61"/>
    <mergeCell ref="LV52:LZ61"/>
    <mergeCell ref="I37:AW46"/>
    <mergeCell ref="AX37:BB46"/>
    <mergeCell ref="NN37:PB46"/>
    <mergeCell ref="PC37:PH46"/>
    <mergeCell ref="KI40:LU49"/>
    <mergeCell ref="LV40:LZ49"/>
    <mergeCell ref="DI46:EW54"/>
    <mergeCell ref="EX46:FA54"/>
    <mergeCell ref="I48:AW57"/>
    <mergeCell ref="AX48:BB57"/>
    <mergeCell ref="I59:AW68"/>
    <mergeCell ref="AX59:BB6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88F1-781F-45CA-813E-1B678EB12F22}">
  <dimension ref="A1:V158"/>
  <sheetViews>
    <sheetView topLeftCell="B1" zoomScale="85" zoomScaleNormal="85" workbookViewId="0">
      <selection activeCell="J23" sqref="J23"/>
    </sheetView>
  </sheetViews>
  <sheetFormatPr defaultColWidth="9" defaultRowHeight="15.5" x14ac:dyDescent="0.35"/>
  <cols>
    <col min="1" max="1" width="9.54296875" style="31" bestFit="1" customWidth="1"/>
    <col min="2" max="2" width="11.54296875" style="31" customWidth="1"/>
    <col min="3" max="3" width="50.26953125" style="32" bestFit="1" customWidth="1"/>
    <col min="4" max="4" width="16.7265625" style="31" customWidth="1"/>
    <col min="5" max="5" width="19.54296875" style="31" hidden="1" customWidth="1"/>
    <col min="6" max="6" width="21.81640625" style="31" hidden="1" customWidth="1"/>
    <col min="7" max="7" width="53.81640625" style="1" bestFit="1" customWidth="1"/>
    <col min="8" max="8" width="19" style="31" bestFit="1" customWidth="1"/>
    <col min="9" max="9" width="26.7265625" style="31" bestFit="1" customWidth="1"/>
    <col min="10" max="10" width="26.7265625" style="31" customWidth="1"/>
    <col min="11" max="12" width="21.81640625" style="31" customWidth="1"/>
    <col min="13" max="13" width="46" style="61" customWidth="1"/>
    <col min="14" max="16384" width="9" style="1"/>
  </cols>
  <sheetData>
    <row r="1" spans="1:13" ht="16" thickBot="1" x14ac:dyDescent="0.4">
      <c r="A1" s="283"/>
      <c r="B1" s="283"/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4"/>
    </row>
    <row r="2" spans="1:13" ht="18" x14ac:dyDescent="0.35">
      <c r="A2" s="285" t="s">
        <v>114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7"/>
    </row>
    <row r="3" spans="1:13" ht="31.5" thickBot="1" x14ac:dyDescent="0.4">
      <c r="A3" s="67" t="s">
        <v>0</v>
      </c>
      <c r="B3" s="33" t="s">
        <v>72</v>
      </c>
      <c r="C3" s="112" t="s">
        <v>73</v>
      </c>
      <c r="D3" s="33" t="s">
        <v>1</v>
      </c>
      <c r="E3" s="33" t="s">
        <v>210</v>
      </c>
      <c r="F3" s="33" t="s">
        <v>211</v>
      </c>
      <c r="G3" s="33" t="s">
        <v>62</v>
      </c>
      <c r="H3" s="33" t="s">
        <v>2</v>
      </c>
      <c r="I3" s="33" t="s">
        <v>3</v>
      </c>
      <c r="J3" s="33" t="s">
        <v>410</v>
      </c>
      <c r="K3" s="33" t="s">
        <v>409</v>
      </c>
      <c r="L3" s="83" t="s">
        <v>408</v>
      </c>
      <c r="M3" s="68" t="s">
        <v>6</v>
      </c>
    </row>
    <row r="4" spans="1:13" s="2" customFormat="1" x14ac:dyDescent="0.35">
      <c r="A4" s="113" t="s">
        <v>7</v>
      </c>
      <c r="B4" s="114">
        <f>SUM(B5:B17)</f>
        <v>13</v>
      </c>
      <c r="C4" s="115" t="s">
        <v>8</v>
      </c>
      <c r="D4" s="116"/>
      <c r="E4" s="116"/>
      <c r="F4" s="116"/>
      <c r="G4" s="116"/>
      <c r="H4" s="116"/>
      <c r="I4" s="116"/>
      <c r="J4" s="116"/>
      <c r="K4" s="114"/>
      <c r="L4" s="114"/>
      <c r="M4" s="117"/>
    </row>
    <row r="5" spans="1:13" s="9" customFormat="1" x14ac:dyDescent="0.35">
      <c r="A5" s="19">
        <v>1</v>
      </c>
      <c r="B5" s="13">
        <v>1</v>
      </c>
      <c r="C5" s="38" t="s">
        <v>9</v>
      </c>
      <c r="D5" s="39">
        <v>1755871</v>
      </c>
      <c r="E5" s="39"/>
      <c r="F5" s="39">
        <v>8715773</v>
      </c>
      <c r="G5" s="40" t="s">
        <v>234</v>
      </c>
      <c r="H5" s="37" t="s">
        <v>10</v>
      </c>
      <c r="I5" s="5" t="s">
        <v>11</v>
      </c>
      <c r="J5" s="244">
        <v>34229</v>
      </c>
      <c r="K5" s="245"/>
      <c r="L5" s="245"/>
      <c r="M5" s="18"/>
    </row>
    <row r="6" spans="1:13" s="9" customFormat="1" x14ac:dyDescent="0.35">
      <c r="A6" s="66">
        <f>A5+1</f>
        <v>2</v>
      </c>
      <c r="B6" s="11">
        <v>1</v>
      </c>
      <c r="C6" s="12" t="s">
        <v>64</v>
      </c>
      <c r="D6" s="41">
        <v>1756078</v>
      </c>
      <c r="E6" s="11">
        <v>2595527355</v>
      </c>
      <c r="F6" s="11">
        <v>8769558</v>
      </c>
      <c r="G6" s="98" t="s">
        <v>236</v>
      </c>
      <c r="H6" s="11" t="s">
        <v>13</v>
      </c>
      <c r="I6" s="11" t="s">
        <v>11</v>
      </c>
      <c r="J6" s="244">
        <v>29006</v>
      </c>
      <c r="K6" s="244">
        <v>43430</v>
      </c>
      <c r="L6" s="244">
        <v>47082</v>
      </c>
      <c r="M6" s="29"/>
    </row>
    <row r="7" spans="1:13" s="9" customFormat="1" x14ac:dyDescent="0.35">
      <c r="A7" s="66">
        <f t="shared" ref="A7:A17" si="0">A6+1</f>
        <v>3</v>
      </c>
      <c r="B7" s="5">
        <v>1</v>
      </c>
      <c r="C7" s="10" t="s">
        <v>14</v>
      </c>
      <c r="D7" s="5">
        <v>1756509</v>
      </c>
      <c r="E7" s="110"/>
      <c r="F7" s="110"/>
      <c r="G7" s="103" t="s">
        <v>231</v>
      </c>
      <c r="H7" s="37" t="s">
        <v>10</v>
      </c>
      <c r="I7" s="102" t="s">
        <v>11</v>
      </c>
      <c r="J7" s="244"/>
      <c r="K7" s="246"/>
      <c r="L7" s="245"/>
      <c r="M7" s="118"/>
    </row>
    <row r="8" spans="1:13" s="9" customFormat="1" x14ac:dyDescent="0.35">
      <c r="A8" s="66">
        <f t="shared" si="0"/>
        <v>4</v>
      </c>
      <c r="B8" s="5">
        <v>1</v>
      </c>
      <c r="C8" s="10" t="s">
        <v>119</v>
      </c>
      <c r="D8" s="11">
        <v>1755100</v>
      </c>
      <c r="E8" s="5">
        <v>2431843784</v>
      </c>
      <c r="F8" s="5">
        <v>7298799</v>
      </c>
      <c r="G8" s="54" t="s">
        <v>120</v>
      </c>
      <c r="H8" s="11" t="s">
        <v>70</v>
      </c>
      <c r="I8" s="11" t="s">
        <v>11</v>
      </c>
      <c r="J8" s="244">
        <v>26131</v>
      </c>
      <c r="K8" s="244">
        <v>44320</v>
      </c>
      <c r="L8" s="245">
        <v>47971</v>
      </c>
      <c r="M8" s="53"/>
    </row>
    <row r="9" spans="1:13" s="16" customFormat="1" x14ac:dyDescent="0.35">
      <c r="A9" s="66">
        <f t="shared" si="0"/>
        <v>5</v>
      </c>
      <c r="B9" s="5">
        <v>1</v>
      </c>
      <c r="C9" s="8" t="s">
        <v>65</v>
      </c>
      <c r="D9" s="39">
        <v>1753292</v>
      </c>
      <c r="E9" s="5">
        <v>2368186892</v>
      </c>
      <c r="F9" s="5">
        <v>7298796</v>
      </c>
      <c r="G9" s="8" t="s">
        <v>212</v>
      </c>
      <c r="H9" s="5" t="s">
        <v>70</v>
      </c>
      <c r="I9" s="6" t="s">
        <v>11</v>
      </c>
      <c r="J9" s="244">
        <v>33668</v>
      </c>
      <c r="K9" s="244">
        <v>44620</v>
      </c>
      <c r="L9" s="245">
        <v>48271</v>
      </c>
      <c r="M9" s="50"/>
    </row>
    <row r="10" spans="1:13" s="16" customFormat="1" x14ac:dyDescent="0.35">
      <c r="A10" s="66">
        <f t="shared" si="0"/>
        <v>6</v>
      </c>
      <c r="B10" s="5">
        <v>1</v>
      </c>
      <c r="C10" s="8" t="s">
        <v>195</v>
      </c>
      <c r="D10" s="39">
        <v>1755946</v>
      </c>
      <c r="E10" s="5">
        <v>2583839564</v>
      </c>
      <c r="F10" s="40"/>
      <c r="G10" s="8" t="s">
        <v>160</v>
      </c>
      <c r="H10" s="11" t="s">
        <v>13</v>
      </c>
      <c r="I10" s="6" t="s">
        <v>11</v>
      </c>
      <c r="J10" s="244">
        <v>30758</v>
      </c>
      <c r="K10" s="245">
        <v>44783</v>
      </c>
      <c r="L10" s="245">
        <v>48435</v>
      </c>
      <c r="M10" s="43"/>
    </row>
    <row r="11" spans="1:13" s="9" customFormat="1" x14ac:dyDescent="0.35">
      <c r="A11" s="66">
        <f t="shared" si="0"/>
        <v>7</v>
      </c>
      <c r="B11" s="5">
        <v>1</v>
      </c>
      <c r="C11" s="8" t="s">
        <v>15</v>
      </c>
      <c r="D11" s="5">
        <v>1755990</v>
      </c>
      <c r="E11" s="5">
        <v>1097893760</v>
      </c>
      <c r="F11" s="39">
        <v>7293298</v>
      </c>
      <c r="G11" s="8" t="s">
        <v>198</v>
      </c>
      <c r="H11" s="37" t="s">
        <v>10</v>
      </c>
      <c r="I11" s="5" t="s">
        <v>11</v>
      </c>
      <c r="J11" s="244"/>
      <c r="K11" s="245"/>
      <c r="L11" s="245"/>
      <c r="M11" s="43"/>
    </row>
    <row r="12" spans="1:13" s="9" customFormat="1" x14ac:dyDescent="0.35">
      <c r="A12" s="66">
        <f t="shared" si="0"/>
        <v>8</v>
      </c>
      <c r="B12" s="11">
        <v>1</v>
      </c>
      <c r="C12" s="105" t="s">
        <v>77</v>
      </c>
      <c r="D12" s="11">
        <v>1755606</v>
      </c>
      <c r="E12" s="5">
        <v>2566354631</v>
      </c>
      <c r="F12" s="84">
        <v>8681744</v>
      </c>
      <c r="G12" s="12" t="s">
        <v>121</v>
      </c>
      <c r="H12" s="11" t="s">
        <v>13</v>
      </c>
      <c r="I12" s="11" t="s">
        <v>11</v>
      </c>
      <c r="J12" s="244">
        <v>33667</v>
      </c>
      <c r="K12" s="244">
        <v>45390</v>
      </c>
      <c r="L12" s="245">
        <v>49041</v>
      </c>
      <c r="M12" s="51"/>
    </row>
    <row r="13" spans="1:13" s="16" customFormat="1" x14ac:dyDescent="0.35">
      <c r="A13" s="66">
        <f t="shared" si="0"/>
        <v>9</v>
      </c>
      <c r="B13" s="5">
        <v>1</v>
      </c>
      <c r="C13" s="8" t="s">
        <v>122</v>
      </c>
      <c r="D13" s="5">
        <v>1756443</v>
      </c>
      <c r="E13" s="5">
        <v>2617597675</v>
      </c>
      <c r="F13" s="39"/>
      <c r="G13" s="8" t="s">
        <v>218</v>
      </c>
      <c r="H13" s="11" t="s">
        <v>13</v>
      </c>
      <c r="I13" s="5" t="s">
        <v>11</v>
      </c>
      <c r="J13" s="244">
        <v>35469</v>
      </c>
      <c r="K13" s="245">
        <v>45743</v>
      </c>
      <c r="L13" s="245">
        <v>49394</v>
      </c>
      <c r="M13" s="43"/>
    </row>
    <row r="14" spans="1:13" s="9" customFormat="1" x14ac:dyDescent="0.35">
      <c r="A14" s="66">
        <f t="shared" si="0"/>
        <v>10</v>
      </c>
      <c r="B14" s="5">
        <v>1</v>
      </c>
      <c r="C14" s="8" t="s">
        <v>66</v>
      </c>
      <c r="D14" s="5">
        <v>1755611</v>
      </c>
      <c r="E14" s="39">
        <v>2566403339</v>
      </c>
      <c r="F14" s="129">
        <v>8697738</v>
      </c>
      <c r="G14" s="236" t="s">
        <v>225</v>
      </c>
      <c r="H14" s="5" t="s">
        <v>13</v>
      </c>
      <c r="I14" s="5" t="s">
        <v>11</v>
      </c>
      <c r="J14" s="244"/>
      <c r="K14" s="245"/>
      <c r="L14" s="245"/>
      <c r="M14" s="39"/>
    </row>
    <row r="15" spans="1:13" s="9" customFormat="1" x14ac:dyDescent="0.35">
      <c r="A15" s="66">
        <f t="shared" si="0"/>
        <v>11</v>
      </c>
      <c r="B15" s="5">
        <v>1</v>
      </c>
      <c r="C15" s="8" t="s">
        <v>16</v>
      </c>
      <c r="D15" s="5">
        <v>1755355</v>
      </c>
      <c r="E15" s="5">
        <v>2538798873</v>
      </c>
      <c r="F15" s="5">
        <v>7306326</v>
      </c>
      <c r="G15" s="17" t="s">
        <v>123</v>
      </c>
      <c r="H15" s="5" t="s">
        <v>13</v>
      </c>
      <c r="I15" s="5" t="s">
        <v>11</v>
      </c>
      <c r="J15" s="244">
        <v>33665</v>
      </c>
      <c r="K15" s="245">
        <v>45236</v>
      </c>
      <c r="L15" s="245">
        <v>48888</v>
      </c>
      <c r="M15" s="43"/>
    </row>
    <row r="16" spans="1:13" s="9" customFormat="1" x14ac:dyDescent="0.35">
      <c r="A16" s="66">
        <f t="shared" si="0"/>
        <v>12</v>
      </c>
      <c r="B16" s="5">
        <v>1</v>
      </c>
      <c r="C16" s="38" t="s">
        <v>17</v>
      </c>
      <c r="D16" s="39">
        <v>1756015</v>
      </c>
      <c r="E16" s="39">
        <v>1110341029</v>
      </c>
      <c r="F16" s="84">
        <v>8642664</v>
      </c>
      <c r="G16" s="8" t="s">
        <v>398</v>
      </c>
      <c r="H16" s="37" t="s">
        <v>10</v>
      </c>
      <c r="I16" s="6" t="s">
        <v>11</v>
      </c>
      <c r="J16" s="244"/>
      <c r="K16" s="245"/>
      <c r="L16" s="245"/>
      <c r="M16" s="43"/>
    </row>
    <row r="17" spans="1:22" s="9" customFormat="1" x14ac:dyDescent="0.35">
      <c r="A17" s="146">
        <f t="shared" si="0"/>
        <v>13</v>
      </c>
      <c r="B17" s="11">
        <v>1</v>
      </c>
      <c r="C17" s="105" t="s">
        <v>78</v>
      </c>
      <c r="D17" s="41">
        <v>1752892</v>
      </c>
      <c r="E17" s="41">
        <v>2310792581</v>
      </c>
      <c r="F17" s="41">
        <v>7306329</v>
      </c>
      <c r="G17" s="12" t="s">
        <v>209</v>
      </c>
      <c r="H17" s="64" t="s">
        <v>70</v>
      </c>
      <c r="I17" s="11" t="s">
        <v>11</v>
      </c>
      <c r="J17" s="244">
        <v>28603</v>
      </c>
      <c r="K17" s="244">
        <v>43650</v>
      </c>
      <c r="L17" s="245">
        <v>47302</v>
      </c>
      <c r="M17" s="28"/>
    </row>
    <row r="18" spans="1:22" s="2" customFormat="1" x14ac:dyDescent="0.35">
      <c r="A18" s="4" t="s">
        <v>18</v>
      </c>
      <c r="B18" s="4">
        <f>SUM(B19:B49)</f>
        <v>29</v>
      </c>
      <c r="C18" s="86" t="s">
        <v>19</v>
      </c>
      <c r="D18" s="5"/>
      <c r="E18" s="5"/>
      <c r="F18" s="5"/>
      <c r="G18" s="87"/>
      <c r="H18" s="87"/>
      <c r="I18" s="87"/>
      <c r="J18" s="244"/>
      <c r="K18" s="247"/>
      <c r="L18" s="247"/>
      <c r="M18" s="88"/>
    </row>
    <row r="19" spans="1:22" s="232" customFormat="1" x14ac:dyDescent="0.35">
      <c r="A19" s="66">
        <f>A17+1</f>
        <v>14</v>
      </c>
      <c r="B19" s="11">
        <v>1</v>
      </c>
      <c r="C19" s="105" t="s">
        <v>256</v>
      </c>
      <c r="D19" s="11">
        <v>1756441</v>
      </c>
      <c r="E19" s="11">
        <v>2615769870</v>
      </c>
      <c r="F19" s="11"/>
      <c r="G19" s="12" t="s">
        <v>213</v>
      </c>
      <c r="H19" s="11" t="s">
        <v>70</v>
      </c>
      <c r="I19" s="11" t="s">
        <v>11</v>
      </c>
      <c r="J19" s="244">
        <v>33213</v>
      </c>
      <c r="K19" s="244">
        <v>43595</v>
      </c>
      <c r="L19" s="244">
        <v>47247</v>
      </c>
      <c r="M19" s="28"/>
    </row>
    <row r="20" spans="1:22" s="256" customFormat="1" x14ac:dyDescent="0.35">
      <c r="A20" s="66">
        <f t="shared" ref="A20:A49" si="1">A19+1</f>
        <v>15</v>
      </c>
      <c r="B20" s="11"/>
      <c r="C20" s="12" t="s">
        <v>255</v>
      </c>
      <c r="D20" s="29">
        <v>1756181</v>
      </c>
      <c r="E20" s="29">
        <v>2600159814</v>
      </c>
      <c r="F20" s="29">
        <v>7280983</v>
      </c>
      <c r="G20" s="253" t="s">
        <v>161</v>
      </c>
      <c r="H20" s="29" t="s">
        <v>51</v>
      </c>
      <c r="I20" s="11" t="s">
        <v>11</v>
      </c>
      <c r="J20" s="244">
        <v>33897</v>
      </c>
      <c r="K20" s="254">
        <v>45681</v>
      </c>
      <c r="L20" s="254">
        <v>49332</v>
      </c>
      <c r="M20" s="255"/>
    </row>
    <row r="21" spans="1:22" s="232" customFormat="1" x14ac:dyDescent="0.35">
      <c r="A21" s="66">
        <f t="shared" si="1"/>
        <v>16</v>
      </c>
      <c r="B21" s="11">
        <v>1</v>
      </c>
      <c r="C21" s="105" t="s">
        <v>257</v>
      </c>
      <c r="D21" s="11">
        <v>1753840</v>
      </c>
      <c r="E21" s="41"/>
      <c r="F21" s="41"/>
      <c r="G21" s="12" t="s">
        <v>237</v>
      </c>
      <c r="H21" s="11" t="s">
        <v>70</v>
      </c>
      <c r="I21" s="11" t="s">
        <v>11</v>
      </c>
      <c r="J21" s="244">
        <v>26961</v>
      </c>
      <c r="K21" s="244">
        <v>44158</v>
      </c>
      <c r="L21" s="244">
        <v>47809</v>
      </c>
      <c r="M21" s="28"/>
    </row>
    <row r="22" spans="1:22" s="257" customFormat="1" x14ac:dyDescent="0.35">
      <c r="A22" s="66">
        <f t="shared" si="1"/>
        <v>17</v>
      </c>
      <c r="B22" s="11">
        <v>1</v>
      </c>
      <c r="C22" s="12" t="s">
        <v>67</v>
      </c>
      <c r="D22" s="11">
        <v>1755719</v>
      </c>
      <c r="E22" s="11">
        <v>2570348942</v>
      </c>
      <c r="F22" s="11">
        <v>8714799</v>
      </c>
      <c r="G22" s="12" t="s">
        <v>124</v>
      </c>
      <c r="H22" s="11" t="s">
        <v>13</v>
      </c>
      <c r="I22" s="11" t="s">
        <v>11</v>
      </c>
      <c r="J22" s="244">
        <v>32168</v>
      </c>
      <c r="K22" s="244">
        <v>46065</v>
      </c>
      <c r="L22" s="244">
        <v>49716</v>
      </c>
      <c r="M22" s="28"/>
    </row>
    <row r="23" spans="1:22" s="232" customFormat="1" x14ac:dyDescent="0.35">
      <c r="A23" s="66">
        <f t="shared" si="1"/>
        <v>18</v>
      </c>
      <c r="B23" s="11">
        <v>1</v>
      </c>
      <c r="C23" s="12" t="s">
        <v>79</v>
      </c>
      <c r="D23" s="11">
        <v>1756125</v>
      </c>
      <c r="E23" s="11">
        <v>2595788460</v>
      </c>
      <c r="F23" s="258">
        <v>8769517</v>
      </c>
      <c r="G23" s="12" t="s">
        <v>163</v>
      </c>
      <c r="H23" s="11" t="s">
        <v>13</v>
      </c>
      <c r="I23" s="11" t="s">
        <v>11</v>
      </c>
      <c r="J23" s="244">
        <v>33467</v>
      </c>
      <c r="K23" s="244">
        <v>44631</v>
      </c>
      <c r="L23" s="244">
        <v>48283</v>
      </c>
      <c r="M23" s="28"/>
    </row>
    <row r="24" spans="1:22" s="232" customFormat="1" x14ac:dyDescent="0.35">
      <c r="A24" s="66">
        <f t="shared" si="1"/>
        <v>19</v>
      </c>
      <c r="B24" s="11">
        <v>1</v>
      </c>
      <c r="C24" s="12" t="s">
        <v>203</v>
      </c>
      <c r="D24" s="11">
        <v>1756117</v>
      </c>
      <c r="E24" s="11">
        <v>2595787587</v>
      </c>
      <c r="F24" s="258">
        <v>8736305</v>
      </c>
      <c r="G24" s="12" t="s">
        <v>162</v>
      </c>
      <c r="H24" s="11" t="s">
        <v>13</v>
      </c>
      <c r="I24" s="11" t="s">
        <v>11</v>
      </c>
      <c r="J24" s="244">
        <v>31893</v>
      </c>
      <c r="K24" s="244">
        <v>43437</v>
      </c>
      <c r="L24" s="244">
        <v>47089</v>
      </c>
      <c r="M24" s="51"/>
    </row>
    <row r="25" spans="1:22" s="232" customFormat="1" x14ac:dyDescent="0.35">
      <c r="A25" s="66">
        <f t="shared" si="1"/>
        <v>20</v>
      </c>
      <c r="B25" s="11">
        <v>1</v>
      </c>
      <c r="C25" s="12" t="s">
        <v>53</v>
      </c>
      <c r="D25" s="11">
        <v>1755682</v>
      </c>
      <c r="E25" s="11">
        <v>1079908982</v>
      </c>
      <c r="F25" s="11">
        <v>8169464</v>
      </c>
      <c r="G25" s="12" t="s">
        <v>125</v>
      </c>
      <c r="H25" s="64" t="s">
        <v>10</v>
      </c>
      <c r="I25" s="11" t="s">
        <v>11</v>
      </c>
      <c r="J25" s="244"/>
      <c r="K25" s="244"/>
      <c r="L25" s="244"/>
      <c r="M25" s="28"/>
    </row>
    <row r="26" spans="1:22" s="232" customFormat="1" x14ac:dyDescent="0.35">
      <c r="A26" s="66">
        <f>A25+1</f>
        <v>21</v>
      </c>
      <c r="B26" s="11">
        <v>1</v>
      </c>
      <c r="C26" s="12" t="s">
        <v>68</v>
      </c>
      <c r="D26" s="11">
        <v>1756061</v>
      </c>
      <c r="E26" s="11">
        <v>2593672500</v>
      </c>
      <c r="F26" s="11">
        <v>8736567</v>
      </c>
      <c r="G26" s="12" t="s">
        <v>164</v>
      </c>
      <c r="H26" s="11" t="s">
        <v>13</v>
      </c>
      <c r="I26" s="11" t="s">
        <v>11</v>
      </c>
      <c r="J26" s="244">
        <v>28684</v>
      </c>
      <c r="K26" s="244">
        <v>42941</v>
      </c>
      <c r="L26" s="244">
        <v>46958</v>
      </c>
      <c r="M26" s="28"/>
    </row>
    <row r="27" spans="1:22" s="232" customFormat="1" x14ac:dyDescent="0.35">
      <c r="A27" s="66">
        <f t="shared" si="1"/>
        <v>22</v>
      </c>
      <c r="B27" s="11">
        <v>1</v>
      </c>
      <c r="C27" s="12" t="s">
        <v>69</v>
      </c>
      <c r="D27" s="11">
        <v>1756180</v>
      </c>
      <c r="E27" s="11">
        <v>2600159418</v>
      </c>
      <c r="F27" s="95">
        <v>7284587</v>
      </c>
      <c r="G27" s="54" t="s">
        <v>165</v>
      </c>
      <c r="H27" s="11" t="s">
        <v>13</v>
      </c>
      <c r="I27" s="11" t="s">
        <v>11</v>
      </c>
      <c r="J27" s="244">
        <v>29361</v>
      </c>
      <c r="K27" s="244">
        <v>44076</v>
      </c>
      <c r="L27" s="244">
        <v>47727</v>
      </c>
      <c r="M27" s="124"/>
    </row>
    <row r="28" spans="1:22" s="232" customFormat="1" x14ac:dyDescent="0.35">
      <c r="A28" s="66">
        <f t="shared" si="1"/>
        <v>23</v>
      </c>
      <c r="B28" s="11">
        <v>1</v>
      </c>
      <c r="C28" s="12" t="s">
        <v>81</v>
      </c>
      <c r="D28" s="11">
        <v>1755898</v>
      </c>
      <c r="E28" s="11">
        <v>2582636441</v>
      </c>
      <c r="F28" s="11">
        <v>8717015</v>
      </c>
      <c r="G28" s="12" t="s">
        <v>126</v>
      </c>
      <c r="H28" s="11" t="s">
        <v>13</v>
      </c>
      <c r="I28" s="11" t="s">
        <v>11</v>
      </c>
      <c r="J28" s="244">
        <v>27552</v>
      </c>
      <c r="K28" s="244">
        <v>45110</v>
      </c>
      <c r="L28" s="244">
        <v>48762</v>
      </c>
      <c r="M28" s="28"/>
    </row>
    <row r="29" spans="1:22" s="257" customFormat="1" x14ac:dyDescent="0.35">
      <c r="A29" s="66">
        <f t="shared" si="1"/>
        <v>24</v>
      </c>
      <c r="B29" s="11">
        <v>1</v>
      </c>
      <c r="C29" s="12" t="s">
        <v>20</v>
      </c>
      <c r="D29" s="11">
        <v>1755568</v>
      </c>
      <c r="E29" s="11">
        <v>2563973375</v>
      </c>
      <c r="F29" s="11">
        <v>8666240</v>
      </c>
      <c r="G29" s="12" t="s">
        <v>127</v>
      </c>
      <c r="H29" s="11" t="s">
        <v>13</v>
      </c>
      <c r="I29" s="11" t="s">
        <v>11</v>
      </c>
      <c r="J29" s="244">
        <v>32601</v>
      </c>
      <c r="K29" s="244">
        <v>44572</v>
      </c>
      <c r="L29" s="244">
        <v>48223</v>
      </c>
      <c r="M29" s="28"/>
      <c r="O29" s="232"/>
      <c r="P29" s="232"/>
      <c r="Q29" s="232"/>
      <c r="R29" s="232"/>
      <c r="S29" s="232"/>
      <c r="T29" s="232"/>
      <c r="U29" s="232"/>
      <c r="V29" s="232"/>
    </row>
    <row r="30" spans="1:22" s="257" customFormat="1" x14ac:dyDescent="0.35">
      <c r="A30" s="66">
        <f t="shared" si="1"/>
        <v>25</v>
      </c>
      <c r="B30" s="11">
        <v>1</v>
      </c>
      <c r="C30" s="12" t="s">
        <v>21</v>
      </c>
      <c r="D30" s="11">
        <v>1754363</v>
      </c>
      <c r="E30" s="11">
        <v>2485692061</v>
      </c>
      <c r="F30" s="11">
        <v>8714169</v>
      </c>
      <c r="G30" s="12" t="s">
        <v>128</v>
      </c>
      <c r="H30" s="11" t="s">
        <v>70</v>
      </c>
      <c r="I30" s="11" t="s">
        <v>11</v>
      </c>
      <c r="J30" s="244">
        <v>31539</v>
      </c>
      <c r="K30" s="244">
        <v>44419</v>
      </c>
      <c r="L30" s="244">
        <v>48070</v>
      </c>
      <c r="M30" s="28"/>
    </row>
    <row r="31" spans="1:22" s="257" customFormat="1" x14ac:dyDescent="0.35">
      <c r="A31" s="66">
        <f t="shared" si="1"/>
        <v>26</v>
      </c>
      <c r="B31" s="11">
        <v>1</v>
      </c>
      <c r="C31" s="12" t="s">
        <v>108</v>
      </c>
      <c r="D31" s="11">
        <v>1754484</v>
      </c>
      <c r="E31" s="11">
        <v>2487212520</v>
      </c>
      <c r="F31" s="11">
        <v>8966715</v>
      </c>
      <c r="G31" s="12" t="s">
        <v>130</v>
      </c>
      <c r="H31" s="11" t="s">
        <v>70</v>
      </c>
      <c r="I31" s="11" t="s">
        <v>11</v>
      </c>
      <c r="J31" s="244">
        <v>29129</v>
      </c>
      <c r="K31" s="244">
        <v>44298</v>
      </c>
      <c r="L31" s="244">
        <v>47949</v>
      </c>
      <c r="M31" s="28"/>
    </row>
    <row r="32" spans="1:22" s="257" customFormat="1" x14ac:dyDescent="0.35">
      <c r="A32" s="66">
        <f t="shared" si="1"/>
        <v>27</v>
      </c>
      <c r="B32" s="11">
        <v>1</v>
      </c>
      <c r="C32" s="12" t="s">
        <v>129</v>
      </c>
      <c r="D32" s="11">
        <v>1754498</v>
      </c>
      <c r="E32" s="11"/>
      <c r="F32" s="11"/>
      <c r="G32" s="12" t="s">
        <v>235</v>
      </c>
      <c r="H32" s="11" t="s">
        <v>70</v>
      </c>
      <c r="I32" s="11" t="s">
        <v>11</v>
      </c>
      <c r="J32" s="244">
        <v>28757</v>
      </c>
      <c r="K32" s="244">
        <v>43473</v>
      </c>
      <c r="L32" s="244">
        <v>47125</v>
      </c>
      <c r="M32" s="28"/>
    </row>
    <row r="33" spans="1:13" s="257" customFormat="1" x14ac:dyDescent="0.35">
      <c r="A33" s="66">
        <f t="shared" si="1"/>
        <v>28</v>
      </c>
      <c r="B33" s="29">
        <v>1</v>
      </c>
      <c r="C33" s="12" t="s">
        <v>400</v>
      </c>
      <c r="D33" s="11">
        <v>1755976</v>
      </c>
      <c r="E33" s="11">
        <v>2588282786</v>
      </c>
      <c r="F33" s="11">
        <v>8719214</v>
      </c>
      <c r="G33" s="12" t="s">
        <v>166</v>
      </c>
      <c r="H33" s="11" t="s">
        <v>13</v>
      </c>
      <c r="I33" s="11" t="s">
        <v>11</v>
      </c>
      <c r="J33" s="244">
        <v>33757</v>
      </c>
      <c r="K33" s="244">
        <v>44845</v>
      </c>
      <c r="L33" s="244">
        <v>48497</v>
      </c>
      <c r="M33" s="28"/>
    </row>
    <row r="34" spans="1:13" s="257" customFormat="1" x14ac:dyDescent="0.35">
      <c r="A34" s="66">
        <f t="shared" si="1"/>
        <v>29</v>
      </c>
      <c r="B34" s="11">
        <v>1</v>
      </c>
      <c r="C34" s="105" t="s">
        <v>219</v>
      </c>
      <c r="D34" s="11"/>
      <c r="E34" s="11">
        <v>2593672153</v>
      </c>
      <c r="F34" s="11">
        <v>8736541</v>
      </c>
      <c r="G34" s="259" t="s">
        <v>52</v>
      </c>
      <c r="H34" s="11"/>
      <c r="I34" s="11"/>
      <c r="J34" s="244"/>
      <c r="K34" s="244"/>
      <c r="L34" s="244"/>
      <c r="M34" s="28"/>
    </row>
    <row r="35" spans="1:13" s="232" customFormat="1" x14ac:dyDescent="0.35">
      <c r="A35" s="66">
        <f t="shared" si="1"/>
        <v>30</v>
      </c>
      <c r="B35" s="11">
        <v>1</v>
      </c>
      <c r="C35" s="105" t="s">
        <v>22</v>
      </c>
      <c r="D35" s="11">
        <v>1756012</v>
      </c>
      <c r="E35" s="11">
        <v>2593671858</v>
      </c>
      <c r="F35" s="95">
        <v>8339079</v>
      </c>
      <c r="G35" s="12" t="s">
        <v>167</v>
      </c>
      <c r="H35" s="11" t="s">
        <v>70</v>
      </c>
      <c r="I35" s="11" t="s">
        <v>11</v>
      </c>
      <c r="J35" s="244">
        <v>30362</v>
      </c>
      <c r="K35" s="244">
        <v>45595</v>
      </c>
      <c r="L35" s="244">
        <v>49246</v>
      </c>
      <c r="M35" s="51"/>
    </row>
    <row r="36" spans="1:13" s="232" customFormat="1" x14ac:dyDescent="0.35">
      <c r="A36" s="66">
        <f t="shared" si="1"/>
        <v>31</v>
      </c>
      <c r="B36" s="11">
        <v>1</v>
      </c>
      <c r="C36" s="105" t="s">
        <v>82</v>
      </c>
      <c r="D36" s="11">
        <v>1756556</v>
      </c>
      <c r="E36" s="11"/>
      <c r="F36" s="11"/>
      <c r="G36" s="12" t="s">
        <v>247</v>
      </c>
      <c r="H36" s="11" t="s">
        <v>13</v>
      </c>
      <c r="I36" s="11" t="s">
        <v>11</v>
      </c>
      <c r="J36" s="244">
        <v>31894</v>
      </c>
      <c r="K36" s="244">
        <v>45065</v>
      </c>
      <c r="L36" s="244">
        <v>48717</v>
      </c>
      <c r="M36" s="51"/>
    </row>
    <row r="37" spans="1:13" s="232" customFormat="1" x14ac:dyDescent="0.35">
      <c r="A37" s="66">
        <f t="shared" si="1"/>
        <v>32</v>
      </c>
      <c r="B37" s="11">
        <v>1</v>
      </c>
      <c r="C37" s="105" t="s">
        <v>109</v>
      </c>
      <c r="D37" s="11"/>
      <c r="E37" s="11"/>
      <c r="F37" s="11"/>
      <c r="G37" s="259" t="s">
        <v>52</v>
      </c>
      <c r="H37" s="11"/>
      <c r="I37" s="11"/>
      <c r="J37" s="244"/>
      <c r="K37" s="244"/>
      <c r="L37" s="244"/>
      <c r="M37" s="28"/>
    </row>
    <row r="38" spans="1:13" s="232" customFormat="1" x14ac:dyDescent="0.35">
      <c r="A38" s="66">
        <f t="shared" si="1"/>
        <v>33</v>
      </c>
      <c r="B38" s="11">
        <v>1</v>
      </c>
      <c r="C38" s="12" t="s">
        <v>23</v>
      </c>
      <c r="D38" s="11">
        <v>1756316</v>
      </c>
      <c r="E38" s="11">
        <v>2608038382</v>
      </c>
      <c r="F38" s="11">
        <v>7301272</v>
      </c>
      <c r="G38" s="12" t="s">
        <v>131</v>
      </c>
      <c r="H38" s="11" t="s">
        <v>13</v>
      </c>
      <c r="I38" s="11" t="s">
        <v>11</v>
      </c>
      <c r="J38" s="244">
        <v>32436</v>
      </c>
      <c r="K38" s="244">
        <v>44208</v>
      </c>
      <c r="L38" s="244">
        <v>47859</v>
      </c>
      <c r="M38" s="51"/>
    </row>
    <row r="39" spans="1:13" s="232" customFormat="1" x14ac:dyDescent="0.35">
      <c r="A39" s="66">
        <f t="shared" si="1"/>
        <v>34</v>
      </c>
      <c r="B39" s="11">
        <v>1</v>
      </c>
      <c r="C39" s="12" t="s">
        <v>106</v>
      </c>
      <c r="D39" s="11">
        <v>1756561</v>
      </c>
      <c r="E39" s="11"/>
      <c r="F39" s="11"/>
      <c r="G39" s="12" t="s">
        <v>249</v>
      </c>
      <c r="H39" s="11" t="s">
        <v>13</v>
      </c>
      <c r="I39" s="11" t="s">
        <v>11</v>
      </c>
      <c r="J39" s="244">
        <v>29339</v>
      </c>
      <c r="K39" s="244">
        <v>44426</v>
      </c>
      <c r="L39" s="244">
        <v>48077</v>
      </c>
      <c r="M39" s="28"/>
    </row>
    <row r="40" spans="1:13" s="232" customFormat="1" x14ac:dyDescent="0.35">
      <c r="A40" s="66">
        <f t="shared" si="1"/>
        <v>35</v>
      </c>
      <c r="B40" s="11">
        <v>1</v>
      </c>
      <c r="C40" s="12" t="s">
        <v>98</v>
      </c>
      <c r="D40" s="11">
        <v>1756086</v>
      </c>
      <c r="E40" s="11">
        <v>2593903830</v>
      </c>
      <c r="F40" s="11">
        <v>8745674</v>
      </c>
      <c r="G40" s="12" t="s">
        <v>168</v>
      </c>
      <c r="H40" s="11" t="s">
        <v>13</v>
      </c>
      <c r="I40" s="11" t="s">
        <v>11</v>
      </c>
      <c r="J40" s="244">
        <v>34640</v>
      </c>
      <c r="K40" s="244">
        <v>43089</v>
      </c>
      <c r="L40" s="281">
        <v>46740</v>
      </c>
      <c r="M40" s="28"/>
    </row>
    <row r="41" spans="1:13" s="232" customFormat="1" x14ac:dyDescent="0.35">
      <c r="A41" s="66">
        <f t="shared" si="1"/>
        <v>36</v>
      </c>
      <c r="B41" s="11">
        <v>1</v>
      </c>
      <c r="C41" s="12" t="s">
        <v>99</v>
      </c>
      <c r="D41" s="11">
        <v>1756064</v>
      </c>
      <c r="E41" s="11">
        <v>2593672617</v>
      </c>
      <c r="F41" s="11">
        <v>8745706</v>
      </c>
      <c r="G41" s="12" t="s">
        <v>169</v>
      </c>
      <c r="H41" s="11" t="s">
        <v>13</v>
      </c>
      <c r="I41" s="11" t="s">
        <v>11</v>
      </c>
      <c r="J41" s="244">
        <v>30806</v>
      </c>
      <c r="K41" s="244">
        <v>43865</v>
      </c>
      <c r="L41" s="244">
        <v>47517</v>
      </c>
      <c r="M41" s="28"/>
    </row>
    <row r="42" spans="1:13" s="232" customFormat="1" x14ac:dyDescent="0.35">
      <c r="A42" s="66">
        <f t="shared" si="1"/>
        <v>37</v>
      </c>
      <c r="B42" s="11">
        <v>1</v>
      </c>
      <c r="C42" s="12" t="s">
        <v>100</v>
      </c>
      <c r="D42" s="11">
        <v>1756066</v>
      </c>
      <c r="E42" s="11">
        <v>2593672674</v>
      </c>
      <c r="F42" s="11">
        <v>8745713</v>
      </c>
      <c r="G42" s="230" t="s">
        <v>170</v>
      </c>
      <c r="H42" s="11" t="s">
        <v>13</v>
      </c>
      <c r="I42" s="11" t="s">
        <v>11</v>
      </c>
      <c r="J42" s="244">
        <v>32570</v>
      </c>
      <c r="K42" s="244">
        <v>44571</v>
      </c>
      <c r="L42" s="244">
        <v>48222</v>
      </c>
      <c r="M42" s="28"/>
    </row>
    <row r="43" spans="1:13" s="232" customFormat="1" x14ac:dyDescent="0.35">
      <c r="A43" s="66">
        <f t="shared" si="1"/>
        <v>38</v>
      </c>
      <c r="B43" s="11">
        <v>1</v>
      </c>
      <c r="C43" s="12" t="s">
        <v>24</v>
      </c>
      <c r="D43" s="11">
        <v>1756065</v>
      </c>
      <c r="E43" s="11">
        <v>2593672641</v>
      </c>
      <c r="F43" s="11">
        <v>7278940</v>
      </c>
      <c r="G43" s="12" t="s">
        <v>172</v>
      </c>
      <c r="H43" s="11" t="s">
        <v>13</v>
      </c>
      <c r="I43" s="11" t="s">
        <v>11</v>
      </c>
      <c r="J43" s="244">
        <v>30573</v>
      </c>
      <c r="K43" s="244">
        <v>42794</v>
      </c>
      <c r="L43" s="281">
        <v>46445</v>
      </c>
      <c r="M43" s="28"/>
    </row>
    <row r="44" spans="1:13" s="232" customFormat="1" x14ac:dyDescent="0.35">
      <c r="A44" s="66">
        <f t="shared" si="1"/>
        <v>39</v>
      </c>
      <c r="B44" s="11">
        <v>1</v>
      </c>
      <c r="C44" s="12" t="s">
        <v>101</v>
      </c>
      <c r="D44" s="11">
        <v>1756273</v>
      </c>
      <c r="E44" s="11">
        <v>2605358064</v>
      </c>
      <c r="F44" s="11">
        <v>7298793</v>
      </c>
      <c r="G44" s="12" t="s">
        <v>173</v>
      </c>
      <c r="H44" s="11" t="s">
        <v>70</v>
      </c>
      <c r="I44" s="11" t="s">
        <v>11</v>
      </c>
      <c r="J44" s="244">
        <v>34808</v>
      </c>
      <c r="K44" s="244">
        <v>44272</v>
      </c>
      <c r="L44" s="244">
        <v>47923</v>
      </c>
      <c r="M44" s="28"/>
    </row>
    <row r="45" spans="1:13" s="232" customFormat="1" x14ac:dyDescent="0.35">
      <c r="A45" s="66">
        <f t="shared" si="1"/>
        <v>40</v>
      </c>
      <c r="B45" s="11">
        <v>1</v>
      </c>
      <c r="C45" s="105" t="s">
        <v>228</v>
      </c>
      <c r="D45" s="11"/>
      <c r="E45" s="11"/>
      <c r="F45" s="11"/>
      <c r="G45" s="259" t="s">
        <v>52</v>
      </c>
      <c r="H45" s="11"/>
      <c r="I45" s="11"/>
      <c r="J45" s="244"/>
      <c r="K45" s="244"/>
      <c r="L45" s="244"/>
      <c r="M45" s="28"/>
    </row>
    <row r="46" spans="1:13" s="232" customFormat="1" x14ac:dyDescent="0.35">
      <c r="A46" s="66">
        <f t="shared" si="1"/>
        <v>41</v>
      </c>
      <c r="B46" s="11">
        <v>1</v>
      </c>
      <c r="C46" s="12" t="s">
        <v>25</v>
      </c>
      <c r="D46" s="11">
        <v>1755983</v>
      </c>
      <c r="E46" s="11">
        <v>2590292195</v>
      </c>
      <c r="F46" s="258">
        <v>8336386</v>
      </c>
      <c r="G46" s="12" t="s">
        <v>171</v>
      </c>
      <c r="H46" s="11" t="s">
        <v>54</v>
      </c>
      <c r="I46" s="11" t="s">
        <v>11</v>
      </c>
      <c r="J46" s="244">
        <v>33608</v>
      </c>
      <c r="K46" s="244">
        <v>43725</v>
      </c>
      <c r="L46" s="244">
        <v>47377</v>
      </c>
      <c r="M46" s="51"/>
    </row>
    <row r="47" spans="1:13" s="232" customFormat="1" x14ac:dyDescent="0.35">
      <c r="A47" s="66">
        <f t="shared" si="1"/>
        <v>42</v>
      </c>
      <c r="B47" s="11">
        <v>1</v>
      </c>
      <c r="C47" s="12" t="s">
        <v>26</v>
      </c>
      <c r="D47" s="11">
        <v>1755555</v>
      </c>
      <c r="E47" s="11">
        <v>2562388344</v>
      </c>
      <c r="F47" s="11">
        <v>8666271</v>
      </c>
      <c r="G47" s="12" t="s">
        <v>132</v>
      </c>
      <c r="H47" s="11" t="s">
        <v>13</v>
      </c>
      <c r="I47" s="11" t="s">
        <v>11</v>
      </c>
      <c r="J47" s="244">
        <v>28186</v>
      </c>
      <c r="K47" s="244">
        <v>45546</v>
      </c>
      <c r="L47" s="244">
        <v>49197</v>
      </c>
      <c r="M47" s="28"/>
    </row>
    <row r="48" spans="1:13" s="232" customFormat="1" x14ac:dyDescent="0.35">
      <c r="A48" s="66">
        <f t="shared" si="1"/>
        <v>43</v>
      </c>
      <c r="B48" s="11">
        <v>1</v>
      </c>
      <c r="C48" s="12" t="s">
        <v>110</v>
      </c>
      <c r="D48" s="11">
        <v>1753240</v>
      </c>
      <c r="E48" s="11"/>
      <c r="F48" s="11"/>
      <c r="G48" s="12" t="s">
        <v>250</v>
      </c>
      <c r="H48" s="11" t="s">
        <v>39</v>
      </c>
      <c r="I48" s="11" t="s">
        <v>11</v>
      </c>
      <c r="J48" s="244">
        <v>25890</v>
      </c>
      <c r="K48" s="244">
        <v>44994</v>
      </c>
      <c r="L48" s="244">
        <v>48647</v>
      </c>
      <c r="M48" s="28"/>
    </row>
    <row r="49" spans="1:13" s="256" customFormat="1" x14ac:dyDescent="0.35">
      <c r="A49" s="66">
        <f t="shared" si="1"/>
        <v>44</v>
      </c>
      <c r="B49" s="11"/>
      <c r="C49" s="12" t="s">
        <v>232</v>
      </c>
      <c r="D49" s="29">
        <v>9604373</v>
      </c>
      <c r="E49" s="29"/>
      <c r="F49" s="29"/>
      <c r="G49" s="253" t="s">
        <v>229</v>
      </c>
      <c r="H49" s="29" t="s">
        <v>58</v>
      </c>
      <c r="I49" s="11" t="s">
        <v>107</v>
      </c>
      <c r="J49" s="244">
        <v>37048</v>
      </c>
      <c r="K49" s="254">
        <v>44603</v>
      </c>
      <c r="L49" s="282">
        <v>46428</v>
      </c>
      <c r="M49" s="260" t="s">
        <v>258</v>
      </c>
    </row>
    <row r="50" spans="1:13" s="2" customFormat="1" x14ac:dyDescent="0.35">
      <c r="A50" s="3" t="s">
        <v>27</v>
      </c>
      <c r="B50" s="4">
        <f>SUM(B51:B109)</f>
        <v>59</v>
      </c>
      <c r="C50" s="86" t="s">
        <v>28</v>
      </c>
      <c r="D50" s="5"/>
      <c r="E50" s="5"/>
      <c r="F50" s="5"/>
      <c r="G50" s="87"/>
      <c r="H50" s="87"/>
      <c r="I50" s="87"/>
      <c r="J50" s="244"/>
      <c r="K50" s="247"/>
      <c r="L50" s="247"/>
      <c r="M50" s="88"/>
    </row>
    <row r="51" spans="1:13" s="9" customFormat="1" x14ac:dyDescent="0.35">
      <c r="A51" s="19">
        <f>A49+1</f>
        <v>45</v>
      </c>
      <c r="B51" s="5">
        <v>1</v>
      </c>
      <c r="C51" s="8" t="s">
        <v>29</v>
      </c>
      <c r="D51" s="5">
        <v>1756290</v>
      </c>
      <c r="E51" s="5">
        <v>2607344104</v>
      </c>
      <c r="F51" s="5">
        <v>7301263</v>
      </c>
      <c r="G51" s="8" t="s">
        <v>133</v>
      </c>
      <c r="H51" s="5" t="s">
        <v>13</v>
      </c>
      <c r="I51" s="5" t="s">
        <v>11</v>
      </c>
      <c r="J51" s="244">
        <v>32292</v>
      </c>
      <c r="K51" s="245">
        <v>45734</v>
      </c>
      <c r="L51" s="245">
        <v>49385</v>
      </c>
      <c r="M51" s="89"/>
    </row>
    <row r="52" spans="1:13" s="9" customFormat="1" x14ac:dyDescent="0.35">
      <c r="A52" s="19">
        <f>A51+1</f>
        <v>46</v>
      </c>
      <c r="B52" s="5">
        <v>1</v>
      </c>
      <c r="C52" s="38" t="s">
        <v>202</v>
      </c>
      <c r="D52" s="5">
        <v>1756127</v>
      </c>
      <c r="E52" s="5">
        <v>2597990585</v>
      </c>
      <c r="F52" s="5">
        <v>7271481</v>
      </c>
      <c r="G52" s="8" t="s">
        <v>403</v>
      </c>
      <c r="H52" s="5" t="s">
        <v>13</v>
      </c>
      <c r="I52" s="5" t="s">
        <v>11</v>
      </c>
      <c r="J52" s="244">
        <v>33423</v>
      </c>
      <c r="K52" s="245">
        <v>45568</v>
      </c>
      <c r="L52" s="245">
        <v>49219</v>
      </c>
      <c r="M52" s="88" t="s">
        <v>404</v>
      </c>
    </row>
    <row r="53" spans="1:13" s="9" customFormat="1" x14ac:dyDescent="0.35">
      <c r="A53" s="66">
        <f t="shared" ref="A53:A109" si="2">A52+1</f>
        <v>47</v>
      </c>
      <c r="B53" s="11">
        <v>1</v>
      </c>
      <c r="C53" s="105" t="s">
        <v>83</v>
      </c>
      <c r="D53" s="11">
        <v>1756554</v>
      </c>
      <c r="E53" s="11"/>
      <c r="F53" s="11"/>
      <c r="G53" s="12" t="s">
        <v>246</v>
      </c>
      <c r="H53" s="11" t="s">
        <v>39</v>
      </c>
      <c r="I53" s="11" t="s">
        <v>11</v>
      </c>
      <c r="J53" s="244">
        <v>29040</v>
      </c>
      <c r="K53" s="244">
        <v>45376</v>
      </c>
      <c r="L53" s="244">
        <v>49028</v>
      </c>
      <c r="M53" s="28"/>
    </row>
    <row r="54" spans="1:13" s="9" customFormat="1" x14ac:dyDescent="0.35">
      <c r="A54" s="66">
        <f t="shared" si="2"/>
        <v>48</v>
      </c>
      <c r="B54" s="11">
        <v>1</v>
      </c>
      <c r="C54" s="105" t="s">
        <v>260</v>
      </c>
      <c r="D54" s="11">
        <v>1756571</v>
      </c>
      <c r="E54" s="11"/>
      <c r="F54" s="11"/>
      <c r="G54" s="12" t="s">
        <v>259</v>
      </c>
      <c r="H54" s="11" t="s">
        <v>39</v>
      </c>
      <c r="I54" s="11" t="s">
        <v>11</v>
      </c>
      <c r="J54" s="244">
        <v>28985</v>
      </c>
      <c r="K54" s="244">
        <v>45357</v>
      </c>
      <c r="L54" s="244">
        <v>49009</v>
      </c>
      <c r="M54" s="28"/>
    </row>
    <row r="55" spans="1:13" s="9" customFormat="1" x14ac:dyDescent="0.35">
      <c r="A55" s="66">
        <f t="shared" si="2"/>
        <v>49</v>
      </c>
      <c r="B55" s="5">
        <v>1</v>
      </c>
      <c r="C55" s="8" t="s">
        <v>30</v>
      </c>
      <c r="D55" s="5">
        <v>1755813</v>
      </c>
      <c r="E55" s="5">
        <v>2574510166</v>
      </c>
      <c r="F55" s="5">
        <v>7291138</v>
      </c>
      <c r="G55" s="8" t="s">
        <v>134</v>
      </c>
      <c r="H55" s="5" t="s">
        <v>13</v>
      </c>
      <c r="I55" s="5" t="s">
        <v>11</v>
      </c>
      <c r="J55" s="244">
        <v>31549</v>
      </c>
      <c r="K55" s="245">
        <v>45292</v>
      </c>
      <c r="L55" s="245">
        <v>48944</v>
      </c>
      <c r="M55" s="43"/>
    </row>
    <row r="56" spans="1:13" s="9" customFormat="1" x14ac:dyDescent="0.35">
      <c r="A56" s="66">
        <f t="shared" si="2"/>
        <v>50</v>
      </c>
      <c r="B56" s="11">
        <v>1</v>
      </c>
      <c r="C56" s="12" t="s">
        <v>111</v>
      </c>
      <c r="D56" s="11">
        <v>1755671</v>
      </c>
      <c r="E56" s="11">
        <v>2567947730</v>
      </c>
      <c r="F56" s="11">
        <v>8308948</v>
      </c>
      <c r="G56" s="12" t="s">
        <v>135</v>
      </c>
      <c r="H56" s="11" t="s">
        <v>13</v>
      </c>
      <c r="I56" s="11" t="s">
        <v>11</v>
      </c>
      <c r="J56" s="244">
        <v>30464</v>
      </c>
      <c r="K56" s="244">
        <v>45960</v>
      </c>
      <c r="L56" s="245">
        <v>49611</v>
      </c>
      <c r="M56" s="51"/>
    </row>
    <row r="57" spans="1:13" s="9" customFormat="1" x14ac:dyDescent="0.35">
      <c r="A57" s="66">
        <f t="shared" si="2"/>
        <v>51</v>
      </c>
      <c r="B57" s="5">
        <v>1</v>
      </c>
      <c r="C57" s="8" t="s">
        <v>214</v>
      </c>
      <c r="D57" s="5">
        <v>1755818</v>
      </c>
      <c r="E57" s="5">
        <v>1121934473</v>
      </c>
      <c r="F57" s="5">
        <v>8714180</v>
      </c>
      <c r="G57" s="8" t="s">
        <v>136</v>
      </c>
      <c r="H57" s="37" t="s">
        <v>10</v>
      </c>
      <c r="I57" s="5" t="s">
        <v>11</v>
      </c>
      <c r="J57" s="244"/>
      <c r="K57" s="245"/>
      <c r="L57" s="245"/>
      <c r="M57" s="43"/>
    </row>
    <row r="58" spans="1:13" s="9" customFormat="1" x14ac:dyDescent="0.35">
      <c r="A58" s="66">
        <f t="shared" si="2"/>
        <v>52</v>
      </c>
      <c r="B58" s="5">
        <v>1</v>
      </c>
      <c r="C58" s="8" t="s">
        <v>220</v>
      </c>
      <c r="D58" s="5">
        <v>1756508</v>
      </c>
      <c r="E58" s="5"/>
      <c r="F58" s="5"/>
      <c r="G58" s="8" t="s">
        <v>233</v>
      </c>
      <c r="H58" s="37" t="s">
        <v>10</v>
      </c>
      <c r="I58" s="6" t="s">
        <v>11</v>
      </c>
      <c r="J58" s="244"/>
      <c r="K58" s="245"/>
      <c r="L58" s="245"/>
      <c r="M58" s="43"/>
    </row>
    <row r="59" spans="1:13" s="9" customFormat="1" x14ac:dyDescent="0.35">
      <c r="A59" s="19">
        <f t="shared" si="2"/>
        <v>53</v>
      </c>
      <c r="B59" s="5">
        <v>1</v>
      </c>
      <c r="C59" s="8" t="s">
        <v>31</v>
      </c>
      <c r="D59" s="5">
        <v>1755836</v>
      </c>
      <c r="E59" s="5">
        <v>2575885351</v>
      </c>
      <c r="F59" s="5">
        <v>8714161</v>
      </c>
      <c r="G59" s="8" t="s">
        <v>137</v>
      </c>
      <c r="H59" s="5" t="s">
        <v>13</v>
      </c>
      <c r="I59" s="5" t="s">
        <v>11</v>
      </c>
      <c r="J59" s="244">
        <v>35264</v>
      </c>
      <c r="K59" s="245">
        <v>43542</v>
      </c>
      <c r="L59" s="245">
        <v>47194</v>
      </c>
      <c r="M59" s="27"/>
    </row>
    <row r="60" spans="1:13" s="9" customFormat="1" x14ac:dyDescent="0.35">
      <c r="A60" s="19">
        <f t="shared" si="2"/>
        <v>54</v>
      </c>
      <c r="B60" s="5">
        <v>1</v>
      </c>
      <c r="C60" s="8" t="s">
        <v>84</v>
      </c>
      <c r="D60" s="5">
        <v>1755729</v>
      </c>
      <c r="E60" s="5">
        <v>2570382172</v>
      </c>
      <c r="F60" s="5">
        <v>8714165</v>
      </c>
      <c r="G60" s="8" t="s">
        <v>138</v>
      </c>
      <c r="H60" s="5" t="s">
        <v>13</v>
      </c>
      <c r="I60" s="5" t="s">
        <v>11</v>
      </c>
      <c r="J60" s="244">
        <v>34425</v>
      </c>
      <c r="K60" s="245">
        <v>45247</v>
      </c>
      <c r="L60" s="245">
        <v>48899</v>
      </c>
      <c r="M60" s="51"/>
    </row>
    <row r="61" spans="1:13" s="9" customFormat="1" x14ac:dyDescent="0.35">
      <c r="A61" s="19">
        <f t="shared" si="2"/>
        <v>55</v>
      </c>
      <c r="B61" s="5">
        <v>1</v>
      </c>
      <c r="C61" s="22" t="s">
        <v>85</v>
      </c>
      <c r="D61" s="110"/>
      <c r="E61" s="110">
        <v>2570382172</v>
      </c>
      <c r="F61" s="110">
        <v>8714165</v>
      </c>
      <c r="G61" s="110" t="s">
        <v>52</v>
      </c>
      <c r="H61" s="110"/>
      <c r="I61" s="110"/>
      <c r="J61" s="244"/>
      <c r="K61" s="248"/>
      <c r="L61" s="248"/>
      <c r="M61" s="110"/>
    </row>
    <row r="62" spans="1:13" s="16" customFormat="1" x14ac:dyDescent="0.35">
      <c r="A62" s="19">
        <f t="shared" si="2"/>
        <v>56</v>
      </c>
      <c r="B62" s="5">
        <v>1</v>
      </c>
      <c r="C62" s="22" t="s">
        <v>32</v>
      </c>
      <c r="D62" s="5">
        <v>1755669</v>
      </c>
      <c r="E62" s="5">
        <v>2567947466</v>
      </c>
      <c r="F62" s="5">
        <v>8696286</v>
      </c>
      <c r="G62" s="8" t="s">
        <v>139</v>
      </c>
      <c r="H62" s="5" t="s">
        <v>13</v>
      </c>
      <c r="I62" s="5" t="s">
        <v>11</v>
      </c>
      <c r="J62" s="244">
        <v>32719</v>
      </c>
      <c r="K62" s="245">
        <v>44545</v>
      </c>
      <c r="L62" s="245">
        <v>48196</v>
      </c>
      <c r="M62" s="89"/>
    </row>
    <row r="63" spans="1:13" s="16" customFormat="1" x14ac:dyDescent="0.35">
      <c r="A63" s="19">
        <f t="shared" si="2"/>
        <v>57</v>
      </c>
      <c r="B63" s="5">
        <v>1</v>
      </c>
      <c r="C63" s="22" t="s">
        <v>33</v>
      </c>
      <c r="D63" s="5">
        <v>1755701</v>
      </c>
      <c r="E63" s="5">
        <v>2569925437</v>
      </c>
      <c r="F63" s="5">
        <v>8696271</v>
      </c>
      <c r="G63" s="8" t="s">
        <v>140</v>
      </c>
      <c r="H63" s="5" t="s">
        <v>13</v>
      </c>
      <c r="I63" s="5" t="s">
        <v>11</v>
      </c>
      <c r="J63" s="244">
        <v>32721</v>
      </c>
      <c r="K63" s="245">
        <v>43055</v>
      </c>
      <c r="L63" s="280">
        <v>46706</v>
      </c>
      <c r="M63" s="27"/>
    </row>
    <row r="64" spans="1:13" s="16" customFormat="1" x14ac:dyDescent="0.35">
      <c r="A64" s="19">
        <f t="shared" si="2"/>
        <v>58</v>
      </c>
      <c r="B64" s="5">
        <v>1</v>
      </c>
      <c r="C64" s="22" t="s">
        <v>34</v>
      </c>
      <c r="D64" s="5">
        <v>1755681</v>
      </c>
      <c r="E64" s="5">
        <v>2569617968</v>
      </c>
      <c r="F64" s="5">
        <v>8714176</v>
      </c>
      <c r="G64" s="8" t="s">
        <v>141</v>
      </c>
      <c r="H64" s="5" t="s">
        <v>13</v>
      </c>
      <c r="I64" s="6" t="s">
        <v>11</v>
      </c>
      <c r="J64" s="244">
        <v>35739</v>
      </c>
      <c r="K64" s="245">
        <v>45104</v>
      </c>
      <c r="L64" s="245">
        <v>48756</v>
      </c>
      <c r="M64" s="89"/>
    </row>
    <row r="65" spans="1:13" s="9" customFormat="1" x14ac:dyDescent="0.35">
      <c r="A65" s="19">
        <f t="shared" si="2"/>
        <v>59</v>
      </c>
      <c r="B65" s="5">
        <v>1</v>
      </c>
      <c r="C65" s="22" t="s">
        <v>35</v>
      </c>
      <c r="D65" s="5">
        <v>1755736</v>
      </c>
      <c r="E65" s="5">
        <v>2571806534</v>
      </c>
      <c r="F65" s="5">
        <v>8714166</v>
      </c>
      <c r="G65" s="8" t="s">
        <v>142</v>
      </c>
      <c r="H65" s="15" t="s">
        <v>41</v>
      </c>
      <c r="I65" s="5" t="s">
        <v>11</v>
      </c>
      <c r="J65" s="244">
        <v>32383</v>
      </c>
      <c r="K65" s="245">
        <v>45945</v>
      </c>
      <c r="L65" s="245">
        <v>49596</v>
      </c>
      <c r="M65" s="89"/>
    </row>
    <row r="66" spans="1:13" s="9" customFormat="1" x14ac:dyDescent="0.35">
      <c r="A66" s="19">
        <f t="shared" si="2"/>
        <v>60</v>
      </c>
      <c r="B66" s="5">
        <v>1</v>
      </c>
      <c r="C66" s="22" t="s">
        <v>36</v>
      </c>
      <c r="D66" s="5">
        <v>1756132</v>
      </c>
      <c r="E66" s="5">
        <v>2597990759</v>
      </c>
      <c r="F66" s="5">
        <v>7271462</v>
      </c>
      <c r="G66" s="8" t="s">
        <v>143</v>
      </c>
      <c r="H66" s="5" t="s">
        <v>13</v>
      </c>
      <c r="I66" s="5" t="s">
        <v>11</v>
      </c>
      <c r="J66" s="244">
        <v>37224</v>
      </c>
      <c r="K66" s="245">
        <v>45229</v>
      </c>
      <c r="L66" s="245">
        <v>48881</v>
      </c>
      <c r="M66" s="27"/>
    </row>
    <row r="67" spans="1:13" s="9" customFormat="1" x14ac:dyDescent="0.35">
      <c r="A67" s="19">
        <f t="shared" si="2"/>
        <v>61</v>
      </c>
      <c r="B67" s="5">
        <v>1</v>
      </c>
      <c r="C67" s="22" t="s">
        <v>37</v>
      </c>
      <c r="D67" s="5">
        <v>1756133</v>
      </c>
      <c r="E67" s="5">
        <v>2597991583</v>
      </c>
      <c r="F67" s="5">
        <v>7271896</v>
      </c>
      <c r="G67" s="8" t="s">
        <v>144</v>
      </c>
      <c r="H67" s="5" t="s">
        <v>13</v>
      </c>
      <c r="I67" s="5" t="s">
        <v>11</v>
      </c>
      <c r="J67" s="244">
        <v>35146</v>
      </c>
      <c r="K67" s="245">
        <v>44713</v>
      </c>
      <c r="L67" s="245">
        <v>48365</v>
      </c>
      <c r="M67" s="27"/>
    </row>
    <row r="68" spans="1:13" s="9" customFormat="1" x14ac:dyDescent="0.35">
      <c r="A68" s="19">
        <f t="shared" si="2"/>
        <v>62</v>
      </c>
      <c r="B68" s="5">
        <v>1</v>
      </c>
      <c r="C68" s="22" t="s">
        <v>38</v>
      </c>
      <c r="D68" s="5">
        <v>1756342</v>
      </c>
      <c r="E68" s="39">
        <v>2609952110</v>
      </c>
      <c r="F68" s="39">
        <v>7306358</v>
      </c>
      <c r="G68" s="8" t="s">
        <v>192</v>
      </c>
      <c r="H68" s="5" t="s">
        <v>13</v>
      </c>
      <c r="I68" s="6" t="s">
        <v>11</v>
      </c>
      <c r="J68" s="244">
        <v>36936</v>
      </c>
      <c r="K68" s="245">
        <v>44452</v>
      </c>
      <c r="L68" s="245">
        <v>48103</v>
      </c>
      <c r="M68" s="43"/>
    </row>
    <row r="69" spans="1:13" s="9" customFormat="1" x14ac:dyDescent="0.35">
      <c r="A69" s="19">
        <f t="shared" si="2"/>
        <v>63</v>
      </c>
      <c r="B69" s="5">
        <v>1</v>
      </c>
      <c r="C69" s="22" t="s">
        <v>86</v>
      </c>
      <c r="D69" s="11">
        <v>1756365</v>
      </c>
      <c r="E69" s="39">
        <v>2611808185</v>
      </c>
      <c r="F69" s="41">
        <v>7306346</v>
      </c>
      <c r="G69" s="12" t="s">
        <v>199</v>
      </c>
      <c r="H69" s="11" t="s">
        <v>13</v>
      </c>
      <c r="I69" s="11" t="s">
        <v>11</v>
      </c>
      <c r="J69" s="244">
        <v>35644</v>
      </c>
      <c r="K69" s="245">
        <v>42718</v>
      </c>
      <c r="L69" s="280">
        <v>46369</v>
      </c>
      <c r="M69" s="28"/>
    </row>
    <row r="70" spans="1:13" s="9" customFormat="1" x14ac:dyDescent="0.35">
      <c r="A70" s="19">
        <f t="shared" si="2"/>
        <v>64</v>
      </c>
      <c r="B70" s="5">
        <v>1</v>
      </c>
      <c r="C70" s="22" t="s">
        <v>87</v>
      </c>
      <c r="D70" s="41">
        <v>1756395</v>
      </c>
      <c r="E70" s="39">
        <v>2613442397</v>
      </c>
      <c r="F70" s="41">
        <v>7306356</v>
      </c>
      <c r="G70" s="12" t="s">
        <v>193</v>
      </c>
      <c r="H70" s="15" t="s">
        <v>41</v>
      </c>
      <c r="I70" s="11" t="s">
        <v>11</v>
      </c>
      <c r="J70" s="244">
        <v>33270</v>
      </c>
      <c r="K70" s="245">
        <v>44831</v>
      </c>
      <c r="L70" s="245">
        <v>48483</v>
      </c>
      <c r="M70" s="28"/>
    </row>
    <row r="71" spans="1:13" s="9" customFormat="1" x14ac:dyDescent="0.35">
      <c r="A71" s="19">
        <f t="shared" si="2"/>
        <v>65</v>
      </c>
      <c r="B71" s="5">
        <v>1</v>
      </c>
      <c r="C71" s="22" t="s">
        <v>88</v>
      </c>
      <c r="D71" s="41">
        <v>1756396</v>
      </c>
      <c r="E71" s="39">
        <v>2613442496</v>
      </c>
      <c r="F71" s="41">
        <v>7306365</v>
      </c>
      <c r="G71" s="12" t="s">
        <v>201</v>
      </c>
      <c r="H71" s="15" t="s">
        <v>41</v>
      </c>
      <c r="I71" s="11" t="s">
        <v>11</v>
      </c>
      <c r="J71" s="244">
        <v>34443</v>
      </c>
      <c r="K71" s="245">
        <v>45650</v>
      </c>
      <c r="L71" s="245">
        <v>49301</v>
      </c>
      <c r="M71" s="28"/>
    </row>
    <row r="72" spans="1:13" s="9" customFormat="1" x14ac:dyDescent="0.35">
      <c r="A72" s="19">
        <f t="shared" si="2"/>
        <v>66</v>
      </c>
      <c r="B72" s="5">
        <v>1</v>
      </c>
      <c r="C72" s="22" t="s">
        <v>89</v>
      </c>
      <c r="D72" s="41">
        <v>1755771</v>
      </c>
      <c r="E72" s="39">
        <v>2572763908</v>
      </c>
      <c r="F72" s="41">
        <v>8714174</v>
      </c>
      <c r="G72" s="12" t="s">
        <v>208</v>
      </c>
      <c r="H72" s="11" t="s">
        <v>13</v>
      </c>
      <c r="I72" s="11" t="s">
        <v>11</v>
      </c>
      <c r="J72" s="244">
        <v>29678</v>
      </c>
      <c r="K72" s="245">
        <v>43803</v>
      </c>
      <c r="L72" s="245">
        <v>47455</v>
      </c>
      <c r="M72" s="28"/>
    </row>
    <row r="73" spans="1:13" s="9" customFormat="1" x14ac:dyDescent="0.35">
      <c r="A73" s="19">
        <f t="shared" si="2"/>
        <v>67</v>
      </c>
      <c r="B73" s="5">
        <v>1</v>
      </c>
      <c r="C73" s="22" t="s">
        <v>90</v>
      </c>
      <c r="D73" s="39">
        <v>1756202</v>
      </c>
      <c r="E73" s="39">
        <v>2601408053</v>
      </c>
      <c r="F73" s="129">
        <v>7291459</v>
      </c>
      <c r="G73" s="122" t="s">
        <v>226</v>
      </c>
      <c r="H73" s="15" t="s">
        <v>13</v>
      </c>
      <c r="I73" s="5" t="s">
        <v>11</v>
      </c>
      <c r="J73" s="244">
        <v>32874</v>
      </c>
      <c r="K73" s="245">
        <v>45644</v>
      </c>
      <c r="L73" s="245">
        <v>49295</v>
      </c>
      <c r="M73" s="142"/>
    </row>
    <row r="74" spans="1:13" s="9" customFormat="1" x14ac:dyDescent="0.35">
      <c r="A74" s="11">
        <f t="shared" si="2"/>
        <v>68</v>
      </c>
      <c r="B74" s="11">
        <v>1</v>
      </c>
      <c r="C74" s="22" t="s">
        <v>91</v>
      </c>
      <c r="D74" s="110"/>
      <c r="E74" s="110"/>
      <c r="F74" s="110"/>
      <c r="G74" s="110" t="s">
        <v>52</v>
      </c>
      <c r="H74" s="110"/>
      <c r="I74" s="110"/>
      <c r="J74" s="244"/>
      <c r="K74" s="248"/>
      <c r="L74" s="248"/>
      <c r="M74" s="110"/>
    </row>
    <row r="75" spans="1:13" s="9" customFormat="1" x14ac:dyDescent="0.35">
      <c r="A75" s="11">
        <f t="shared" si="2"/>
        <v>69</v>
      </c>
      <c r="B75" s="11">
        <v>1</v>
      </c>
      <c r="C75" s="22" t="s">
        <v>227</v>
      </c>
      <c r="D75" s="237"/>
      <c r="E75" s="237"/>
      <c r="F75" s="237"/>
      <c r="G75" s="237" t="s">
        <v>230</v>
      </c>
      <c r="H75" s="238"/>
      <c r="I75" s="238"/>
      <c r="J75" s="244"/>
      <c r="K75" s="249"/>
      <c r="L75" s="249"/>
      <c r="M75" s="237"/>
    </row>
    <row r="76" spans="1:13" s="9" customFormat="1" x14ac:dyDescent="0.35">
      <c r="A76" s="19">
        <f t="shared" si="2"/>
        <v>70</v>
      </c>
      <c r="B76" s="5">
        <v>1</v>
      </c>
      <c r="C76" s="105" t="s">
        <v>206</v>
      </c>
      <c r="D76" s="11">
        <v>1756405</v>
      </c>
      <c r="E76" s="39">
        <v>2581210412</v>
      </c>
      <c r="F76" s="41">
        <v>7306349</v>
      </c>
      <c r="G76" s="12" t="s">
        <v>191</v>
      </c>
      <c r="H76" s="11" t="s">
        <v>58</v>
      </c>
      <c r="I76" s="11" t="s">
        <v>11</v>
      </c>
      <c r="J76" s="244">
        <v>25934</v>
      </c>
      <c r="K76" s="244">
        <v>45132</v>
      </c>
      <c r="L76" s="245">
        <v>46957</v>
      </c>
      <c r="M76" s="119"/>
    </row>
    <row r="77" spans="1:13" s="9" customFormat="1" x14ac:dyDescent="0.35">
      <c r="A77" s="19">
        <f t="shared" si="2"/>
        <v>71</v>
      </c>
      <c r="B77" s="5">
        <v>1</v>
      </c>
      <c r="C77" s="38" t="s">
        <v>40</v>
      </c>
      <c r="D77" s="5">
        <v>1756000</v>
      </c>
      <c r="E77" s="39">
        <v>2591744368</v>
      </c>
      <c r="F77" s="41">
        <v>7271918</v>
      </c>
      <c r="G77" s="94" t="s">
        <v>174</v>
      </c>
      <c r="H77" s="5" t="s">
        <v>39</v>
      </c>
      <c r="I77" s="6" t="s">
        <v>11</v>
      </c>
      <c r="J77" s="244">
        <v>33786</v>
      </c>
      <c r="K77" s="245">
        <v>45292</v>
      </c>
      <c r="L77" s="244">
        <v>48945</v>
      </c>
      <c r="M77" s="27"/>
    </row>
    <row r="78" spans="1:13" s="9" customFormat="1" x14ac:dyDescent="0.35">
      <c r="A78" s="82">
        <f t="shared" si="2"/>
        <v>72</v>
      </c>
      <c r="B78" s="36">
        <v>1</v>
      </c>
      <c r="C78" s="104" t="s">
        <v>102</v>
      </c>
      <c r="D78" s="36">
        <v>9604301</v>
      </c>
      <c r="E78" s="99">
        <v>2559055104</v>
      </c>
      <c r="F78" s="99"/>
      <c r="G78" s="35" t="s">
        <v>175</v>
      </c>
      <c r="H78" s="36" t="s">
        <v>41</v>
      </c>
      <c r="I78" s="36" t="s">
        <v>107</v>
      </c>
      <c r="J78" s="244"/>
      <c r="K78" s="250"/>
      <c r="L78" s="250"/>
      <c r="M78" s="43"/>
    </row>
    <row r="79" spans="1:13" s="9" customFormat="1" x14ac:dyDescent="0.35">
      <c r="A79" s="82">
        <f t="shared" si="2"/>
        <v>73</v>
      </c>
      <c r="B79" s="36">
        <v>1</v>
      </c>
      <c r="C79" s="104" t="s">
        <v>103</v>
      </c>
      <c r="D79" s="36">
        <v>9604302</v>
      </c>
      <c r="E79" s="99">
        <v>2562095386</v>
      </c>
      <c r="F79" s="99"/>
      <c r="G79" s="35" t="s">
        <v>176</v>
      </c>
      <c r="H79" s="36" t="s">
        <v>41</v>
      </c>
      <c r="I79" s="36" t="s">
        <v>107</v>
      </c>
      <c r="J79" s="244"/>
      <c r="K79" s="250"/>
      <c r="L79" s="250"/>
      <c r="M79" s="43"/>
    </row>
    <row r="80" spans="1:13" s="9" customFormat="1" x14ac:dyDescent="0.35">
      <c r="A80" s="82">
        <f t="shared" si="2"/>
        <v>74</v>
      </c>
      <c r="B80" s="36">
        <v>1</v>
      </c>
      <c r="C80" s="104" t="s">
        <v>104</v>
      </c>
      <c r="D80" s="36">
        <v>9604303</v>
      </c>
      <c r="E80" s="99">
        <v>2579788015</v>
      </c>
      <c r="F80" s="99">
        <v>8720274</v>
      </c>
      <c r="G80" s="35" t="s">
        <v>177</v>
      </c>
      <c r="H80" s="36" t="s">
        <v>92</v>
      </c>
      <c r="I80" s="36" t="s">
        <v>93</v>
      </c>
      <c r="J80" s="244"/>
      <c r="K80" s="250"/>
      <c r="L80" s="250"/>
      <c r="M80" s="43"/>
    </row>
    <row r="81" spans="1:17" s="9" customFormat="1" x14ac:dyDescent="0.35">
      <c r="A81" s="19">
        <f t="shared" si="2"/>
        <v>75</v>
      </c>
      <c r="B81" s="11">
        <v>1</v>
      </c>
      <c r="C81" s="12" t="s">
        <v>71</v>
      </c>
      <c r="D81" s="11">
        <v>1756361</v>
      </c>
      <c r="E81" s="11">
        <v>2611808078</v>
      </c>
      <c r="F81" s="95">
        <v>7306359</v>
      </c>
      <c r="G81" s="12" t="s">
        <v>200</v>
      </c>
      <c r="H81" s="15" t="s">
        <v>41</v>
      </c>
      <c r="I81" s="11" t="s">
        <v>11</v>
      </c>
      <c r="J81" s="244">
        <v>36206</v>
      </c>
      <c r="K81" s="244">
        <v>43873</v>
      </c>
      <c r="L81" s="244">
        <v>47525</v>
      </c>
      <c r="M81" s="28"/>
    </row>
    <row r="82" spans="1:17" s="9" customFormat="1" x14ac:dyDescent="0.35">
      <c r="A82" s="19">
        <f t="shared" si="2"/>
        <v>76</v>
      </c>
      <c r="B82" s="11">
        <v>1</v>
      </c>
      <c r="C82" s="12" t="s">
        <v>42</v>
      </c>
      <c r="D82" s="11">
        <v>1755932</v>
      </c>
      <c r="E82" s="11">
        <v>2583838095</v>
      </c>
      <c r="F82" s="95">
        <v>8712947</v>
      </c>
      <c r="G82" s="12" t="s">
        <v>185</v>
      </c>
      <c r="H82" s="15" t="s">
        <v>41</v>
      </c>
      <c r="I82" s="11" t="s">
        <v>11</v>
      </c>
      <c r="J82" s="244">
        <v>36637</v>
      </c>
      <c r="K82" s="244">
        <v>43164</v>
      </c>
      <c r="L82" s="244">
        <v>46816</v>
      </c>
      <c r="M82" s="28"/>
    </row>
    <row r="83" spans="1:17" s="9" customFormat="1" x14ac:dyDescent="0.35">
      <c r="A83" s="19">
        <f t="shared" si="2"/>
        <v>77</v>
      </c>
      <c r="B83" s="11">
        <v>1</v>
      </c>
      <c r="C83" s="12" t="s">
        <v>43</v>
      </c>
      <c r="D83" s="11">
        <v>1755737</v>
      </c>
      <c r="E83" s="11">
        <v>2571806609</v>
      </c>
      <c r="F83" s="11">
        <v>8714163</v>
      </c>
      <c r="G83" s="93" t="s">
        <v>183</v>
      </c>
      <c r="H83" s="15" t="s">
        <v>41</v>
      </c>
      <c r="I83" s="11" t="s">
        <v>11</v>
      </c>
      <c r="J83" s="244">
        <v>31876</v>
      </c>
      <c r="K83" s="244">
        <v>45299</v>
      </c>
      <c r="L83" s="244">
        <v>48951</v>
      </c>
      <c r="M83" s="28"/>
    </row>
    <row r="84" spans="1:17" s="9" customFormat="1" x14ac:dyDescent="0.35">
      <c r="A84" s="19">
        <f t="shared" si="2"/>
        <v>78</v>
      </c>
      <c r="B84" s="11">
        <v>1</v>
      </c>
      <c r="C84" s="12" t="s">
        <v>44</v>
      </c>
      <c r="D84" s="41">
        <v>1755931</v>
      </c>
      <c r="E84" s="11">
        <v>2583838020</v>
      </c>
      <c r="F84" s="11">
        <v>8712951</v>
      </c>
      <c r="G84" s="93" t="s">
        <v>184</v>
      </c>
      <c r="H84" s="15" t="s">
        <v>41</v>
      </c>
      <c r="I84" s="11" t="s">
        <v>11</v>
      </c>
      <c r="J84" s="244">
        <v>34921</v>
      </c>
      <c r="K84" s="244">
        <v>45194</v>
      </c>
      <c r="L84" s="244">
        <v>48850</v>
      </c>
      <c r="M84" s="28"/>
    </row>
    <row r="85" spans="1:17" s="16" customFormat="1" x14ac:dyDescent="0.35">
      <c r="A85" s="19">
        <f t="shared" si="2"/>
        <v>79</v>
      </c>
      <c r="B85" s="11">
        <v>1</v>
      </c>
      <c r="C85" s="12" t="s">
        <v>45</v>
      </c>
      <c r="D85" s="11">
        <v>1756040</v>
      </c>
      <c r="E85" s="239">
        <v>2593672393</v>
      </c>
      <c r="F85" s="11">
        <v>7282718</v>
      </c>
      <c r="G85" s="93" t="s">
        <v>178</v>
      </c>
      <c r="H85" s="11" t="s">
        <v>41</v>
      </c>
      <c r="I85" s="11" t="s">
        <v>11</v>
      </c>
      <c r="J85" s="244">
        <v>37798</v>
      </c>
      <c r="K85" s="244">
        <v>44517</v>
      </c>
      <c r="L85" s="244">
        <v>48168</v>
      </c>
      <c r="M85" s="240"/>
    </row>
    <row r="86" spans="1:17" s="9" customFormat="1" x14ac:dyDescent="0.35">
      <c r="A86" s="19">
        <f t="shared" si="2"/>
        <v>80</v>
      </c>
      <c r="B86" s="11">
        <v>1</v>
      </c>
      <c r="C86" s="12" t="s">
        <v>46</v>
      </c>
      <c r="D86" s="11">
        <v>1755739</v>
      </c>
      <c r="E86" s="11">
        <v>2571806666</v>
      </c>
      <c r="F86" s="11">
        <v>8719215</v>
      </c>
      <c r="G86" s="93" t="s">
        <v>146</v>
      </c>
      <c r="H86" s="11" t="s">
        <v>41</v>
      </c>
      <c r="I86" s="11" t="s">
        <v>11</v>
      </c>
      <c r="J86" s="244">
        <v>33592</v>
      </c>
      <c r="K86" s="244">
        <v>45211</v>
      </c>
      <c r="L86" s="244">
        <v>48863</v>
      </c>
      <c r="M86" s="51"/>
    </row>
    <row r="87" spans="1:17" s="9" customFormat="1" x14ac:dyDescent="0.35">
      <c r="A87" s="19">
        <f t="shared" si="2"/>
        <v>81</v>
      </c>
      <c r="B87" s="11">
        <v>1</v>
      </c>
      <c r="C87" s="12" t="s">
        <v>94</v>
      </c>
      <c r="D87" s="11">
        <v>1756044</v>
      </c>
      <c r="E87" s="239">
        <v>2593672518</v>
      </c>
      <c r="F87" s="11">
        <v>7271924</v>
      </c>
      <c r="G87" s="93" t="s">
        <v>179</v>
      </c>
      <c r="H87" s="11" t="s">
        <v>41</v>
      </c>
      <c r="I87" s="11" t="s">
        <v>11</v>
      </c>
      <c r="J87" s="244">
        <v>35804</v>
      </c>
      <c r="K87" s="244">
        <v>45503</v>
      </c>
      <c r="L87" s="244">
        <v>49154</v>
      </c>
      <c r="M87" s="240"/>
    </row>
    <row r="88" spans="1:17" s="9" customFormat="1" x14ac:dyDescent="0.35">
      <c r="A88" s="19">
        <f t="shared" si="2"/>
        <v>82</v>
      </c>
      <c r="B88" s="11">
        <v>1</v>
      </c>
      <c r="C88" s="12" t="s">
        <v>95</v>
      </c>
      <c r="D88" s="41">
        <v>1755956</v>
      </c>
      <c r="E88" s="11">
        <v>2585953215</v>
      </c>
      <c r="F88" s="11">
        <v>8719211</v>
      </c>
      <c r="G88" s="93" t="s">
        <v>148</v>
      </c>
      <c r="H88" s="11" t="s">
        <v>13</v>
      </c>
      <c r="I88" s="11" t="s">
        <v>11</v>
      </c>
      <c r="J88" s="244">
        <v>35720</v>
      </c>
      <c r="K88" s="244">
        <v>43357</v>
      </c>
      <c r="L88" s="244">
        <v>47009</v>
      </c>
      <c r="M88" s="28"/>
    </row>
    <row r="89" spans="1:17" s="9" customFormat="1" x14ac:dyDescent="0.35">
      <c r="A89" s="19">
        <f t="shared" si="2"/>
        <v>83</v>
      </c>
      <c r="B89" s="11">
        <v>1</v>
      </c>
      <c r="C89" s="12" t="s">
        <v>96</v>
      </c>
      <c r="D89" s="11">
        <v>1756242</v>
      </c>
      <c r="E89" s="11">
        <v>2604639530</v>
      </c>
      <c r="F89" s="11">
        <v>7301257</v>
      </c>
      <c r="G89" s="12" t="s">
        <v>180</v>
      </c>
      <c r="H89" s="11" t="s">
        <v>39</v>
      </c>
      <c r="I89" s="11" t="s">
        <v>11</v>
      </c>
      <c r="J89" s="244">
        <v>30803</v>
      </c>
      <c r="K89" s="244">
        <v>45728</v>
      </c>
      <c r="L89" s="244">
        <v>49380</v>
      </c>
      <c r="M89" s="28"/>
    </row>
    <row r="90" spans="1:17" s="9" customFormat="1" x14ac:dyDescent="0.35">
      <c r="A90" s="19">
        <f t="shared" si="2"/>
        <v>84</v>
      </c>
      <c r="B90" s="11">
        <v>1</v>
      </c>
      <c r="C90" s="12" t="s">
        <v>97</v>
      </c>
      <c r="D90" s="41">
        <v>1756093</v>
      </c>
      <c r="E90" s="11">
        <v>2595787389</v>
      </c>
      <c r="F90" s="11">
        <v>7271917</v>
      </c>
      <c r="G90" s="93" t="s">
        <v>149</v>
      </c>
      <c r="H90" s="11" t="s">
        <v>39</v>
      </c>
      <c r="I90" s="11" t="s">
        <v>11</v>
      </c>
      <c r="J90" s="244">
        <v>29415</v>
      </c>
      <c r="K90" s="244">
        <v>45615</v>
      </c>
      <c r="L90" s="244">
        <v>49267</v>
      </c>
      <c r="M90" s="28"/>
    </row>
    <row r="91" spans="1:17" s="9" customFormat="1" x14ac:dyDescent="0.35">
      <c r="A91" s="19">
        <f t="shared" si="2"/>
        <v>85</v>
      </c>
      <c r="B91" s="11">
        <v>1</v>
      </c>
      <c r="C91" s="12" t="s">
        <v>105</v>
      </c>
      <c r="D91" s="41">
        <v>1756045</v>
      </c>
      <c r="E91" s="11">
        <v>2593672559</v>
      </c>
      <c r="F91" s="11">
        <v>7271926</v>
      </c>
      <c r="G91" s="93" t="s">
        <v>150</v>
      </c>
      <c r="H91" s="11" t="s">
        <v>41</v>
      </c>
      <c r="I91" s="11" t="s">
        <v>11</v>
      </c>
      <c r="J91" s="244">
        <v>37451</v>
      </c>
      <c r="K91" s="244">
        <v>45516</v>
      </c>
      <c r="L91" s="244">
        <v>49167</v>
      </c>
      <c r="M91" s="28"/>
    </row>
    <row r="92" spans="1:17" s="9" customFormat="1" x14ac:dyDescent="0.35">
      <c r="A92" s="19">
        <f t="shared" si="2"/>
        <v>86</v>
      </c>
      <c r="B92" s="11">
        <v>1</v>
      </c>
      <c r="C92" s="12" t="s">
        <v>153</v>
      </c>
      <c r="D92" s="11">
        <v>1756289</v>
      </c>
      <c r="E92" s="11">
        <v>2607343916</v>
      </c>
      <c r="F92" s="11">
        <v>7306361</v>
      </c>
      <c r="G92" s="12" t="s">
        <v>181</v>
      </c>
      <c r="H92" s="11" t="s">
        <v>41</v>
      </c>
      <c r="I92" s="11" t="s">
        <v>11</v>
      </c>
      <c r="J92" s="244">
        <v>36335</v>
      </c>
      <c r="K92" s="244">
        <v>42760</v>
      </c>
      <c r="L92" s="281">
        <v>46411</v>
      </c>
      <c r="M92" s="28"/>
    </row>
    <row r="93" spans="1:17" s="9" customFormat="1" x14ac:dyDescent="0.35">
      <c r="A93" s="19">
        <f t="shared" si="2"/>
        <v>87</v>
      </c>
      <c r="B93" s="11">
        <v>1</v>
      </c>
      <c r="C93" s="12" t="s">
        <v>155</v>
      </c>
      <c r="D93" s="11">
        <v>1756315</v>
      </c>
      <c r="E93" s="11">
        <v>2608038366</v>
      </c>
      <c r="F93" s="11">
        <v>7301261</v>
      </c>
      <c r="G93" s="12" t="s">
        <v>182</v>
      </c>
      <c r="H93" s="11" t="s">
        <v>41</v>
      </c>
      <c r="I93" s="11" t="s">
        <v>11</v>
      </c>
      <c r="J93" s="244">
        <v>37869</v>
      </c>
      <c r="K93" s="244">
        <v>44874</v>
      </c>
      <c r="L93" s="244">
        <v>48526</v>
      </c>
      <c r="M93" s="28"/>
    </row>
    <row r="94" spans="1:17" s="9" customFormat="1" x14ac:dyDescent="0.35">
      <c r="A94" s="19">
        <f t="shared" si="2"/>
        <v>88</v>
      </c>
      <c r="B94" s="11">
        <v>1</v>
      </c>
      <c r="C94" s="12" t="s">
        <v>204</v>
      </c>
      <c r="D94" s="11">
        <v>1756159</v>
      </c>
      <c r="E94" s="11">
        <v>2598998082</v>
      </c>
      <c r="F94" s="11">
        <v>7271461</v>
      </c>
      <c r="G94" s="12" t="s">
        <v>152</v>
      </c>
      <c r="H94" s="11" t="s">
        <v>41</v>
      </c>
      <c r="I94" s="11" t="s">
        <v>11</v>
      </c>
      <c r="J94" s="244">
        <v>32986</v>
      </c>
      <c r="K94" s="244">
        <v>45369</v>
      </c>
      <c r="L94" s="244">
        <v>49020</v>
      </c>
      <c r="M94" s="51"/>
    </row>
    <row r="95" spans="1:17" s="9" customFormat="1" x14ac:dyDescent="0.35">
      <c r="A95" s="19">
        <f t="shared" si="2"/>
        <v>89</v>
      </c>
      <c r="B95" s="11">
        <v>1</v>
      </c>
      <c r="C95" s="12" t="s">
        <v>205</v>
      </c>
      <c r="D95" s="41">
        <v>1756150</v>
      </c>
      <c r="E95" s="11">
        <v>2598989081</v>
      </c>
      <c r="F95" s="11">
        <v>7279548</v>
      </c>
      <c r="G95" s="93" t="s">
        <v>151</v>
      </c>
      <c r="H95" s="11" t="s">
        <v>41</v>
      </c>
      <c r="I95" s="11" t="s">
        <v>11</v>
      </c>
      <c r="J95" s="244">
        <v>32738</v>
      </c>
      <c r="K95" s="244">
        <v>44567</v>
      </c>
      <c r="L95" s="244">
        <v>48218</v>
      </c>
      <c r="M95" s="28"/>
      <c r="Q95" s="9">
        <f>650/31</f>
        <v>20.967741935483872</v>
      </c>
    </row>
    <row r="96" spans="1:17" s="9" customFormat="1" x14ac:dyDescent="0.35">
      <c r="A96" s="19">
        <f t="shared" si="2"/>
        <v>90</v>
      </c>
      <c r="B96" s="11">
        <v>1</v>
      </c>
      <c r="C96" s="12" t="s">
        <v>242</v>
      </c>
      <c r="D96" s="11">
        <v>1756240</v>
      </c>
      <c r="E96" s="11">
        <v>2604639282</v>
      </c>
      <c r="F96" s="11">
        <v>7298801</v>
      </c>
      <c r="G96" s="12" t="s">
        <v>154</v>
      </c>
      <c r="H96" s="11" t="s">
        <v>39</v>
      </c>
      <c r="I96" s="11" t="s">
        <v>11</v>
      </c>
      <c r="J96" s="244">
        <v>30107</v>
      </c>
      <c r="K96" s="244">
        <v>44869</v>
      </c>
      <c r="L96" s="244">
        <v>48522</v>
      </c>
      <c r="M96" s="28"/>
    </row>
    <row r="97" spans="1:13" s="9" customFormat="1" x14ac:dyDescent="0.35">
      <c r="A97" s="19">
        <f t="shared" si="2"/>
        <v>91</v>
      </c>
      <c r="B97" s="11">
        <v>1</v>
      </c>
      <c r="C97" s="12" t="s">
        <v>244</v>
      </c>
      <c r="D97" s="11">
        <v>1756241</v>
      </c>
      <c r="E97" s="11">
        <v>2604639381</v>
      </c>
      <c r="F97" s="11">
        <v>7298798</v>
      </c>
      <c r="G97" s="12" t="s">
        <v>156</v>
      </c>
      <c r="H97" s="11" t="s">
        <v>39</v>
      </c>
      <c r="I97" s="11" t="s">
        <v>11</v>
      </c>
      <c r="J97" s="244">
        <v>35004</v>
      </c>
      <c r="K97" s="244">
        <v>43433</v>
      </c>
      <c r="L97" s="244">
        <v>47086</v>
      </c>
      <c r="M97" s="28"/>
    </row>
    <row r="98" spans="1:13" s="9" customFormat="1" x14ac:dyDescent="0.35">
      <c r="A98" s="19">
        <f t="shared" si="2"/>
        <v>92</v>
      </c>
      <c r="B98" s="11">
        <v>1</v>
      </c>
      <c r="C98" s="12" t="s">
        <v>251</v>
      </c>
      <c r="D98" s="11">
        <v>1755933</v>
      </c>
      <c r="E98" s="11">
        <v>2583838343</v>
      </c>
      <c r="F98" s="12">
        <v>8712946</v>
      </c>
      <c r="G98" s="12" t="s">
        <v>186</v>
      </c>
      <c r="H98" s="11" t="s">
        <v>41</v>
      </c>
      <c r="I98" s="11" t="s">
        <v>11</v>
      </c>
      <c r="J98" s="244">
        <v>32103</v>
      </c>
      <c r="K98" s="244">
        <v>45209</v>
      </c>
      <c r="L98" s="244">
        <v>48861</v>
      </c>
      <c r="M98" s="142"/>
    </row>
    <row r="99" spans="1:13" s="9" customFormat="1" x14ac:dyDescent="0.35">
      <c r="A99" s="19">
        <f t="shared" si="2"/>
        <v>93</v>
      </c>
      <c r="B99" s="11">
        <v>1</v>
      </c>
      <c r="C99" s="12" t="s">
        <v>252</v>
      </c>
      <c r="D99" s="11">
        <v>1756041</v>
      </c>
      <c r="E99" s="239">
        <v>2593672427</v>
      </c>
      <c r="F99" s="11">
        <v>7271894</v>
      </c>
      <c r="G99" s="93" t="s">
        <v>187</v>
      </c>
      <c r="H99" s="11" t="s">
        <v>41</v>
      </c>
      <c r="I99" s="11" t="s">
        <v>11</v>
      </c>
      <c r="J99" s="244">
        <v>32909</v>
      </c>
      <c r="K99" s="244">
        <v>45372</v>
      </c>
      <c r="L99" s="244">
        <v>49023</v>
      </c>
      <c r="M99" s="28"/>
    </row>
    <row r="100" spans="1:13" s="9" customFormat="1" x14ac:dyDescent="0.35">
      <c r="A100" s="82">
        <f t="shared" si="2"/>
        <v>94</v>
      </c>
      <c r="B100" s="36">
        <v>1</v>
      </c>
      <c r="C100" s="35" t="s">
        <v>253</v>
      </c>
      <c r="D100" s="36"/>
      <c r="E100" s="239"/>
      <c r="F100" s="11"/>
      <c r="G100" s="241" t="s">
        <v>243</v>
      </c>
      <c r="H100" s="36" t="s">
        <v>240</v>
      </c>
      <c r="I100" s="36" t="s">
        <v>241</v>
      </c>
      <c r="J100" s="244"/>
      <c r="K100" s="250"/>
      <c r="L100" s="250"/>
      <c r="M100" s="43"/>
    </row>
    <row r="101" spans="1:13" s="9" customFormat="1" x14ac:dyDescent="0.35">
      <c r="A101" s="233">
        <f t="shared" si="2"/>
        <v>95</v>
      </c>
      <c r="B101" s="30">
        <v>1</v>
      </c>
      <c r="C101" s="49" t="s">
        <v>254</v>
      </c>
      <c r="D101" s="30">
        <v>1756581</v>
      </c>
      <c r="E101" s="132"/>
      <c r="F101" s="30"/>
      <c r="G101" s="130" t="s">
        <v>411</v>
      </c>
      <c r="H101" s="30" t="s">
        <v>39</v>
      </c>
      <c r="I101" s="30" t="s">
        <v>11</v>
      </c>
      <c r="J101" s="251">
        <v>36892</v>
      </c>
      <c r="K101" s="251">
        <v>44214</v>
      </c>
      <c r="L101" s="251">
        <v>47866</v>
      </c>
      <c r="M101" s="51" t="s">
        <v>413</v>
      </c>
    </row>
    <row r="102" spans="1:13" s="9" customFormat="1" x14ac:dyDescent="0.35">
      <c r="A102" s="19">
        <f t="shared" si="2"/>
        <v>96</v>
      </c>
      <c r="B102" s="30">
        <v>1</v>
      </c>
      <c r="C102" s="49" t="s">
        <v>248</v>
      </c>
      <c r="D102" s="30">
        <v>1756582</v>
      </c>
      <c r="E102" s="132"/>
      <c r="F102" s="30"/>
      <c r="G102" s="130" t="s">
        <v>412</v>
      </c>
      <c r="H102" s="30" t="s">
        <v>39</v>
      </c>
      <c r="I102" s="30" t="s">
        <v>11</v>
      </c>
      <c r="J102" s="251">
        <v>33413</v>
      </c>
      <c r="K102" s="251">
        <v>44820</v>
      </c>
      <c r="L102" s="251">
        <v>48473</v>
      </c>
      <c r="M102" s="51" t="s">
        <v>413</v>
      </c>
    </row>
    <row r="103" spans="1:13" s="9" customFormat="1" x14ac:dyDescent="0.35">
      <c r="A103" s="19">
        <f t="shared" si="2"/>
        <v>97</v>
      </c>
      <c r="B103" s="5">
        <v>1</v>
      </c>
      <c r="C103" s="14" t="s">
        <v>47</v>
      </c>
      <c r="D103" s="5">
        <v>1755676</v>
      </c>
      <c r="E103" s="20">
        <v>1099318352</v>
      </c>
      <c r="F103" s="5">
        <v>8714070</v>
      </c>
      <c r="G103" s="14" t="s">
        <v>157</v>
      </c>
      <c r="H103" s="37" t="s">
        <v>10</v>
      </c>
      <c r="I103" s="5" t="s">
        <v>11</v>
      </c>
      <c r="J103" s="245"/>
      <c r="K103" s="245"/>
      <c r="L103" s="252"/>
      <c r="M103" s="89"/>
    </row>
    <row r="104" spans="1:13" s="9" customFormat="1" x14ac:dyDescent="0.35">
      <c r="A104" s="19">
        <f t="shared" si="2"/>
        <v>98</v>
      </c>
      <c r="B104" s="5">
        <v>1</v>
      </c>
      <c r="C104" s="38" t="s">
        <v>48</v>
      </c>
      <c r="D104" s="39">
        <v>1755054</v>
      </c>
      <c r="E104" s="5">
        <v>2509318099</v>
      </c>
      <c r="F104" s="5">
        <v>8731982</v>
      </c>
      <c r="G104" s="8" t="s">
        <v>158</v>
      </c>
      <c r="H104" s="5" t="s">
        <v>13</v>
      </c>
      <c r="I104" s="6" t="s">
        <v>11</v>
      </c>
      <c r="J104" s="244">
        <v>30018</v>
      </c>
      <c r="K104" s="245">
        <v>42884</v>
      </c>
      <c r="L104" s="280">
        <v>46535</v>
      </c>
      <c r="M104" s="28"/>
    </row>
    <row r="105" spans="1:13" s="9" customFormat="1" x14ac:dyDescent="0.35">
      <c r="A105" s="19">
        <f t="shared" si="2"/>
        <v>99</v>
      </c>
      <c r="B105" s="11">
        <v>1</v>
      </c>
      <c r="C105" s="14" t="s">
        <v>112</v>
      </c>
      <c r="D105" s="39">
        <v>1756360</v>
      </c>
      <c r="E105" s="5">
        <v>2611808003</v>
      </c>
      <c r="F105" s="5">
        <v>7306350</v>
      </c>
      <c r="G105" s="8" t="s">
        <v>194</v>
      </c>
      <c r="H105" s="5" t="s">
        <v>13</v>
      </c>
      <c r="I105" s="6" t="s">
        <v>11</v>
      </c>
      <c r="J105" s="244">
        <v>34131</v>
      </c>
      <c r="K105" s="245">
        <v>44820</v>
      </c>
      <c r="L105" s="245">
        <v>48472</v>
      </c>
      <c r="M105" s="120"/>
    </row>
    <row r="106" spans="1:13" s="9" customFormat="1" x14ac:dyDescent="0.35">
      <c r="A106" s="19">
        <f t="shared" si="2"/>
        <v>100</v>
      </c>
      <c r="B106" s="5">
        <v>1</v>
      </c>
      <c r="C106" s="38" t="s">
        <v>113</v>
      </c>
      <c r="D106" s="5">
        <v>1755131</v>
      </c>
      <c r="E106" s="5">
        <v>2345542308</v>
      </c>
      <c r="F106" s="5">
        <v>8719209</v>
      </c>
      <c r="G106" s="14" t="s">
        <v>188</v>
      </c>
      <c r="H106" s="15" t="s">
        <v>55</v>
      </c>
      <c r="I106" s="5" t="s">
        <v>11</v>
      </c>
      <c r="J106" s="244">
        <v>31583</v>
      </c>
      <c r="K106" s="245">
        <v>45512</v>
      </c>
      <c r="L106" s="245">
        <v>47337</v>
      </c>
      <c r="M106" s="242"/>
    </row>
    <row r="107" spans="1:13" s="9" customFormat="1" x14ac:dyDescent="0.35">
      <c r="A107" s="19">
        <f t="shared" si="2"/>
        <v>101</v>
      </c>
      <c r="B107" s="5">
        <v>1</v>
      </c>
      <c r="C107" s="12" t="s">
        <v>49</v>
      </c>
      <c r="D107" s="41">
        <v>1756293</v>
      </c>
      <c r="E107" s="11"/>
      <c r="F107" s="5"/>
      <c r="G107" s="12" t="s">
        <v>221</v>
      </c>
      <c r="H107" s="11" t="s">
        <v>55</v>
      </c>
      <c r="I107" s="11" t="s">
        <v>11</v>
      </c>
      <c r="J107" s="244">
        <v>31882</v>
      </c>
      <c r="K107" s="244">
        <v>44764</v>
      </c>
      <c r="L107" s="281">
        <v>46589</v>
      </c>
      <c r="M107" s="28"/>
    </row>
    <row r="108" spans="1:13" s="9" customFormat="1" x14ac:dyDescent="0.35">
      <c r="A108" s="19">
        <f t="shared" si="2"/>
        <v>102</v>
      </c>
      <c r="B108" s="5">
        <v>1</v>
      </c>
      <c r="C108" s="12" t="s">
        <v>197</v>
      </c>
      <c r="D108" s="41">
        <v>1756526</v>
      </c>
      <c r="E108" s="11"/>
      <c r="F108" s="243"/>
      <c r="G108" s="12" t="s">
        <v>238</v>
      </c>
      <c r="H108" s="11" t="s">
        <v>58</v>
      </c>
      <c r="I108" s="11" t="s">
        <v>11</v>
      </c>
      <c r="J108" s="244">
        <v>29587</v>
      </c>
      <c r="K108" s="244">
        <v>44950</v>
      </c>
      <c r="L108" s="244">
        <v>46775</v>
      </c>
      <c r="M108" s="28"/>
    </row>
    <row r="109" spans="1:13" s="9" customFormat="1" ht="16" thickBot="1" x14ac:dyDescent="0.4">
      <c r="A109" s="19">
        <f t="shared" si="2"/>
        <v>103</v>
      </c>
      <c r="B109" s="268">
        <v>1</v>
      </c>
      <c r="C109" s="269" t="s">
        <v>159</v>
      </c>
      <c r="D109" s="270">
        <v>1756131</v>
      </c>
      <c r="E109" s="270">
        <v>2597990650</v>
      </c>
      <c r="F109" s="270">
        <v>7279546</v>
      </c>
      <c r="G109" s="271" t="s">
        <v>145</v>
      </c>
      <c r="H109" s="270" t="s">
        <v>13</v>
      </c>
      <c r="I109" s="270" t="s">
        <v>11</v>
      </c>
      <c r="J109" s="272">
        <v>35766</v>
      </c>
      <c r="K109" s="273">
        <v>43413</v>
      </c>
      <c r="L109" s="273">
        <v>47085</v>
      </c>
      <c r="M109" s="274"/>
    </row>
    <row r="110" spans="1:13" x14ac:dyDescent="0.35">
      <c r="A110" s="5">
        <v>1</v>
      </c>
      <c r="B110" s="261"/>
      <c r="C110" s="262" t="s">
        <v>115</v>
      </c>
      <c r="D110" s="263">
        <v>1756216</v>
      </c>
      <c r="E110" s="263"/>
      <c r="F110" s="263"/>
      <c r="G110" s="264" t="s">
        <v>116</v>
      </c>
      <c r="H110" s="265" t="s">
        <v>10</v>
      </c>
      <c r="I110" s="261" t="s">
        <v>11</v>
      </c>
      <c r="J110" s="266"/>
      <c r="K110" s="267"/>
      <c r="L110" s="267"/>
      <c r="M110" s="265"/>
    </row>
    <row r="111" spans="1:13" x14ac:dyDescent="0.35">
      <c r="A111" s="5">
        <v>2</v>
      </c>
      <c r="B111" s="11"/>
      <c r="C111" s="12" t="s">
        <v>117</v>
      </c>
      <c r="D111" s="41">
        <v>1756215</v>
      </c>
      <c r="E111" s="41"/>
      <c r="F111" s="41"/>
      <c r="G111" s="54" t="s">
        <v>118</v>
      </c>
      <c r="H111" s="64" t="s">
        <v>10</v>
      </c>
      <c r="I111" s="11" t="s">
        <v>11</v>
      </c>
      <c r="J111" s="244"/>
      <c r="K111" s="245"/>
      <c r="L111" s="245"/>
      <c r="M111" s="64"/>
    </row>
    <row r="112" spans="1:13" x14ac:dyDescent="0.35">
      <c r="A112" s="5">
        <v>3</v>
      </c>
      <c r="B112" s="11"/>
      <c r="C112" s="12" t="s">
        <v>223</v>
      </c>
      <c r="D112" s="11">
        <v>1756470</v>
      </c>
      <c r="E112" s="11"/>
      <c r="F112" s="95"/>
      <c r="G112" s="12" t="s">
        <v>222</v>
      </c>
      <c r="H112" s="11" t="s">
        <v>245</v>
      </c>
      <c r="I112" s="11" t="s">
        <v>11</v>
      </c>
      <c r="J112" s="244">
        <v>36222</v>
      </c>
      <c r="K112" s="245">
        <v>43783</v>
      </c>
      <c r="L112" s="245">
        <v>47436</v>
      </c>
      <c r="M112" s="64"/>
    </row>
    <row r="113" spans="1:14" x14ac:dyDescent="0.35">
      <c r="A113" s="5">
        <v>4</v>
      </c>
      <c r="B113" s="11"/>
      <c r="C113" s="12" t="s">
        <v>224</v>
      </c>
      <c r="D113" s="5">
        <v>1755740</v>
      </c>
      <c r="E113" s="5">
        <v>2571806708</v>
      </c>
      <c r="F113" s="5">
        <v>8719207</v>
      </c>
      <c r="G113" s="94" t="s">
        <v>147</v>
      </c>
      <c r="H113" s="15" t="s">
        <v>41</v>
      </c>
      <c r="I113" s="5" t="s">
        <v>11</v>
      </c>
      <c r="J113" s="244">
        <v>33176</v>
      </c>
      <c r="K113" s="245">
        <v>43112</v>
      </c>
      <c r="L113" s="245">
        <v>46763</v>
      </c>
      <c r="M113" s="134"/>
    </row>
    <row r="114" spans="1:14" x14ac:dyDescent="0.35">
      <c r="A114" s="210">
        <v>1</v>
      </c>
      <c r="B114" s="210"/>
      <c r="C114" s="8" t="s">
        <v>313</v>
      </c>
      <c r="D114" s="39">
        <v>1756080</v>
      </c>
      <c r="E114" s="39">
        <v>2593673110</v>
      </c>
      <c r="F114" s="39">
        <v>7279546</v>
      </c>
      <c r="G114" s="21" t="s">
        <v>314</v>
      </c>
      <c r="H114" s="20" t="s">
        <v>13</v>
      </c>
      <c r="I114" s="6" t="s">
        <v>11</v>
      </c>
      <c r="J114" s="244">
        <v>31533</v>
      </c>
      <c r="K114" s="245">
        <v>42947</v>
      </c>
      <c r="L114" s="280">
        <v>46598</v>
      </c>
      <c r="M114" s="211" t="s">
        <v>315</v>
      </c>
      <c r="N114" s="7"/>
    </row>
    <row r="115" spans="1:14" s="9" customFormat="1" x14ac:dyDescent="0.35">
      <c r="A115" s="66">
        <f t="shared" ref="A115:A117" si="3">A114+1</f>
        <v>2</v>
      </c>
      <c r="B115" s="212"/>
      <c r="C115" s="12" t="s">
        <v>316</v>
      </c>
      <c r="D115" s="11">
        <v>1755830</v>
      </c>
      <c r="E115" s="213"/>
      <c r="F115" s="213"/>
      <c r="G115" s="12" t="s">
        <v>317</v>
      </c>
      <c r="H115" s="37" t="s">
        <v>10</v>
      </c>
      <c r="I115" s="11" t="s">
        <v>11</v>
      </c>
      <c r="J115" s="244"/>
      <c r="K115" s="245"/>
      <c r="L115" s="245"/>
      <c r="M115" s="28"/>
    </row>
    <row r="116" spans="1:14" s="9" customFormat="1" x14ac:dyDescent="0.35">
      <c r="A116" s="100">
        <f t="shared" si="3"/>
        <v>3</v>
      </c>
      <c r="B116" s="5"/>
      <c r="C116" s="12" t="s">
        <v>407</v>
      </c>
      <c r="D116" s="11">
        <v>1752802</v>
      </c>
      <c r="E116" s="11"/>
      <c r="F116" s="84"/>
      <c r="G116" s="12" t="s">
        <v>405</v>
      </c>
      <c r="H116" s="37" t="s">
        <v>10</v>
      </c>
      <c r="I116" s="11" t="s">
        <v>11</v>
      </c>
      <c r="J116" s="244"/>
      <c r="K116" s="245"/>
      <c r="L116" s="245"/>
      <c r="M116" s="51" t="s">
        <v>406</v>
      </c>
    </row>
    <row r="117" spans="1:14" s="7" customFormat="1" x14ac:dyDescent="0.35">
      <c r="A117" s="19">
        <f t="shared" si="3"/>
        <v>4</v>
      </c>
      <c r="B117" s="11"/>
      <c r="C117" s="12" t="s">
        <v>59</v>
      </c>
      <c r="D117" s="11">
        <v>1752799</v>
      </c>
      <c r="E117" s="11">
        <v>2593672153</v>
      </c>
      <c r="F117" s="95">
        <v>8736541</v>
      </c>
      <c r="G117" s="8" t="s">
        <v>401</v>
      </c>
      <c r="H117" s="37" t="s">
        <v>10</v>
      </c>
      <c r="I117" s="11" t="s">
        <v>11</v>
      </c>
      <c r="J117" s="244"/>
      <c r="K117" s="245"/>
      <c r="L117" s="245"/>
      <c r="M117" s="51" t="s">
        <v>402</v>
      </c>
    </row>
    <row r="118" spans="1:14" x14ac:dyDescent="0.35">
      <c r="D118"/>
    </row>
    <row r="119" spans="1:14" ht="23.5" hidden="1" x14ac:dyDescent="0.35">
      <c r="A119" s="289" t="s">
        <v>318</v>
      </c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7"/>
    </row>
    <row r="120" spans="1:14" s="221" customFormat="1" hidden="1" x14ac:dyDescent="0.35">
      <c r="A120" s="215">
        <v>1</v>
      </c>
      <c r="B120" s="216"/>
      <c r="C120" s="216" t="s">
        <v>319</v>
      </c>
      <c r="D120" s="217">
        <v>9604335</v>
      </c>
      <c r="E120" s="216">
        <v>2579356367</v>
      </c>
      <c r="F120" s="216"/>
      <c r="G120" s="217" t="s">
        <v>320</v>
      </c>
      <c r="H120" s="218" t="s">
        <v>321</v>
      </c>
      <c r="I120" s="29" t="s">
        <v>107</v>
      </c>
      <c r="J120" s="29"/>
      <c r="K120" s="29" t="s">
        <v>12</v>
      </c>
      <c r="L120" s="219" t="s">
        <v>216</v>
      </c>
      <c r="M120" s="220" t="s">
        <v>322</v>
      </c>
    </row>
    <row r="121" spans="1:14" s="221" customFormat="1" hidden="1" x14ac:dyDescent="0.35">
      <c r="A121" s="215">
        <v>2</v>
      </c>
      <c r="B121" s="216"/>
      <c r="C121" s="216" t="s">
        <v>319</v>
      </c>
      <c r="D121" s="217">
        <v>9604334</v>
      </c>
      <c r="E121" s="216">
        <v>2564009153</v>
      </c>
      <c r="F121" s="216"/>
      <c r="G121" s="217" t="s">
        <v>323</v>
      </c>
      <c r="H121" s="218" t="s">
        <v>321</v>
      </c>
      <c r="I121" s="29" t="s">
        <v>107</v>
      </c>
      <c r="J121" s="29"/>
      <c r="K121" s="29" t="s">
        <v>12</v>
      </c>
      <c r="L121" s="219" t="s">
        <v>216</v>
      </c>
      <c r="M121" s="220" t="s">
        <v>322</v>
      </c>
    </row>
    <row r="122" spans="1:14" s="221" customFormat="1" hidden="1" x14ac:dyDescent="0.35">
      <c r="A122" s="215">
        <v>3</v>
      </c>
      <c r="B122" s="216"/>
      <c r="C122" s="216" t="s">
        <v>319</v>
      </c>
      <c r="D122" s="217">
        <v>9604357</v>
      </c>
      <c r="E122" s="216">
        <v>2563259502</v>
      </c>
      <c r="F122" s="216"/>
      <c r="G122" s="217" t="s">
        <v>324</v>
      </c>
      <c r="H122" s="218" t="s">
        <v>321</v>
      </c>
      <c r="I122" s="29" t="s">
        <v>107</v>
      </c>
      <c r="J122" s="29"/>
      <c r="K122" s="29" t="s">
        <v>12</v>
      </c>
      <c r="L122" s="219" t="s">
        <v>216</v>
      </c>
      <c r="M122" s="220" t="s">
        <v>322</v>
      </c>
    </row>
    <row r="123" spans="1:14" s="221" customFormat="1" hidden="1" x14ac:dyDescent="0.35">
      <c r="A123" s="215">
        <v>4</v>
      </c>
      <c r="B123" s="216"/>
      <c r="C123" s="216" t="s">
        <v>319</v>
      </c>
      <c r="D123" s="217">
        <v>9604358</v>
      </c>
      <c r="E123" s="216">
        <v>2592739383</v>
      </c>
      <c r="F123" s="216"/>
      <c r="G123" s="217" t="s">
        <v>325</v>
      </c>
      <c r="H123" s="218" t="s">
        <v>321</v>
      </c>
      <c r="I123" s="29" t="s">
        <v>107</v>
      </c>
      <c r="J123" s="29"/>
      <c r="K123" s="29" t="s">
        <v>12</v>
      </c>
      <c r="L123" s="219" t="s">
        <v>216</v>
      </c>
      <c r="M123" s="220" t="s">
        <v>322</v>
      </c>
    </row>
    <row r="124" spans="1:14" s="221" customFormat="1" hidden="1" x14ac:dyDescent="0.35">
      <c r="A124" s="215">
        <v>5</v>
      </c>
      <c r="B124" s="216"/>
      <c r="C124" s="216" t="s">
        <v>319</v>
      </c>
      <c r="D124" s="217">
        <v>9604360</v>
      </c>
      <c r="E124" s="216">
        <v>2593781723</v>
      </c>
      <c r="F124" s="216"/>
      <c r="G124" s="217" t="s">
        <v>326</v>
      </c>
      <c r="H124" s="218" t="s">
        <v>321</v>
      </c>
      <c r="I124" s="29" t="s">
        <v>107</v>
      </c>
      <c r="J124" s="29"/>
      <c r="K124" s="29" t="s">
        <v>12</v>
      </c>
      <c r="L124" s="219" t="s">
        <v>216</v>
      </c>
      <c r="M124" s="220" t="s">
        <v>322</v>
      </c>
    </row>
    <row r="125" spans="1:14" s="221" customFormat="1" hidden="1" x14ac:dyDescent="0.35">
      <c r="A125" s="215">
        <v>6</v>
      </c>
      <c r="B125" s="216"/>
      <c r="C125" s="216" t="s">
        <v>327</v>
      </c>
      <c r="D125" s="217">
        <v>9604122</v>
      </c>
      <c r="E125" s="216">
        <v>2487157907</v>
      </c>
      <c r="F125" s="216">
        <v>7306348</v>
      </c>
      <c r="G125" s="217" t="s">
        <v>328</v>
      </c>
      <c r="H125" s="218" t="s">
        <v>13</v>
      </c>
      <c r="I125" s="29" t="s">
        <v>329</v>
      </c>
      <c r="J125" s="29"/>
      <c r="K125" s="29" t="s">
        <v>12</v>
      </c>
      <c r="L125" s="219" t="s">
        <v>217</v>
      </c>
      <c r="M125" s="220" t="s">
        <v>322</v>
      </c>
    </row>
    <row r="126" spans="1:14" s="221" customFormat="1" hidden="1" x14ac:dyDescent="0.35">
      <c r="A126" s="215">
        <v>7</v>
      </c>
      <c r="B126" s="216"/>
      <c r="C126" s="216" t="s">
        <v>327</v>
      </c>
      <c r="D126" s="217">
        <v>9603363</v>
      </c>
      <c r="E126" s="216">
        <v>2513117222</v>
      </c>
      <c r="F126" s="216">
        <v>7309067</v>
      </c>
      <c r="G126" s="217" t="s">
        <v>330</v>
      </c>
      <c r="H126" s="218" t="s">
        <v>331</v>
      </c>
      <c r="I126" s="29" t="s">
        <v>332</v>
      </c>
      <c r="J126" s="29"/>
      <c r="K126" s="29" t="s">
        <v>12</v>
      </c>
      <c r="L126" s="219" t="s">
        <v>217</v>
      </c>
      <c r="M126" s="220" t="s">
        <v>322</v>
      </c>
    </row>
    <row r="127" spans="1:14" s="221" customFormat="1" hidden="1" x14ac:dyDescent="0.35">
      <c r="A127" s="215">
        <v>8</v>
      </c>
      <c r="B127" s="216"/>
      <c r="C127" s="216" t="s">
        <v>333</v>
      </c>
      <c r="D127" s="217">
        <v>9601796</v>
      </c>
      <c r="E127" s="216">
        <v>2481188452</v>
      </c>
      <c r="F127" s="216">
        <v>7306360</v>
      </c>
      <c r="G127" s="217" t="s">
        <v>334</v>
      </c>
      <c r="H127" s="218" t="s">
        <v>13</v>
      </c>
      <c r="I127" s="29" t="s">
        <v>335</v>
      </c>
      <c r="J127" s="29"/>
      <c r="K127" s="29" t="s">
        <v>12</v>
      </c>
      <c r="L127" s="219" t="s">
        <v>216</v>
      </c>
      <c r="M127" s="220" t="s">
        <v>322</v>
      </c>
    </row>
    <row r="128" spans="1:14" s="221" customFormat="1" hidden="1" x14ac:dyDescent="0.35">
      <c r="A128" s="215">
        <v>9</v>
      </c>
      <c r="B128" s="216"/>
      <c r="C128" s="216" t="s">
        <v>336</v>
      </c>
      <c r="D128" s="217">
        <v>9603626</v>
      </c>
      <c r="E128" s="216">
        <v>2543211300</v>
      </c>
      <c r="F128" s="216">
        <v>7306354</v>
      </c>
      <c r="G128" s="217" t="s">
        <v>337</v>
      </c>
      <c r="H128" s="11" t="s">
        <v>58</v>
      </c>
      <c r="I128" s="29" t="s">
        <v>332</v>
      </c>
      <c r="J128" s="29"/>
      <c r="K128" s="29" t="s">
        <v>12</v>
      </c>
      <c r="L128" s="219" t="s">
        <v>217</v>
      </c>
      <c r="M128" s="220" t="s">
        <v>322</v>
      </c>
    </row>
    <row r="129" spans="1:13" s="221" customFormat="1" hidden="1" x14ac:dyDescent="0.35">
      <c r="A129" s="215">
        <v>10</v>
      </c>
      <c r="B129" s="216"/>
      <c r="C129" s="216" t="s">
        <v>189</v>
      </c>
      <c r="D129" s="217">
        <v>9603507</v>
      </c>
      <c r="E129" s="216">
        <v>2391382864</v>
      </c>
      <c r="F129" s="216"/>
      <c r="G129" s="217" t="s">
        <v>338</v>
      </c>
      <c r="H129" s="11" t="s">
        <v>58</v>
      </c>
      <c r="I129" s="29" t="s">
        <v>329</v>
      </c>
      <c r="J129" s="29"/>
      <c r="K129" s="29" t="s">
        <v>12</v>
      </c>
      <c r="L129" s="219" t="s">
        <v>216</v>
      </c>
      <c r="M129" s="220" t="s">
        <v>322</v>
      </c>
    </row>
    <row r="130" spans="1:13" s="223" customFormat="1" hidden="1" x14ac:dyDescent="0.35">
      <c r="A130" s="215">
        <v>11</v>
      </c>
      <c r="B130" s="216"/>
      <c r="C130" s="216" t="s">
        <v>339</v>
      </c>
      <c r="D130" s="217">
        <v>1756336</v>
      </c>
      <c r="E130" s="216">
        <v>2609951245</v>
      </c>
      <c r="F130" s="216">
        <v>7318574</v>
      </c>
      <c r="G130" s="217" t="s">
        <v>340</v>
      </c>
      <c r="H130" s="218" t="s">
        <v>13</v>
      </c>
      <c r="I130" s="222" t="s">
        <v>11</v>
      </c>
      <c r="J130" s="222"/>
      <c r="K130" s="29" t="s">
        <v>12</v>
      </c>
      <c r="L130" s="219" t="s">
        <v>216</v>
      </c>
      <c r="M130" s="220" t="s">
        <v>341</v>
      </c>
    </row>
    <row r="131" spans="1:13" s="221" customFormat="1" hidden="1" x14ac:dyDescent="0.35">
      <c r="A131" s="215">
        <v>12</v>
      </c>
      <c r="B131" s="216"/>
      <c r="C131" s="216" t="s">
        <v>319</v>
      </c>
      <c r="D131" s="217">
        <v>9604353</v>
      </c>
      <c r="E131" s="216">
        <v>2602941730</v>
      </c>
      <c r="F131" s="216"/>
      <c r="G131" s="217" t="s">
        <v>342</v>
      </c>
      <c r="H131" s="218" t="s">
        <v>321</v>
      </c>
      <c r="I131" s="29" t="s">
        <v>107</v>
      </c>
      <c r="J131" s="29"/>
      <c r="K131" s="29" t="s">
        <v>12</v>
      </c>
      <c r="L131" s="219" t="s">
        <v>216</v>
      </c>
      <c r="M131" s="220" t="s">
        <v>343</v>
      </c>
    </row>
    <row r="132" spans="1:13" s="221" customFormat="1" hidden="1" x14ac:dyDescent="0.35">
      <c r="A132" s="215">
        <v>13</v>
      </c>
      <c r="B132" s="216"/>
      <c r="C132" s="216" t="s">
        <v>319</v>
      </c>
      <c r="D132" s="217">
        <v>9604354</v>
      </c>
      <c r="E132" s="216">
        <v>2585940915</v>
      </c>
      <c r="F132" s="216"/>
      <c r="G132" s="217" t="s">
        <v>344</v>
      </c>
      <c r="H132" s="218" t="s">
        <v>321</v>
      </c>
      <c r="I132" s="29" t="s">
        <v>107</v>
      </c>
      <c r="J132" s="29"/>
      <c r="K132" s="29" t="s">
        <v>12</v>
      </c>
      <c r="L132" s="219" t="s">
        <v>216</v>
      </c>
      <c r="M132" s="220" t="s">
        <v>343</v>
      </c>
    </row>
    <row r="133" spans="1:13" s="221" customFormat="1" hidden="1" x14ac:dyDescent="0.35">
      <c r="A133" s="215">
        <v>14</v>
      </c>
      <c r="B133" s="216"/>
      <c r="C133" s="216" t="s">
        <v>319</v>
      </c>
      <c r="D133" s="217">
        <v>9604356</v>
      </c>
      <c r="E133" s="216">
        <v>2577011527</v>
      </c>
      <c r="F133" s="216"/>
      <c r="G133" s="217" t="s">
        <v>345</v>
      </c>
      <c r="H133" s="218" t="s">
        <v>321</v>
      </c>
      <c r="I133" s="29" t="s">
        <v>107</v>
      </c>
      <c r="J133" s="29"/>
      <c r="K133" s="29" t="s">
        <v>12</v>
      </c>
      <c r="L133" s="219" t="s">
        <v>216</v>
      </c>
      <c r="M133" s="220" t="s">
        <v>343</v>
      </c>
    </row>
    <row r="134" spans="1:13" s="221" customFormat="1" hidden="1" x14ac:dyDescent="0.35">
      <c r="A134" s="215">
        <v>15</v>
      </c>
      <c r="B134" s="216"/>
      <c r="C134" s="216" t="s">
        <v>319</v>
      </c>
      <c r="D134" s="217">
        <v>9604361</v>
      </c>
      <c r="E134" s="216">
        <v>2593781269</v>
      </c>
      <c r="F134" s="216"/>
      <c r="G134" s="217" t="s">
        <v>346</v>
      </c>
      <c r="H134" s="218" t="s">
        <v>321</v>
      </c>
      <c r="I134" s="29" t="s">
        <v>107</v>
      </c>
      <c r="J134" s="29"/>
      <c r="K134" s="29" t="s">
        <v>12</v>
      </c>
      <c r="L134" s="219" t="s">
        <v>216</v>
      </c>
      <c r="M134" s="220" t="s">
        <v>343</v>
      </c>
    </row>
    <row r="135" spans="1:13" s="221" customFormat="1" hidden="1" x14ac:dyDescent="0.35">
      <c r="A135" s="215">
        <v>16</v>
      </c>
      <c r="B135" s="216"/>
      <c r="C135" s="216" t="s">
        <v>347</v>
      </c>
      <c r="D135" s="217">
        <v>9604082</v>
      </c>
      <c r="E135" s="216">
        <v>2529950616</v>
      </c>
      <c r="F135" s="216">
        <v>7306337</v>
      </c>
      <c r="G135" s="217" t="s">
        <v>348</v>
      </c>
      <c r="H135" s="11" t="s">
        <v>58</v>
      </c>
      <c r="I135" s="29" t="s">
        <v>329</v>
      </c>
      <c r="J135" s="29"/>
      <c r="K135" s="29" t="s">
        <v>12</v>
      </c>
      <c r="L135" s="219" t="s">
        <v>216</v>
      </c>
      <c r="M135" s="220" t="s">
        <v>343</v>
      </c>
    </row>
    <row r="136" spans="1:13" s="221" customFormat="1" hidden="1" x14ac:dyDescent="0.35">
      <c r="A136" s="215">
        <v>17</v>
      </c>
      <c r="B136" s="216"/>
      <c r="C136" s="216" t="s">
        <v>189</v>
      </c>
      <c r="D136" s="217">
        <v>9600377</v>
      </c>
      <c r="E136" s="216">
        <v>2330676632</v>
      </c>
      <c r="F136" s="216"/>
      <c r="G136" s="217" t="s">
        <v>349</v>
      </c>
      <c r="H136" s="11" t="s">
        <v>58</v>
      </c>
      <c r="I136" s="29" t="s">
        <v>335</v>
      </c>
      <c r="J136" s="29"/>
      <c r="K136" s="29" t="s">
        <v>12</v>
      </c>
      <c r="L136" s="219" t="s">
        <v>216</v>
      </c>
      <c r="M136" s="220" t="s">
        <v>343</v>
      </c>
    </row>
    <row r="137" spans="1:13" s="221" customFormat="1" hidden="1" x14ac:dyDescent="0.35">
      <c r="A137" s="215">
        <v>18</v>
      </c>
      <c r="B137" s="216"/>
      <c r="C137" s="216" t="s">
        <v>350</v>
      </c>
      <c r="D137" s="217">
        <v>1755573</v>
      </c>
      <c r="E137" s="216">
        <v>2563974761</v>
      </c>
      <c r="F137" s="216">
        <v>8666258</v>
      </c>
      <c r="G137" s="217" t="s">
        <v>351</v>
      </c>
      <c r="H137" s="218" t="s">
        <v>13</v>
      </c>
      <c r="I137" s="222" t="s">
        <v>11</v>
      </c>
      <c r="J137" s="222"/>
      <c r="K137" s="29" t="s">
        <v>12</v>
      </c>
      <c r="L137" s="219" t="s">
        <v>217</v>
      </c>
      <c r="M137" s="220" t="s">
        <v>352</v>
      </c>
    </row>
    <row r="138" spans="1:13" s="221" customFormat="1" hidden="1" x14ac:dyDescent="0.35">
      <c r="A138" s="215">
        <v>19</v>
      </c>
      <c r="B138" s="216"/>
      <c r="C138" s="216" t="s">
        <v>319</v>
      </c>
      <c r="D138" s="217">
        <v>9604359</v>
      </c>
      <c r="E138" s="216">
        <v>2597136411</v>
      </c>
      <c r="F138" s="216"/>
      <c r="G138" s="217" t="s">
        <v>353</v>
      </c>
      <c r="H138" s="218" t="s">
        <v>321</v>
      </c>
      <c r="I138" s="29" t="s">
        <v>107</v>
      </c>
      <c r="J138" s="29"/>
      <c r="K138" s="29" t="s">
        <v>12</v>
      </c>
      <c r="L138" s="219" t="s">
        <v>216</v>
      </c>
      <c r="M138" s="220" t="s">
        <v>354</v>
      </c>
    </row>
    <row r="139" spans="1:13" s="221" customFormat="1" hidden="1" x14ac:dyDescent="0.35">
      <c r="A139" s="215">
        <v>20</v>
      </c>
      <c r="B139" s="216"/>
      <c r="C139" s="216" t="s">
        <v>336</v>
      </c>
      <c r="D139" s="216">
        <v>9603627</v>
      </c>
      <c r="E139" s="216">
        <v>2543210856</v>
      </c>
      <c r="F139" s="216">
        <v>7306355</v>
      </c>
      <c r="G139" s="216" t="s">
        <v>355</v>
      </c>
      <c r="H139" s="11" t="s">
        <v>58</v>
      </c>
      <c r="I139" s="29" t="s">
        <v>332</v>
      </c>
      <c r="J139" s="29"/>
      <c r="K139" s="29" t="s">
        <v>12</v>
      </c>
      <c r="L139" s="219" t="s">
        <v>217</v>
      </c>
      <c r="M139" s="220" t="s">
        <v>354</v>
      </c>
    </row>
    <row r="140" spans="1:13" s="223" customFormat="1" hidden="1" x14ac:dyDescent="0.35">
      <c r="A140" s="215">
        <v>21</v>
      </c>
      <c r="B140" s="224"/>
      <c r="C140" s="12" t="s">
        <v>356</v>
      </c>
      <c r="D140" s="105">
        <v>9604347</v>
      </c>
      <c r="E140" s="12">
        <v>2509480774</v>
      </c>
      <c r="F140" s="225">
        <v>7306357</v>
      </c>
      <c r="G140" s="12" t="s">
        <v>357</v>
      </c>
      <c r="H140" s="11" t="s">
        <v>58</v>
      </c>
      <c r="I140" s="11" t="s">
        <v>107</v>
      </c>
      <c r="J140" s="11"/>
      <c r="K140" s="11" t="s">
        <v>80</v>
      </c>
      <c r="L140" s="11" t="s">
        <v>217</v>
      </c>
      <c r="M140" s="226" t="s">
        <v>358</v>
      </c>
    </row>
    <row r="141" spans="1:13" s="221" customFormat="1" hidden="1" x14ac:dyDescent="0.35">
      <c r="A141" s="215">
        <v>22</v>
      </c>
      <c r="B141" s="12"/>
      <c r="C141" s="12" t="s">
        <v>219</v>
      </c>
      <c r="D141" s="12">
        <v>1756049</v>
      </c>
      <c r="E141" s="12">
        <v>2593672153</v>
      </c>
      <c r="F141" s="225">
        <v>8736541</v>
      </c>
      <c r="G141" s="12" t="s">
        <v>359</v>
      </c>
      <c r="H141" s="11" t="s">
        <v>51</v>
      </c>
      <c r="I141" s="227" t="s">
        <v>11</v>
      </c>
      <c r="J141" s="227"/>
      <c r="K141" s="11" t="s">
        <v>12</v>
      </c>
      <c r="L141" s="11" t="s">
        <v>216</v>
      </c>
      <c r="M141" s="228" t="s">
        <v>360</v>
      </c>
    </row>
    <row r="142" spans="1:13" s="221" customFormat="1" hidden="1" x14ac:dyDescent="0.35">
      <c r="A142" s="215">
        <v>23</v>
      </c>
      <c r="B142" s="12"/>
      <c r="C142" s="12" t="s">
        <v>22</v>
      </c>
      <c r="D142" s="12">
        <v>1755703</v>
      </c>
      <c r="E142" s="12">
        <v>2569925759</v>
      </c>
      <c r="F142" s="225">
        <v>8693796</v>
      </c>
      <c r="G142" s="12" t="s">
        <v>361</v>
      </c>
      <c r="H142" s="11" t="s">
        <v>13</v>
      </c>
      <c r="I142" s="227" t="s">
        <v>11</v>
      </c>
      <c r="J142" s="227"/>
      <c r="K142" s="11" t="s">
        <v>12</v>
      </c>
      <c r="L142" s="11" t="s">
        <v>216</v>
      </c>
      <c r="M142" s="228" t="s">
        <v>362</v>
      </c>
    </row>
    <row r="143" spans="1:13" s="221" customFormat="1" hidden="1" x14ac:dyDescent="0.35">
      <c r="A143" s="215">
        <v>24</v>
      </c>
      <c r="B143" s="12"/>
      <c r="C143" s="12" t="s">
        <v>363</v>
      </c>
      <c r="D143" s="12">
        <v>1755627</v>
      </c>
      <c r="E143" s="105">
        <v>2567236993</v>
      </c>
      <c r="F143" s="105">
        <v>8696289</v>
      </c>
      <c r="G143" s="12" t="s">
        <v>364</v>
      </c>
      <c r="H143" s="11" t="s">
        <v>13</v>
      </c>
      <c r="I143" s="227" t="s">
        <v>11</v>
      </c>
      <c r="J143" s="227"/>
      <c r="K143" s="11" t="s">
        <v>12</v>
      </c>
      <c r="L143" s="11" t="s">
        <v>217</v>
      </c>
      <c r="M143" s="229" t="s">
        <v>365</v>
      </c>
    </row>
    <row r="144" spans="1:13" s="223" customFormat="1" hidden="1" x14ac:dyDescent="0.35">
      <c r="A144" s="215">
        <v>25</v>
      </c>
      <c r="B144" s="12"/>
      <c r="C144" s="12" t="s">
        <v>366</v>
      </c>
      <c r="D144" s="12">
        <v>1755694</v>
      </c>
      <c r="E144" s="12">
        <v>2569619667</v>
      </c>
      <c r="F144" s="105">
        <v>8696295</v>
      </c>
      <c r="G144" s="230" t="s">
        <v>367</v>
      </c>
      <c r="H144" s="11" t="s">
        <v>39</v>
      </c>
      <c r="I144" s="227" t="s">
        <v>11</v>
      </c>
      <c r="J144" s="227"/>
      <c r="K144" s="11" t="s">
        <v>12</v>
      </c>
      <c r="L144" s="11" t="s">
        <v>217</v>
      </c>
      <c r="M144" s="228" t="s">
        <v>368</v>
      </c>
    </row>
    <row r="145" spans="1:14" s="223" customFormat="1" hidden="1" x14ac:dyDescent="0.35">
      <c r="A145" s="215">
        <v>26</v>
      </c>
      <c r="B145" s="12"/>
      <c r="C145" s="105" t="s">
        <v>60</v>
      </c>
      <c r="D145" s="225">
        <v>1755705</v>
      </c>
      <c r="E145" s="105">
        <v>2569926401</v>
      </c>
      <c r="F145" s="105">
        <v>8718492</v>
      </c>
      <c r="G145" s="12" t="s">
        <v>369</v>
      </c>
      <c r="H145" s="11" t="s">
        <v>13</v>
      </c>
      <c r="I145" s="227" t="s">
        <v>11</v>
      </c>
      <c r="J145" s="227"/>
      <c r="K145" s="11" t="s">
        <v>12</v>
      </c>
      <c r="L145" s="11" t="s">
        <v>216</v>
      </c>
      <c r="M145" s="231" t="s">
        <v>362</v>
      </c>
    </row>
    <row r="146" spans="1:14" s="223" customFormat="1" hidden="1" x14ac:dyDescent="0.35">
      <c r="A146" s="215">
        <v>27</v>
      </c>
      <c r="B146" s="12"/>
      <c r="C146" s="105" t="s">
        <v>102</v>
      </c>
      <c r="D146" s="225">
        <v>1756397</v>
      </c>
      <c r="E146" s="105">
        <v>2613442678</v>
      </c>
      <c r="F146" s="105">
        <v>7306370</v>
      </c>
      <c r="G146" s="12" t="s">
        <v>370</v>
      </c>
      <c r="H146" s="11" t="s">
        <v>41</v>
      </c>
      <c r="I146" s="227" t="s">
        <v>11</v>
      </c>
      <c r="J146" s="227"/>
      <c r="K146" s="11" t="s">
        <v>80</v>
      </c>
      <c r="L146" s="11" t="s">
        <v>217</v>
      </c>
      <c r="M146" s="231" t="s">
        <v>371</v>
      </c>
    </row>
    <row r="147" spans="1:14" s="221" customFormat="1" hidden="1" x14ac:dyDescent="0.35">
      <c r="A147" s="215">
        <v>28</v>
      </c>
      <c r="B147" s="12"/>
      <c r="C147" s="105" t="s">
        <v>372</v>
      </c>
      <c r="D147" s="225">
        <v>1755738</v>
      </c>
      <c r="E147" s="105">
        <v>2571806633</v>
      </c>
      <c r="F147" s="105">
        <v>8745694</v>
      </c>
      <c r="G147" s="12" t="s">
        <v>373</v>
      </c>
      <c r="H147" s="11" t="s">
        <v>41</v>
      </c>
      <c r="I147" s="227" t="s">
        <v>11</v>
      </c>
      <c r="J147" s="227"/>
      <c r="K147" s="11" t="s">
        <v>12</v>
      </c>
      <c r="L147" s="11" t="s">
        <v>216</v>
      </c>
      <c r="M147" s="231" t="s">
        <v>374</v>
      </c>
    </row>
    <row r="148" spans="1:14" hidden="1" x14ac:dyDescent="0.35">
      <c r="A148" s="215">
        <v>29</v>
      </c>
      <c r="B148" s="12"/>
      <c r="C148" s="12" t="s">
        <v>66</v>
      </c>
      <c r="D148" s="12">
        <v>1755609</v>
      </c>
      <c r="E148" s="12">
        <v>2566403214</v>
      </c>
      <c r="F148" s="12">
        <v>8706544</v>
      </c>
      <c r="G148" s="12" t="s">
        <v>375</v>
      </c>
      <c r="H148" s="11" t="s">
        <v>13</v>
      </c>
      <c r="I148" s="227" t="s">
        <v>11</v>
      </c>
      <c r="J148" s="227"/>
      <c r="K148" s="11" t="s">
        <v>12</v>
      </c>
      <c r="L148" s="11" t="s">
        <v>216</v>
      </c>
      <c r="M148" s="228" t="s">
        <v>376</v>
      </c>
      <c r="N148" s="7"/>
    </row>
    <row r="149" spans="1:14" s="232" customFormat="1" hidden="1" x14ac:dyDescent="0.35">
      <c r="A149" s="215">
        <v>30</v>
      </c>
      <c r="B149" s="11"/>
      <c r="C149" s="12" t="s">
        <v>377</v>
      </c>
      <c r="D149" s="12">
        <v>1755537</v>
      </c>
      <c r="E149" s="12">
        <v>2562390142</v>
      </c>
      <c r="F149" s="12">
        <v>8681657</v>
      </c>
      <c r="G149" s="12" t="s">
        <v>378</v>
      </c>
      <c r="H149" s="11" t="s">
        <v>13</v>
      </c>
      <c r="I149" s="227" t="s">
        <v>11</v>
      </c>
      <c r="J149" s="227"/>
      <c r="K149" s="11" t="s">
        <v>12</v>
      </c>
      <c r="L149" s="11" t="s">
        <v>216</v>
      </c>
      <c r="M149" s="226" t="s">
        <v>379</v>
      </c>
    </row>
    <row r="150" spans="1:14" s="232" customFormat="1" hidden="1" x14ac:dyDescent="0.35">
      <c r="A150" s="215">
        <v>31</v>
      </c>
      <c r="B150" s="11"/>
      <c r="C150" s="10" t="s">
        <v>380</v>
      </c>
      <c r="D150" s="12">
        <v>9604216</v>
      </c>
      <c r="E150" s="12">
        <v>2558774101</v>
      </c>
      <c r="F150" s="12">
        <v>8647204</v>
      </c>
      <c r="G150" s="12" t="s">
        <v>381</v>
      </c>
      <c r="H150" s="11" t="s">
        <v>58</v>
      </c>
      <c r="I150" s="11" t="s">
        <v>382</v>
      </c>
      <c r="J150" s="11"/>
      <c r="K150" s="11" t="s">
        <v>12</v>
      </c>
      <c r="L150" s="11"/>
      <c r="M150" s="228" t="s">
        <v>383</v>
      </c>
    </row>
    <row r="151" spans="1:14" s="232" customFormat="1" hidden="1" x14ac:dyDescent="0.35">
      <c r="A151" s="215">
        <v>32</v>
      </c>
      <c r="B151" s="11"/>
      <c r="C151" s="105" t="s">
        <v>384</v>
      </c>
      <c r="D151" s="105">
        <v>1755952</v>
      </c>
      <c r="E151" s="105">
        <v>1076470507</v>
      </c>
      <c r="F151" s="105">
        <v>8716984</v>
      </c>
      <c r="G151" s="12" t="s">
        <v>385</v>
      </c>
      <c r="H151" s="64" t="s">
        <v>10</v>
      </c>
      <c r="I151" s="227" t="s">
        <v>11</v>
      </c>
      <c r="J151" s="227"/>
      <c r="K151" s="11" t="s">
        <v>12</v>
      </c>
      <c r="L151" s="11" t="s">
        <v>217</v>
      </c>
      <c r="M151" s="228" t="s">
        <v>386</v>
      </c>
    </row>
    <row r="152" spans="1:14" s="232" customFormat="1" hidden="1" x14ac:dyDescent="0.35">
      <c r="A152" s="215">
        <v>33</v>
      </c>
      <c r="B152" s="11"/>
      <c r="C152" s="12" t="s">
        <v>106</v>
      </c>
      <c r="D152" s="12">
        <v>1756048</v>
      </c>
      <c r="E152" s="12">
        <v>2593672120</v>
      </c>
      <c r="F152" s="225">
        <v>7278909</v>
      </c>
      <c r="G152" s="12" t="s">
        <v>387</v>
      </c>
      <c r="H152" s="11" t="s">
        <v>51</v>
      </c>
      <c r="I152" s="227" t="s">
        <v>11</v>
      </c>
      <c r="J152" s="227"/>
      <c r="K152" s="11" t="s">
        <v>12</v>
      </c>
      <c r="L152" s="11" t="s">
        <v>217</v>
      </c>
      <c r="M152" s="228" t="s">
        <v>388</v>
      </c>
    </row>
    <row r="153" spans="1:14" s="232" customFormat="1" hidden="1" x14ac:dyDescent="0.35">
      <c r="A153" s="215">
        <v>34</v>
      </c>
      <c r="B153" s="11"/>
      <c r="C153" s="105" t="s">
        <v>83</v>
      </c>
      <c r="D153" s="12">
        <v>1755974</v>
      </c>
      <c r="E153" s="105">
        <v>2587700291</v>
      </c>
      <c r="F153" s="105">
        <v>8720284</v>
      </c>
      <c r="G153" s="12" t="s">
        <v>389</v>
      </c>
      <c r="H153" s="11" t="s">
        <v>13</v>
      </c>
      <c r="I153" s="227" t="s">
        <v>11</v>
      </c>
      <c r="J153" s="227"/>
      <c r="K153" s="11" t="s">
        <v>12</v>
      </c>
      <c r="L153" s="11" t="s">
        <v>216</v>
      </c>
      <c r="M153" s="228" t="s">
        <v>390</v>
      </c>
    </row>
    <row r="154" spans="1:14" hidden="1" x14ac:dyDescent="0.35">
      <c r="A154" s="215">
        <v>35</v>
      </c>
      <c r="B154" s="11"/>
      <c r="C154" s="12" t="s">
        <v>219</v>
      </c>
      <c r="D154" s="12">
        <v>1756049</v>
      </c>
      <c r="E154" s="12">
        <v>2593672153</v>
      </c>
      <c r="F154" s="225">
        <v>8736541</v>
      </c>
      <c r="G154" s="12" t="s">
        <v>359</v>
      </c>
      <c r="H154" s="11" t="s">
        <v>51</v>
      </c>
      <c r="I154" s="227" t="s">
        <v>11</v>
      </c>
      <c r="J154" s="227"/>
      <c r="K154" s="11" t="s">
        <v>12</v>
      </c>
      <c r="L154" s="11" t="s">
        <v>216</v>
      </c>
      <c r="M154" s="228" t="s">
        <v>360</v>
      </c>
      <c r="N154" s="7"/>
    </row>
    <row r="155" spans="1:14" s="7" customFormat="1" hidden="1" x14ac:dyDescent="0.35">
      <c r="A155" s="234">
        <v>36</v>
      </c>
      <c r="B155" s="6"/>
      <c r="C155" s="235" t="s">
        <v>84</v>
      </c>
      <c r="D155" s="6">
        <v>1755856</v>
      </c>
      <c r="E155" s="6">
        <v>2577685254</v>
      </c>
      <c r="F155" s="6">
        <v>8714182</v>
      </c>
      <c r="G155" s="17" t="s">
        <v>391</v>
      </c>
      <c r="H155" s="6" t="s">
        <v>13</v>
      </c>
      <c r="I155" s="227" t="s">
        <v>11</v>
      </c>
      <c r="J155" s="227"/>
      <c r="K155" s="6" t="s">
        <v>12</v>
      </c>
      <c r="L155" s="6" t="s">
        <v>216</v>
      </c>
      <c r="M155" s="89" t="s">
        <v>392</v>
      </c>
    </row>
    <row r="156" spans="1:14" s="7" customFormat="1" hidden="1" x14ac:dyDescent="0.35">
      <c r="A156" s="234">
        <v>37</v>
      </c>
      <c r="B156" s="6"/>
      <c r="C156" s="17" t="s">
        <v>242</v>
      </c>
      <c r="D156" s="6">
        <v>9604239</v>
      </c>
      <c r="E156" s="6">
        <v>2575699935</v>
      </c>
      <c r="F156" s="6"/>
      <c r="G156" s="94" t="s">
        <v>239</v>
      </c>
      <c r="H156" s="6" t="s">
        <v>51</v>
      </c>
      <c r="I156" s="6" t="s">
        <v>241</v>
      </c>
      <c r="J156" s="6"/>
      <c r="K156" s="6" t="s">
        <v>12</v>
      </c>
      <c r="L156" s="6" t="s">
        <v>216</v>
      </c>
      <c r="M156" s="89" t="s">
        <v>393</v>
      </c>
    </row>
    <row r="157" spans="1:14" s="7" customFormat="1" hidden="1" x14ac:dyDescent="0.35">
      <c r="A157" s="234">
        <v>38</v>
      </c>
      <c r="B157" s="6"/>
      <c r="C157" s="17" t="s">
        <v>110</v>
      </c>
      <c r="D157" s="6">
        <v>9604197</v>
      </c>
      <c r="E157" s="6">
        <v>2563049200</v>
      </c>
      <c r="F157" s="6"/>
      <c r="G157" s="17" t="s">
        <v>394</v>
      </c>
      <c r="H157" s="6" t="s">
        <v>321</v>
      </c>
      <c r="I157" s="6" t="s">
        <v>329</v>
      </c>
      <c r="J157" s="6"/>
      <c r="K157" s="6" t="s">
        <v>12</v>
      </c>
      <c r="L157" s="6" t="s">
        <v>216</v>
      </c>
      <c r="M157" s="89" t="s">
        <v>395</v>
      </c>
    </row>
    <row r="158" spans="1:14" s="7" customFormat="1" hidden="1" x14ac:dyDescent="0.35">
      <c r="A158" s="234">
        <v>39</v>
      </c>
      <c r="B158" s="6"/>
      <c r="C158" s="235" t="s">
        <v>396</v>
      </c>
      <c r="D158" s="6">
        <v>9604375</v>
      </c>
      <c r="E158" s="6">
        <v>2612017489</v>
      </c>
      <c r="F158" s="6"/>
      <c r="G158" s="17" t="s">
        <v>397</v>
      </c>
      <c r="H158" s="6" t="s">
        <v>58</v>
      </c>
      <c r="I158" s="6" t="s">
        <v>107</v>
      </c>
      <c r="J158" s="6"/>
      <c r="K158" s="6" t="s">
        <v>12</v>
      </c>
      <c r="L158" s="6" t="s">
        <v>216</v>
      </c>
      <c r="M158" s="89" t="s">
        <v>395</v>
      </c>
    </row>
  </sheetData>
  <autoFilter ref="A3:M117" xr:uid="{59CA2C84-577B-460A-8580-73DCC1C9D7C7}"/>
  <mergeCells count="3">
    <mergeCell ref="A1:M1"/>
    <mergeCell ref="A2:M2"/>
    <mergeCell ref="A119:M119"/>
  </mergeCells>
  <conditionalFormatting sqref="D37">
    <cfRule type="duplicateValues" dxfId="44" priority="44"/>
  </conditionalFormatting>
  <conditionalFormatting sqref="D159:D1048576 D104:D113 D1:D5 D33 D38 D83:D97 D15:D19 D40:D44 D8:D13 D62:D72 D21:D31 D46:D48 D76:D81 D50:D53 D55:D59 D118">
    <cfRule type="duplicateValues" dxfId="43" priority="45"/>
  </conditionalFormatting>
  <conditionalFormatting sqref="D7">
    <cfRule type="duplicateValues" dxfId="42" priority="43"/>
  </conditionalFormatting>
  <conditionalFormatting sqref="D32">
    <cfRule type="duplicateValues" dxfId="41" priority="42"/>
  </conditionalFormatting>
  <conditionalFormatting sqref="D82">
    <cfRule type="duplicateValues" dxfId="40" priority="41"/>
  </conditionalFormatting>
  <conditionalFormatting sqref="D99">
    <cfRule type="duplicateValues" dxfId="39" priority="40"/>
  </conditionalFormatting>
  <conditionalFormatting sqref="D39">
    <cfRule type="duplicateValues" dxfId="38" priority="39"/>
  </conditionalFormatting>
  <conditionalFormatting sqref="D20">
    <cfRule type="duplicateValues" dxfId="37" priority="38"/>
  </conditionalFormatting>
  <conditionalFormatting sqref="D45">
    <cfRule type="duplicateValues" dxfId="36" priority="37"/>
  </conditionalFormatting>
  <conditionalFormatting sqref="D100">
    <cfRule type="duplicateValues" dxfId="35" priority="36"/>
  </conditionalFormatting>
  <conditionalFormatting sqref="D49">
    <cfRule type="duplicateValues" dxfId="34" priority="35"/>
  </conditionalFormatting>
  <conditionalFormatting sqref="D54">
    <cfRule type="duplicateValues" dxfId="33" priority="34"/>
  </conditionalFormatting>
  <conditionalFormatting sqref="D36">
    <cfRule type="duplicateValues" dxfId="32" priority="33"/>
  </conditionalFormatting>
  <conditionalFormatting sqref="D35">
    <cfRule type="duplicateValues" dxfId="31" priority="32"/>
  </conditionalFormatting>
  <conditionalFormatting sqref="D115">
    <cfRule type="duplicateValues" dxfId="30" priority="30"/>
  </conditionalFormatting>
  <conditionalFormatting sqref="D120">
    <cfRule type="duplicateValues" dxfId="29" priority="29"/>
  </conditionalFormatting>
  <conditionalFormatting sqref="D121:D137">
    <cfRule type="duplicateValues" dxfId="28" priority="28"/>
  </conditionalFormatting>
  <conditionalFormatting sqref="D138:D139">
    <cfRule type="duplicateValues" dxfId="27" priority="27"/>
  </conditionalFormatting>
  <conditionalFormatting sqref="D140">
    <cfRule type="duplicateValues" dxfId="26" priority="26"/>
  </conditionalFormatting>
  <conditionalFormatting sqref="D141">
    <cfRule type="duplicateValues" dxfId="25" priority="25"/>
  </conditionalFormatting>
  <conditionalFormatting sqref="D142">
    <cfRule type="duplicateValues" dxfId="24" priority="24"/>
  </conditionalFormatting>
  <conditionalFormatting sqref="D145">
    <cfRule type="duplicateValues" dxfId="23" priority="23"/>
  </conditionalFormatting>
  <conditionalFormatting sqref="D146">
    <cfRule type="duplicateValues" dxfId="22" priority="22"/>
  </conditionalFormatting>
  <conditionalFormatting sqref="D143">
    <cfRule type="duplicateValues" dxfId="21" priority="21"/>
  </conditionalFormatting>
  <conditionalFormatting sqref="D144">
    <cfRule type="duplicateValues" dxfId="20" priority="20"/>
  </conditionalFormatting>
  <conditionalFormatting sqref="D119">
    <cfRule type="duplicateValues" dxfId="19" priority="19"/>
  </conditionalFormatting>
  <conditionalFormatting sqref="D147">
    <cfRule type="duplicateValues" dxfId="18" priority="18"/>
  </conditionalFormatting>
  <conditionalFormatting sqref="D148">
    <cfRule type="duplicateValues" dxfId="17" priority="17"/>
  </conditionalFormatting>
  <conditionalFormatting sqref="D149">
    <cfRule type="duplicateValues" dxfId="16" priority="16"/>
  </conditionalFormatting>
  <conditionalFormatting sqref="D150">
    <cfRule type="duplicateValues" dxfId="15" priority="15"/>
  </conditionalFormatting>
  <conditionalFormatting sqref="D151">
    <cfRule type="duplicateValues" dxfId="14" priority="14"/>
  </conditionalFormatting>
  <conditionalFormatting sqref="D152">
    <cfRule type="duplicateValues" dxfId="13" priority="13"/>
  </conditionalFormatting>
  <conditionalFormatting sqref="D153">
    <cfRule type="duplicateValues" dxfId="12" priority="12"/>
  </conditionalFormatting>
  <conditionalFormatting sqref="D154">
    <cfRule type="duplicateValues" dxfId="11" priority="11"/>
  </conditionalFormatting>
  <conditionalFormatting sqref="D155">
    <cfRule type="duplicateValues" dxfId="10" priority="10"/>
  </conditionalFormatting>
  <conditionalFormatting sqref="D156">
    <cfRule type="duplicateValues" dxfId="9" priority="9"/>
  </conditionalFormatting>
  <conditionalFormatting sqref="D157">
    <cfRule type="duplicateValues" dxfId="8" priority="8"/>
  </conditionalFormatting>
  <conditionalFormatting sqref="D158">
    <cfRule type="duplicateValues" dxfId="7" priority="7"/>
  </conditionalFormatting>
  <conditionalFormatting sqref="D60">
    <cfRule type="duplicateValues" dxfId="6" priority="6"/>
  </conditionalFormatting>
  <conditionalFormatting sqref="D116">
    <cfRule type="duplicateValues" dxfId="5" priority="5"/>
  </conditionalFormatting>
  <conditionalFormatting sqref="D117">
    <cfRule type="duplicateValues" dxfId="4" priority="4"/>
  </conditionalFormatting>
  <conditionalFormatting sqref="D34">
    <cfRule type="duplicateValues" dxfId="3" priority="3"/>
  </conditionalFormatting>
  <conditionalFormatting sqref="D101:D102">
    <cfRule type="duplicateValues" dxfId="2" priority="1"/>
  </conditionalFormatting>
  <conditionalFormatting sqref="D103">
    <cfRule type="duplicateValues" dxfId="1" priority="2"/>
  </conditionalFormatting>
  <conditionalFormatting sqref="D114">
    <cfRule type="duplicateValues" dxfId="0" priority="90"/>
  </conditionalFormatting>
  <pageMargins left="0.7" right="0.7" top="0.75" bottom="0.75" header="0.3" footer="0.3"/>
  <pageSetup paperSize="9" scale="2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Props1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448ED-DBE6-47AB-847E-C0CCC20557D7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45170413-50f3-46df-bb86-af60fad12285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PS10</vt:lpstr>
      <vt:lpstr>Org. Chart</vt:lpstr>
      <vt:lpstr>Passport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Mohammed Maheen</dc:creator>
  <cp:lastModifiedBy>Richard M. Macatangay</cp:lastModifiedBy>
  <cp:lastPrinted>2026-01-19T13:26:37Z</cp:lastPrinted>
  <dcterms:created xsi:type="dcterms:W3CDTF">2015-06-05T18:17:20Z</dcterms:created>
  <dcterms:modified xsi:type="dcterms:W3CDTF">2026-08-03T05:41:00Z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